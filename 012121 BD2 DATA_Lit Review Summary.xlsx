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22"/>
  <workbookPr defaultThemeVersion="166925"/>
  <mc:AlternateContent xmlns:mc="http://schemas.openxmlformats.org/markup-compatibility/2006">
    <mc:Choice Requires="x15">
      <x15ac:absPath xmlns:x15ac="http://schemas.microsoft.com/office/spreadsheetml/2010/11/ac" url="https://udwinprod.sharepoint.com/sites/Team-NIIMBLBigDataProgram/Shared Documents/BD2 - E2E Automated Control  (RT Control of CQAs)/BD2 Team Meetings/012121 BD2 Team Meeting/"/>
    </mc:Choice>
  </mc:AlternateContent>
  <xr:revisionPtr revIDLastSave="333" documentId="13_ncr:1_{B070C6A2-FCFF-47DA-8366-D840FC52A0FA}" xr6:coauthVersionLast="46" xr6:coauthVersionMax="46" xr10:uidLastSave="{62C8FF95-A922-4C9B-A684-4C2AF1993AF2}"/>
  <bookViews>
    <workbookView xWindow="-110" yWindow="-110" windowWidth="18490" windowHeight="11020" firstSheet="2" activeTab="2" xr2:uid="{122823FF-9918-4970-955C-E736D1E8C5ED}"/>
  </bookViews>
  <sheets>
    <sheet name="BD2 Team" sheetId="1" r:id="rId1"/>
    <sheet name="Literature" sheetId="2" r:id="rId2"/>
    <sheet name="Attribute Rank" sheetId="7" r:id="rId3"/>
    <sheet name="Lit Summary" sheetId="6" r:id="rId4"/>
    <sheet name="Example notes" sheetId="4" r:id="rId5"/>
    <sheet name="Example entries" sheetId="3" r:id="rId6"/>
  </sheets>
  <externalReferences>
    <externalReference r:id="rId7"/>
  </externalReferences>
  <definedNames>
    <definedName name="_xlnm._FilterDatabase" localSheetId="5" hidden="1">'Example entries'!$A$3:$Q$20</definedName>
    <definedName name="_xlnm._FilterDatabase" localSheetId="3" hidden="1">'Lit Summary'!$C$3:$S$20</definedName>
    <definedName name="_xlnm._FilterDatabase" localSheetId="1" hidden="1">Literature!$B$1:$E$41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 l="1"/>
  <c r="A19" i="3"/>
  <c r="A18" i="3"/>
  <c r="A17" i="3"/>
  <c r="A16" i="3"/>
  <c r="A15" i="3"/>
  <c r="A14" i="3"/>
  <c r="A13" i="3"/>
  <c r="A12" i="3"/>
  <c r="A11" i="3"/>
  <c r="A10" i="3"/>
  <c r="A9" i="3"/>
  <c r="A8" i="3"/>
  <c r="A7" i="3"/>
  <c r="A6" i="3"/>
  <c r="A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tc={D66DE960-524D-438A-8DC5-5713A9F49BEC}</author>
  </authors>
  <commentList>
    <comment ref="B12" authorId="0" shapeId="0" xr:uid="{D66DE960-524D-438A-8DC5-5713A9F49BEC}">
      <text>
        <t>[Threaded comment]
Your version of Excel allows you to read this threaded comment; however, any edits to it will get removed if the file is opened in a newer version of Excel. Learn more: https://go.microsoft.com/fwlink/?linkid=870924
Comment:
    All these attributes are not mentioned in the literature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tc={CCC1F07C-5EF1-45AD-B7FB-A24AED2A2C07}</author>
    <author>tc={BC489C92-EFCC-4ADA-A856-D077510899AC}</author>
    <author>tc={4FB45496-564E-4F03-8E51-C7AE2A3F3764}</author>
    <author>tc={60136BAB-EC69-4A6C-A399-A05F1CF532A5}</author>
  </authors>
  <commentList>
    <comment ref="M20" authorId="0" shapeId="0" xr:uid="{CCC1F07C-5EF1-45AD-B7FB-A24AED2A2C07}">
      <text>
        <t>[Threaded comment]
Your version of Excel allows you to read this threaded comment; however, any edits to it will get removed if the file is opened in a newer version of Excel. Learn more: https://go.microsoft.com/fwlink/?linkid=870924
Comment:
    On average, control cultures showed 13.0% (± 0.3) G0 species, 46.9% (± 0.8) G0F, 3.7% (± 0.3) G1, 0.2% (± 0.1) G1', 13.0% (± 0.7) G1F, 4.3% (± 0.3) G1F’, 0.6% (± 0.1) G2, 1.5% (± 0.1) G2F, and 17% (± 1.5) Man5 species.</t>
      </text>
    </comment>
    <comment ref="N20" authorId="1" shapeId="0" xr:uid="{BC489C92-EFCC-4ADA-A856-D077510899AC}">
      <text>
        <t>[Threaded comment]
Your version of Excel allows you to read this threaded comment; however, any edits to it will get removed if the file is opened in a newer version of Excel. Learn more: https://go.microsoft.com/fwlink/?linkid=870924
Comment:
    The mAb protein material was purified using MabSelect SuRe Protein A resin (GE Life Sciences) in the 0.6 mL Opus Repligen
RoboColumns (Repligen, Germany) on the JANUS BioTx workstation
(Perkin Elmer, Hopkinton, MA).</t>
      </text>
    </comment>
    <comment ref="O20" authorId="2" shapeId="0" xr:uid="{4FB45496-564E-4F03-8E51-C7AE2A3F3764}">
      <text>
        <t>[Threaded comment]
Your version of Excel allows you to read this threaded comment; however, any edits to it will get removed if the file is opened in a newer version of Excel. Learn more: https://go.microsoft.com/fwlink/?linkid=870924
Comment:
    High throughput analysis of all samples was performed on the
LabChip GXII Touch (Perkin Elmer) with the GXII Glycan Release and Labeling Kit (Perkin Elmer, Part # 760,523), Glycan LabChip Reagent Kit (Perkin Elmer, Part # 760,525),
and High-Resolution Chip (Perkin Elmer, Part # 760,524) as described by the manufacturer.</t>
      </text>
    </comment>
    <comment ref="R20" authorId="3" shapeId="0" xr:uid="{60136BAB-EC69-4A6C-A399-A05F1CF532A5}">
      <text>
        <t>[Threaded comment]
Your version of Excel allows you to read this threaded comment; however, any edits to it will get removed if the file is opened in a newer version of Excel. Learn more: https://go.microsoft.com/fwlink/?linkid=870924
Comment:
    Control wells received plain feed media without additives and  ere sampled every 48 h for metabolites using a Cedex BioHT Analyzer (Roche,Germany). The assay was concluded on D14  then 2.0 mL of each culture were harvested by centrifugation at 1,500x g for 5 min. Antibody titer was determined by biolayer interferometry in a Red96
ForteBio instrument (Pall, Westborough, MA).</t>
      </text>
    </comment>
  </commentList>
</comments>
</file>

<file path=xl/sharedStrings.xml><?xml version="1.0" encoding="utf-8"?>
<sst xmlns="http://schemas.openxmlformats.org/spreadsheetml/2006/main" count="517" uniqueCount="229">
  <si>
    <t>Name</t>
  </si>
  <si>
    <t>Role</t>
  </si>
  <si>
    <r>
      <t>Roger Hart</t>
    </r>
    <r>
      <rPr>
        <sz val="10"/>
        <rFont val="Calibri"/>
        <family val="2"/>
        <scheme val="minor"/>
      </rPr>
      <t>​</t>
    </r>
  </si>
  <si>
    <t>Team (Co-lead), Process Sub-Team, Data Sub-Team</t>
  </si>
  <si>
    <r>
      <t>Gene Schaefer</t>
    </r>
    <r>
      <rPr>
        <sz val="10"/>
        <rFont val="Calibri"/>
        <family val="2"/>
        <scheme val="minor"/>
      </rPr>
      <t>​</t>
    </r>
  </si>
  <si>
    <t>Nuno Pinto</t>
  </si>
  <si>
    <t>Process Sub-Team (Lead)</t>
  </si>
  <si>
    <r>
      <t>Eric Hodgman</t>
    </r>
    <r>
      <rPr>
        <sz val="10"/>
        <rFont val="Calibri"/>
        <family val="2"/>
        <scheme val="minor"/>
      </rPr>
      <t>​</t>
    </r>
  </si>
  <si>
    <t>Process Sub-Team</t>
  </si>
  <si>
    <r>
      <t>Sonya Zheng</t>
    </r>
    <r>
      <rPr>
        <sz val="10"/>
        <rFont val="Calibri"/>
        <family val="2"/>
        <scheme val="minor"/>
      </rPr>
      <t>​</t>
    </r>
  </si>
  <si>
    <r>
      <t>Dhanuka Wasalathanthri</t>
    </r>
    <r>
      <rPr>
        <sz val="10"/>
        <rFont val="Calibri"/>
        <family val="2"/>
        <scheme val="minor"/>
      </rPr>
      <t>​</t>
    </r>
  </si>
  <si>
    <r>
      <t>Rene Reinbigler</t>
    </r>
    <r>
      <rPr>
        <sz val="10"/>
        <rFont val="Calibri"/>
        <family val="2"/>
        <scheme val="minor"/>
      </rPr>
      <t>​</t>
    </r>
  </si>
  <si>
    <t>Data Sub-Team</t>
  </si>
  <si>
    <r>
      <t>Mike Phillips</t>
    </r>
    <r>
      <rPr>
        <sz val="10"/>
        <rFont val="Calibri"/>
        <family val="2"/>
        <scheme val="minor"/>
      </rPr>
      <t>​</t>
    </r>
  </si>
  <si>
    <r>
      <t>Arch Creasy</t>
    </r>
    <r>
      <rPr>
        <sz val="10"/>
        <rFont val="Calibri"/>
        <family val="2"/>
        <scheme val="minor"/>
      </rPr>
      <t>​</t>
    </r>
  </si>
  <si>
    <r>
      <t>Nicole Ferreira</t>
    </r>
    <r>
      <rPr>
        <sz val="10"/>
        <rFont val="Calibri"/>
        <family val="2"/>
        <scheme val="minor"/>
      </rPr>
      <t>​</t>
    </r>
  </si>
  <si>
    <r>
      <t>Bing Zhang</t>
    </r>
    <r>
      <rPr>
        <sz val="10"/>
        <rFont val="Calibri"/>
        <family val="2"/>
        <scheme val="minor"/>
      </rPr>
      <t>​</t>
    </r>
  </si>
  <si>
    <t>Boonserm Kulvatunyou</t>
  </si>
  <si>
    <t>Jim LaBonty</t>
  </si>
  <si>
    <t>Dhanuka Wasalathanthri ​</t>
  </si>
  <si>
    <t>Robert Heckathorn ​</t>
  </si>
  <si>
    <t>Reference</t>
  </si>
  <si>
    <t>Topic</t>
  </si>
  <si>
    <t>Sub-Topic</t>
  </si>
  <si>
    <t>Meeting</t>
  </si>
  <si>
    <t>Chen_2018_Intact NIST monoclonal antibody characterization</t>
  </si>
  <si>
    <t>Mab</t>
  </si>
  <si>
    <t>Glycan Structure and Analysis</t>
  </si>
  <si>
    <t>12/17/20 BD2 Team</t>
  </si>
  <si>
    <t>Hilliard_2017_Glycan characterization of the NIST RM monoclonal antibody</t>
  </si>
  <si>
    <t>Leoz_2020_NIST interlaboratory study on glycosylation analysis of Mab</t>
  </si>
  <si>
    <t>Wang 2019_Characterization of EPO-Fc</t>
  </si>
  <si>
    <t>Cell Line / Product / Process</t>
  </si>
  <si>
    <t>Yang 2018_Comprehensive Glycoproteomic Analysis</t>
  </si>
  <si>
    <t>Naik 2019_Impact of nucleotide sugar metabolism</t>
  </si>
  <si>
    <t>Boune_2020_Principles of N-Linked Glycosylation Variations</t>
  </si>
  <si>
    <t>11/17/20 BD2 Team</t>
  </si>
  <si>
    <t>Demmon_2020_A cross-industry forum on benchmarking critical quality attribute</t>
  </si>
  <si>
    <t>Wei_2017_Glycation of antibodies_Modification, methods and potential effects</t>
  </si>
  <si>
    <t>Chang_2019_Small-molecule control of antibody N-glycosylation</t>
  </si>
  <si>
    <t>Glycosylation Control</t>
  </si>
  <si>
    <t>11/10/20 BD2 Team</t>
  </si>
  <si>
    <t>del Val_2019_Leveraging Computational Models of Glycosylation</t>
  </si>
  <si>
    <t>Ehret_2018_Impact of cell culture media additives on IgG Glycosylation</t>
  </si>
  <si>
    <t>Gupta_2018_Glycosylation control technologies for recombinant therapeutic proteins</t>
  </si>
  <si>
    <t>van der Valk_2010_Optimization of chemically defined cell culture media</t>
  </si>
  <si>
    <t>Cao_2016_DATA MANAGEMENT AND INTEGRATION FOR CONTINUOUS</t>
  </si>
  <si>
    <t>Data Management</t>
  </si>
  <si>
    <t>Biopharmaceutical</t>
  </si>
  <si>
    <t>10/20/20 BD2 Team</t>
  </si>
  <si>
    <t>Cao_2018_A Systematic Framework for Data Management</t>
  </si>
  <si>
    <t>Dong_2016_High-Throughput, Automated Protein A Purification Platform</t>
  </si>
  <si>
    <t>HTPD</t>
  </si>
  <si>
    <t>Process characterization</t>
  </si>
  <si>
    <t>Dong_2016_High-Throughput, Automated Protein A Purification Platform_suppl</t>
  </si>
  <si>
    <t>Fermier_2012_High-Throughput, Automated Protein A Purification Platform</t>
  </si>
  <si>
    <t>Luo_2020_Modeling the Effect of Amino Acids and Copper</t>
  </si>
  <si>
    <t>Luo_2020_Modeling the Effect of Amino Acids and Copper_Supp</t>
  </si>
  <si>
    <t>Markert_2020_Traces matter Targeted optimization of monoclonal antibody</t>
  </si>
  <si>
    <t>Papathanasiou_2019_Engineering challenges in therapeutic protein product</t>
  </si>
  <si>
    <t>Product Attributes</t>
  </si>
  <si>
    <t>Su_2019_A perspective on Quality-by-Control (QbC) in pharmaceutical</t>
  </si>
  <si>
    <t>Zajek_2020_Dynamic multiscale metabolic network modeling</t>
  </si>
  <si>
    <t>Radhakrishnan_2018_Controlling the Glycosylation Profile in mAbs</t>
  </si>
  <si>
    <t>Gramer_2011_Modulation of Antibody Galactosylation</t>
  </si>
  <si>
    <t>01/07/21 BD2 Team</t>
  </si>
  <si>
    <t>Hossler_2009_Optimal and consistent protein glycosylation in mammalian cell culture</t>
  </si>
  <si>
    <t>Loebrich_2019_Comprehensive manipulation of glycosylation profiles across development scales</t>
  </si>
  <si>
    <t>Amand_2014_Identification of manipulated variables for a glycosylation control strategy</t>
  </si>
  <si>
    <t>Hossler, P., et al. (2009). "Optimal and consistent protein glycosylation in mammalian cell culture." Glycobiology 19(9): 936-949​</t>
  </si>
  <si>
    <t>Loebrich, S., et al. (2019). "Comprehensive manipulation of glycosylation profiles across development scales." MAbs 11(2): 335-349​</t>
  </si>
  <si>
    <t>NAME</t>
  </si>
  <si>
    <t>Galactosylation​</t>
  </si>
  <si>
    <t>High Mannose​</t>
  </si>
  <si>
    <t>Afucosylation​</t>
  </si>
  <si>
    <t>Aglycosylation​</t>
  </si>
  <si>
    <t>Sialylation​</t>
  </si>
  <si>
    <t>Roger Hart​</t>
  </si>
  <si>
    <t>Gene Schaefer​</t>
  </si>
  <si>
    <t>Eric Hodgman​</t>
  </si>
  <si>
    <t>Sonya Zheng​</t>
  </si>
  <si>
    <t>Dhanuka Wasalathanthri​</t>
  </si>
  <si>
    <t>Rene Reinbigler​</t>
  </si>
  <si>
    <t>Mike Phillips​</t>
  </si>
  <si>
    <t>Arch Creasy​</t>
  </si>
  <si>
    <t>Nicole Ferreira​</t>
  </si>
  <si>
    <t>Bing Zhang​</t>
  </si>
  <si>
    <t>Chris Garvin</t>
  </si>
  <si>
    <t>3 = highest, most important</t>
  </si>
  <si>
    <t>Lowest is Best</t>
  </si>
  <si>
    <t>USE-CASE PRIORITIZATION</t>
  </si>
  <si>
    <t>SYSTEM PERTURBATION</t>
  </si>
  <si>
    <t>CONTROL SCENARIO</t>
  </si>
  <si>
    <t>PRIMARY CONTROL OBJECTIVE</t>
  </si>
  <si>
    <t>SECONDARY CONTROL OBJECTIVE</t>
  </si>
  <si>
    <t>REFERENCE</t>
  </si>
  <si>
    <t>TOTAL</t>
  </si>
  <si>
    <r>
      <rPr>
        <b/>
        <u/>
        <sz val="10"/>
        <color theme="1"/>
        <rFont val="Calibri"/>
        <family val="2"/>
        <scheme val="minor"/>
      </rPr>
      <t>Case Ubiquity</t>
    </r>
    <r>
      <rPr>
        <b/>
        <sz val="10"/>
        <color theme="1"/>
        <rFont val="Calibri"/>
        <family val="2"/>
        <scheme val="minor"/>
      </rPr>
      <t xml:space="preserve">
1 - universal
2 - common
3 - rare</t>
    </r>
  </si>
  <si>
    <r>
      <rPr>
        <b/>
        <u/>
        <sz val="10"/>
        <color theme="1"/>
        <rFont val="Calibri"/>
        <family val="2"/>
        <scheme val="minor"/>
      </rPr>
      <t>Benefit</t>
    </r>
    <r>
      <rPr>
        <b/>
        <sz val="10"/>
        <color theme="1"/>
        <rFont val="Calibri"/>
        <family val="2"/>
        <scheme val="minor"/>
      </rPr>
      <t xml:space="preserve">
1 - high
2 - moderate
3 - Low</t>
    </r>
  </si>
  <si>
    <r>
      <rPr>
        <b/>
        <u/>
        <sz val="10"/>
        <color theme="1"/>
        <rFont val="Calibri"/>
        <family val="2"/>
        <scheme val="minor"/>
      </rPr>
      <t>Frequency of Disturbance</t>
    </r>
    <r>
      <rPr>
        <b/>
        <sz val="10"/>
        <color theme="1"/>
        <rFont val="Calibri"/>
        <family val="2"/>
        <scheme val="minor"/>
      </rPr>
      <t xml:space="preserve">
1 - High
2 - Moderate
3 - Low</t>
    </r>
  </si>
  <si>
    <r>
      <rPr>
        <b/>
        <u/>
        <sz val="10"/>
        <color theme="1"/>
        <rFont val="Calibri"/>
        <family val="2"/>
        <scheme val="minor"/>
      </rPr>
      <t>Implementation Difficulty</t>
    </r>
    <r>
      <rPr>
        <b/>
        <sz val="10"/>
        <color theme="1"/>
        <rFont val="Calibri"/>
        <family val="2"/>
        <scheme val="minor"/>
      </rPr>
      <t xml:space="preserve">
1 - Low
2 - Moderate
3 - High</t>
    </r>
  </si>
  <si>
    <t>UNIT OPERATION</t>
  </si>
  <si>
    <t>EXTERNAL INPUT
(Disturbance)</t>
  </si>
  <si>
    <t>PROCESS PARAMETER
(Control Variable)</t>
  </si>
  <si>
    <t>POINT OF CONTROL</t>
  </si>
  <si>
    <t>TYPE OF CONTROL</t>
  </si>
  <si>
    <t>PROCESS INDICATOR
(Control Objective)</t>
  </si>
  <si>
    <t>POINT OF MEASUREMENT</t>
  </si>
  <si>
    <t>MEANS OF MEASUREMENT</t>
  </si>
  <si>
    <t>SURROGATE PROCESS INDICATOR
(Control Objective)</t>
  </si>
  <si>
    <t>NOTES</t>
  </si>
  <si>
    <r>
      <t>Eric Hodgman</t>
    </r>
    <r>
      <rPr>
        <b/>
        <sz val="10"/>
        <rFont val="Calibri"/>
        <family val="2"/>
        <scheme val="minor"/>
      </rPr>
      <t>​</t>
    </r>
  </si>
  <si>
    <t>Bioreactor</t>
  </si>
  <si>
    <t>None (global profiling)</t>
  </si>
  <si>
    <t>CHO cell lysate and medium</t>
  </si>
  <si>
    <t>Large-scale analysis of N-linked glycopeptides through MAX extraction cartridges followed by bRPLC with high-resolution mass spectrometroy.</t>
  </si>
  <si>
    <t>In this study the authors completed a comprehensive analysis of glycosylation patterns and N-linked glycosylation sites. Using EPO producing CHO-K1 cell culture, both the cell lystate and medium were profiled for N-linked intact glycopeptides (IGPs) and glycoyslation patterns. Overall they identified a total of 10,388 unique N-linked IGPs, with 43,742 and 62665 glycosylation variants found in the cell lysate and medium, respectively. Protein extraction -&gt; trypsin digestion -&gt; basicRPLC -&gt; MAX cartrige -&gt; glycopepdite -&gt; PNGaseF (optional for peptide vs glycoform) -&gt; MS -&gt; Data analysis. Something to consider is we need enrichment of the protien of interest to not measure glycosylation of HCPs in the medium. Also, many proteins have site specific N-linked glycosylation and we need to decide if that matters.</t>
  </si>
  <si>
    <r>
      <t>Sonya Zheng</t>
    </r>
    <r>
      <rPr>
        <b/>
        <sz val="10"/>
        <rFont val="Calibri"/>
        <family val="2"/>
        <scheme val="minor"/>
      </rPr>
      <t>​</t>
    </r>
  </si>
  <si>
    <t>1.Galactose increases silyation, galactoyslated glycans.(Nuno)
2.Mannose: Increase in N-glycan mannosylation
N-acetylgucosamine: Decrease in galactosylation.
3.Uridine: Increase in mannose glycans and galactosylated glycans
4.Maganese: Increase/Decrease galactosylation
5.Asparagine: Decrease in galactosylation.
6.Ammonia: Decrease in galactosylation (Nuno)</t>
  </si>
  <si>
    <t xml:space="preserve">Review paper concluded what are the subtracts that can be added to cell culture to change galactosylation profile. 
2 "Cell culture media supplementation of infrequently used sugars for the targeted shifting of protein glycosylation profiles." Supplementation of raffinose, trehalose, turanose, palatinose, melezitose, psicose, lactose, lactulose, and mannose were found to be capable of redirecting N‐glycan oligosaccharide profiles.
3.4.5 "High-throughput profiling of nucleotides and nucleotide sugars to evaluate their impact on antibody N-glycosylation". Manganese and asparagine supplementation altered the glycan profiles without affecting intracellular components. </t>
  </si>
  <si>
    <t>NA</t>
  </si>
  <si>
    <t>small molecule chemicals</t>
  </si>
  <si>
    <t>Basal and feed media</t>
  </si>
  <si>
    <t>Genetic control of glycosylation</t>
  </si>
  <si>
    <t>Galactosylation and fucosylation</t>
  </si>
  <si>
    <t>Bioreactor samples via Protein A</t>
  </si>
  <si>
    <t>Offline HILIC HPLC</t>
  </si>
  <si>
    <t xml:space="preserve">Significant changes in glycosylation (0-87%) and fucosylation (0-97%) pattern </t>
  </si>
  <si>
    <t>Glycosylation</t>
  </si>
  <si>
    <t xml:space="preserve">Glycosylation modeling review paper.  Categorizes models as Kinetic, Flux, Statistical in nature.  Identfies Kinetic models as most useful for process quality applications. Describes pros and cons for each model approach - Kinetic models are most accurate (mechanistic foundation) but require most data.  Models created between 1996 and 2019 summarized and tabulated.   </t>
  </si>
  <si>
    <t>Gene Schaefer</t>
  </si>
  <si>
    <t>1. Galactose, uridine, manganese, and ammonia impact galactosylation
2. Multiple molecules can decrease core fucosylation
3. Multiple molecules and sugars can increase mannosylation
4. Increasing galactosylation can increase sialylation along with other molecules and and copper</t>
  </si>
  <si>
    <t>Pre=programmed feeds, no feedback</t>
  </si>
  <si>
    <t>Review paper listing media modifications for control of glycoforms</t>
  </si>
  <si>
    <t>Media, Cell lines, Physical/chemical conditons (pH, DO...etc)</t>
  </si>
  <si>
    <t>Bioreactor and media</t>
  </si>
  <si>
    <t>Not specified</t>
  </si>
  <si>
    <t>A review paper discribing the signficance of glycosylation in recombinent biotherapetics, impact of cell culture parameter such as media, metabolites, physical and chemical conditions such as pH, DO, Osmolality..etc on glycosylation. The article also describes modulation of glycan composition of the biotherapeutics by focusing largely on the selection of an appropriate expression host, and glycoengineering</t>
  </si>
  <si>
    <t>Although the paper is not related to adaptive control nor glycan content, it is known that different media components can impact glycosylation: Trace Metals (manganese influences high mannose), Glycan Precursors, Enzyme Inhibitors, as been noted in the slides. Control could be performed in bioreactor or during inline media prep if used. Adaptive media control could be done using supplement addition in the bioreactor or a fortification of the perfusion media.</t>
  </si>
  <si>
    <t>Feed</t>
  </si>
  <si>
    <t>1) premature afucosylated species
2) mature galactosylated glycan species
3) Cell growth and biomass</t>
  </si>
  <si>
    <t>Bioreactor Media Feed through trace metal additions</t>
  </si>
  <si>
    <t>Levels of trace metals in bioreactor</t>
  </si>
  <si>
    <t>Bioreactor samples</t>
  </si>
  <si>
    <t>CGE</t>
  </si>
  <si>
    <t>Cell growth and biomass</t>
  </si>
  <si>
    <t>CEDEX, Forte Bio Octet, ProA-HPLC</t>
  </si>
  <si>
    <t xml:space="preserve">Manganese and copper acted as inverse key players in N-glycosylation, showing a
positive effect of manganese and a negative effect of copper on glycan maturation in
a zinc-dependent manner. Zinc and iron similarly improved cell growth and biomass
formation. These findings allowed determining optimal concentration ranges for all
four trace elements to establish control on desired product quality attributes regarding
premature afucosylated and mature galactosylated glycan species
</t>
  </si>
  <si>
    <t>1) supplement culture media; 2) develop model to guide in process decision making and optimize feed strategies; 3) utilize cells genetically engineered to produce uniform product profiles</t>
  </si>
  <si>
    <t>PCA/PLS model to aid in in-process decision making or kinetic model to inform feed strategies</t>
  </si>
  <si>
    <t>Review paper states that Glycosylation can be controlled by supplementing the culture medium with precursors for the synthesis of nucleotide sugars and metal cofactors (these can be identified by tracking the evolving glycan profile or utilizing DOE). Alternatively PCA can be utilized to track the correlation between critical quality attributes and process conditions. Once identified PLS regression can be utilized to quantify these relationships and this model can be utilized to rationalize in process decision making. Alternatively a kinetic process model can be utilized to optimize feeding strategies. The host cell can also be genetically engineered to generate a uniform product profile. Alternatively utilize non mammillian production hosts eg. GlycoSwitch.</t>
  </si>
  <si>
    <t>Continuous tableting</t>
  </si>
  <si>
    <t>dosing position and turret speed
tablet weight, productin rate, and main compression force
hardness, tensile strength, and dissolution rate</t>
  </si>
  <si>
    <t>Level 0 as PLC to control dosing position and turret speed
Level 1 as a cascaded control of tablet weight, productin rate, and main compression force
Level 2 MPC for tablet CQAs of hardness, tensile strength, and dissolution rate</t>
  </si>
  <si>
    <t xml:space="preserve">Although this paper is focusing on small molecule tableting, it provides a comprehensive perspect/review on Quality-by-Control  (QbC) that could help for large molecule processes. The paper used a case of a continuous tablet press to illustrate the implementation of QbC, including data reconciliation, layers of process control, risk analysis of process control, and challenges of QbC. </t>
  </si>
  <si>
    <t>Roger or Gene</t>
  </si>
  <si>
    <t>Uridine, Manganese chloride and galactose</t>
  </si>
  <si>
    <t>Galactosylation</t>
  </si>
  <si>
    <t>bioreactor</t>
  </si>
  <si>
    <t>Released-glycan assay with fluorescent labelling, HPLC separation and analysis</t>
  </si>
  <si>
    <t>This study demonstrates the impact of Uridine, Galactose and Manganese on Galactosylation in bioreactors</t>
  </si>
  <si>
    <t>Media, Scale</t>
  </si>
  <si>
    <t>Media component supplements</t>
  </si>
  <si>
    <t>Bioreactor Media Feed</t>
  </si>
  <si>
    <t>Studies were perturbation/ response - did not involve control</t>
  </si>
  <si>
    <t>Glycosylation species levels</t>
  </si>
  <si>
    <t>Bioreactor samples prepared by Protein-A mini-prep purification</t>
  </si>
  <si>
    <t>Samples analyzed by CZE</t>
  </si>
  <si>
    <t>Cell Viability, IVCD, titer, metabolite levels</t>
  </si>
  <si>
    <t>CEDEX, Forte Bio</t>
  </si>
  <si>
    <t>DOE studies with 10 media components (cytidine, galactose, copper, glucosamine, uridine, fucose, manganese, ManNAc, glycerol, NANA) at different development scales (24W-DW, 24-well deep well; SF, shake flasks; 2L BRx, 2 L single-use bioreactors; AMBR, AMBR-15 cell culture system) for 3 different MAb producing CHO K1 derived cell lines.  Monitored glycosylation species response (On average, control cultures showed 13.0% (± 0.3) G0 species, 46.9% (± 0.8) G0F, 3.7% (± 0.3) G1, 0.2% (± 0.1) G1', 13.0% (± 0.7) G1F, 4.3% (± 0.3) G1F’, 0.6% (± 0.1) G2, 1.5% (± 0.1) G2F, and 17% (± 1.5) Man5 species) and determined magnitude of main factor and two-factor interactions.</t>
  </si>
  <si>
    <t>No online control done</t>
  </si>
  <si>
    <t>controllable modes were identified for this process: (1) MnCl2 can be used to manipulate the relative abundance of M5 and FA2 simultaneously, and (2) galactose can be used to manipulate the relative abundance of FA2G1, FA2, and A2 simultaneously. A long-term implication of this work is the development of an online control strategy for glycosylation.</t>
  </si>
  <si>
    <t>T.K. Villiger, et al., J. Biotechnol. 229, 3–12 (2016).</t>
  </si>
  <si>
    <t>S.N. Sou, et al., Biotechnol. Bioeng. 114 (7), 1570–1582 (2017).</t>
  </si>
  <si>
    <t>Media, Bioreactor conditions</t>
  </si>
  <si>
    <t>16 control variables are referenced in table II</t>
  </si>
  <si>
    <t>var.</t>
  </si>
  <si>
    <t>Glyosylation</t>
  </si>
  <si>
    <t xml:space="preserve">This is a review article that covers the relationship of known cell culture process variables and media components with glycosylation (as of 2009). </t>
  </si>
  <si>
    <t>Feed medium</t>
  </si>
  <si>
    <t>Uridine, manganese chloride, galactose</t>
  </si>
  <si>
    <t>Oligosaccharides measured via HPLC</t>
  </si>
  <si>
    <t>The study seeks to understand the impact of feed components on Galactosylation.</t>
  </si>
  <si>
    <t>Target Glyco-form​</t>
  </si>
  <si>
    <t>Ana-lytical​</t>
  </si>
  <si>
    <t>​</t>
  </si>
  <si>
    <t>Proposed Process Variance​</t>
  </si>
  <si>
    <t>Proposed Control Action​</t>
  </si>
  <si>
    <t>Time Constant For Response​</t>
  </si>
  <si>
    <t>Attribute impact/​</t>
  </si>
  <si>
    <t>Ease​</t>
  </si>
  <si>
    <t>Known Control Factors​</t>
  </si>
  <si>
    <t>importance​</t>
  </si>
  <si>
    <t>Galacto-sylation​</t>
  </si>
  <si>
    <r>
      <t>+++</t>
    </r>
    <r>
      <rPr>
        <sz val="5"/>
        <color rgb="FF000000"/>
        <rFont val="Arial"/>
        <family val="2"/>
      </rPr>
      <t>​</t>
    </r>
  </si>
  <si>
    <r>
      <t>Mn, Uridine, Galactose:</t>
    </r>
    <r>
      <rPr>
        <sz val="5"/>
        <color rgb="FF000000"/>
        <rFont val="Arial"/>
        <family val="2"/>
      </rPr>
      <t>: Gramer, M. J., et al. (2011). "Modulation of antibody galactosylation through feeding of uridine, manganese chloride, and galactose." Biotechnology and Bioengineering 108(7): 1591-1602​</t>
    </r>
  </si>
  <si>
    <t>Shift in trace metal (Mn)​</t>
  </si>
  <si>
    <t>Add Mn if low​</t>
  </si>
  <si>
    <t>Galactose falls below target due to increased lactate formation​</t>
  </si>
  <si>
    <t>Adjust temp?​</t>
  </si>
  <si>
    <t>Adjust harvest?​</t>
  </si>
  <si>
    <r>
      <t>++</t>
    </r>
    <r>
      <rPr>
        <sz val="5"/>
        <color rgb="FF000000"/>
        <rFont val="Arial"/>
        <family val="2"/>
      </rPr>
      <t>​</t>
    </r>
  </si>
  <si>
    <r>
      <t>Osmolality: </t>
    </r>
    <r>
      <rPr>
        <sz val="5"/>
        <color rgb="FF000000"/>
        <rFont val="Arial"/>
        <family val="2"/>
      </rPr>
      <t>Mastrangeli, R., et al. (2020). "The Formidable Challenge of Controlling High Mannose-Type N-Glycans in Therapeutic mAbs." Trends in Biotechnology.​</t>
    </r>
  </si>
  <si>
    <t>Variation in pH control =&gt; inc osmo​</t>
  </si>
  <si>
    <t>Afucosy-lation​</t>
  </si>
  <si>
    <r>
      <t>+</t>
    </r>
    <r>
      <rPr>
        <sz val="5"/>
        <color rgb="FF000000"/>
        <rFont val="Arial"/>
        <family val="2"/>
      </rPr>
      <t>​</t>
    </r>
  </si>
  <si>
    <t>Aglycosy-lation​</t>
  </si>
  <si>
    <r>
      <rPr>
        <b/>
        <u/>
        <sz val="11"/>
        <color theme="1"/>
        <rFont val="Calibri"/>
        <family val="2"/>
        <scheme val="minor"/>
      </rPr>
      <t>Case Ubiquity</t>
    </r>
    <r>
      <rPr>
        <b/>
        <sz val="11"/>
        <color theme="1"/>
        <rFont val="Calibri"/>
        <family val="2"/>
        <scheme val="minor"/>
      </rPr>
      <t xml:space="preserve">
1 - universal
2 - common
3 - rare</t>
    </r>
  </si>
  <si>
    <r>
      <rPr>
        <b/>
        <u/>
        <sz val="11"/>
        <color theme="1"/>
        <rFont val="Calibri"/>
        <family val="2"/>
        <scheme val="minor"/>
      </rPr>
      <t>Benefit</t>
    </r>
    <r>
      <rPr>
        <b/>
        <sz val="11"/>
        <color theme="1"/>
        <rFont val="Calibri"/>
        <family val="2"/>
        <scheme val="minor"/>
      </rPr>
      <t xml:space="preserve">
1 - high
2 - moderate
3 - Low</t>
    </r>
  </si>
  <si>
    <r>
      <rPr>
        <b/>
        <u/>
        <sz val="11"/>
        <color theme="1"/>
        <rFont val="Calibri"/>
        <family val="2"/>
        <scheme val="minor"/>
      </rPr>
      <t>Frequency of Disturbance</t>
    </r>
    <r>
      <rPr>
        <b/>
        <sz val="11"/>
        <color theme="1"/>
        <rFont val="Calibri"/>
        <family val="2"/>
        <scheme val="minor"/>
      </rPr>
      <t xml:space="preserve">
1 - High
2 - Moderate
3 - Low</t>
    </r>
  </si>
  <si>
    <r>
      <rPr>
        <b/>
        <u/>
        <sz val="11"/>
        <color theme="1"/>
        <rFont val="Calibri"/>
        <family val="2"/>
        <scheme val="minor"/>
      </rPr>
      <t>Implementation Difficulty</t>
    </r>
    <r>
      <rPr>
        <b/>
        <sz val="11"/>
        <color theme="1"/>
        <rFont val="Calibri"/>
        <family val="2"/>
        <scheme val="minor"/>
      </rPr>
      <t xml:space="preserve">
1 - Low
2 - Moderate
3 - High</t>
    </r>
  </si>
  <si>
    <t>NOTES AND REFERENCES</t>
  </si>
  <si>
    <t>Trace metal content of cell culture media</t>
  </si>
  <si>
    <t xml:space="preserve">Feed rate/composition </t>
  </si>
  <si>
    <t>Feed-forward</t>
  </si>
  <si>
    <t>Glycosylation: galactose or fucose level</t>
  </si>
  <si>
    <t>Capture Chromatography</t>
  </si>
  <si>
    <t>At-Line LCMS Multi-Attribute Method</t>
  </si>
  <si>
    <t>Trace metal content</t>
  </si>
  <si>
    <t>Offline trace metal testing</t>
  </si>
  <si>
    <t>1. Markert, S., et al. (2020). "Traces matter: Targeted optimization of monoclonal antibody N-glycosylation based on/by implementing automated high-throughput trace element screening."  n/a(n/a): e3042.
2. Graham, R. J., et al. (2019). "Consequences of trace metal variability and supplementation on Chinese hamster ovary (CHO) cell culture performance: A review of key mechanisms and considerations." Biotechnology and Bioengineering 116(12): 3446-3456
3. Grinnell, C., et al. (2020). "Elemental metal variance in cell culture raw materials for process risk profiling." Biotechnology Progress n/a(n/a): e3004.</t>
  </si>
  <si>
    <t>Bioreactor temp, pH, duration</t>
  </si>
  <si>
    <t>1. Loebrich, S., et al. (2019). "Comprehensive manipulation of glycosylation profiles across development scales." MAbs 11(2): 335-349</t>
  </si>
  <si>
    <t>Feed-back</t>
  </si>
  <si>
    <t>Glycan composition: real-time in biorector</t>
  </si>
  <si>
    <t>LCMS Multi-Attribute Method</t>
  </si>
  <si>
    <t>1. Dong, J., et al. (2016). "High-Throughput, Automated Protein A Purification Platform with Multiattribute LC–MS Analysis for Advanced Cell Culture Process Monitoring." Analytical Chemistry 88(17): 8673-8679.</t>
  </si>
  <si>
    <t>In-Line LCMS Multi-Attribute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</si>
</sst>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
      <b/>
      <sz val="11"/>
      <color theme="1"/>
      <name val="Calibri"/>
      <family val="2"/>
      <scheme val="minor"/>
    </font>
    <font>
      <b/>
      <u/>
      <sz val="10"/>
      <color theme="1"/>
      <name val="Calibri"/>
      <family val="2"/>
      <scheme val="minor"/>
    </font>
    <font>
      <b/>
      <u/>
      <sz val="11"/>
      <color theme="1"/>
      <name val="Calibri"/>
      <family val="2"/>
      <scheme val="minor"/>
    </font>
    <font>
      <sz val="10"/>
      <color rgb="FF000000"/>
      <name val="Calibri"/>
      <family val="2"/>
    </font>
    <font>
      <b/>
      <sz val="16"/>
      <color theme="1"/>
      <name val="Calibri"/>
      <family val="2"/>
      <scheme val="minor"/>
    </font>
    <font>
      <sz val="11"/>
      <color theme="4"/>
      <name val="Calibri"/>
      <family val="2"/>
      <scheme val="minor"/>
    </font>
    <font>
      <b/>
      <sz val="6"/>
      <color rgb="FFFFFFFF"/>
      <name val="Arial"/>
      <family val="2"/>
    </font>
    <font>
      <sz val="5"/>
      <color rgb="FF000000"/>
      <name val="Arial"/>
      <family val="2"/>
    </font>
    <font>
      <b/>
      <sz val="5"/>
      <color rgb="FF000000"/>
      <name val="Arial"/>
      <family val="2"/>
    </font>
    <font>
      <b/>
      <u/>
      <sz val="10"/>
      <name val="Calibri"/>
      <family val="2"/>
      <scheme val="minor"/>
    </font>
    <font>
      <b/>
      <sz val="10"/>
      <color theme="1"/>
      <name val="Calibri"/>
      <family val="2"/>
      <scheme val="minor"/>
    </font>
    <font>
      <sz val="10"/>
      <color theme="4"/>
      <name val="Calibri"/>
      <family val="2"/>
      <scheme val="minor"/>
    </font>
    <font>
      <b/>
      <sz val="10"/>
      <color rgb="FF000000"/>
      <name val="Calibri"/>
      <family val="2"/>
      <scheme val="minor"/>
    </font>
    <font>
      <b/>
      <sz val="10"/>
      <name val="Calibri"/>
      <family val="2"/>
      <scheme val="minor"/>
    </font>
    <font>
      <b/>
      <sz val="10"/>
      <color theme="4"/>
      <name val="Calibri"/>
      <family val="2"/>
      <scheme val="minor"/>
    </font>
    <font>
      <sz val="11"/>
      <color rgb="FF000000"/>
      <name val="Calibri"/>
      <family val="2"/>
      <scheme val="minor"/>
    </font>
    <font>
      <sz val="10"/>
      <color rgb="FF4472C4"/>
      <name val="Calibri"/>
      <charset val="1"/>
    </font>
  </fonts>
  <fills count="15">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theme="4" tint="0.59996337778862885"/>
        <bgColor indexed="64"/>
      </patternFill>
    </fill>
    <fill>
      <patternFill patternType="solid">
        <fgColor theme="7" tint="0.59996337778862885"/>
        <bgColor indexed="64"/>
      </patternFill>
    </fill>
    <fill>
      <patternFill patternType="solid">
        <fgColor theme="5" tint="0.59996337778862885"/>
        <bgColor indexed="64"/>
      </patternFill>
    </fill>
    <fill>
      <patternFill patternType="solid">
        <fgColor rgb="FF92D050"/>
        <bgColor indexed="64"/>
      </patternFill>
    </fill>
    <fill>
      <patternFill patternType="solid">
        <fgColor theme="9" tint="0.59996337778862885"/>
        <bgColor indexed="64"/>
      </patternFill>
    </fill>
    <fill>
      <patternFill patternType="solid">
        <fgColor rgb="FF149C9C"/>
        <bgColor indexed="64"/>
      </patternFill>
    </fill>
    <fill>
      <patternFill patternType="solid">
        <fgColor rgb="FFE7EFEF"/>
        <bgColor indexed="64"/>
      </patternFill>
    </fill>
    <fill>
      <patternFill patternType="solid">
        <fgColor rgb="FFCCDEDE"/>
        <bgColor indexed="64"/>
      </patternFill>
    </fill>
    <fill>
      <patternFill patternType="solid">
        <fgColor theme="0" tint="-0.249977111117893"/>
        <bgColor indexed="64"/>
      </patternFill>
    </fill>
    <fill>
      <patternFill patternType="solid">
        <fgColor rgb="FFFFFF00"/>
        <bgColor indexed="64"/>
      </patternFill>
    </fill>
    <fill>
      <patternFill patternType="solid">
        <fgColor rgb="FFD9D9D9"/>
        <bgColor indexed="64"/>
      </patternFill>
    </fill>
  </fills>
  <borders count="23">
    <border>
      <left/>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thin">
        <color rgb="FF000000"/>
      </left>
      <right style="medium">
        <color rgb="FFFFFFFF"/>
      </right>
      <top style="thin">
        <color rgb="FF000000"/>
      </top>
      <bottom/>
      <diagonal/>
    </border>
    <border>
      <left style="medium">
        <color rgb="FFFFFFFF"/>
      </left>
      <right style="medium">
        <color rgb="FFFFFFFF"/>
      </right>
      <top style="thin">
        <color rgb="FF000000"/>
      </top>
      <bottom/>
      <diagonal/>
    </border>
    <border>
      <left style="thin">
        <color rgb="FF000000"/>
      </left>
      <right style="medium">
        <color rgb="FFFFFFFF"/>
      </right>
      <top/>
      <bottom/>
      <diagonal/>
    </border>
    <border>
      <left style="thin">
        <color rgb="FF000000"/>
      </left>
      <right style="medium">
        <color rgb="FFFFFFFF"/>
      </right>
      <top/>
      <bottom style="medium">
        <color rgb="FFFFFFFF"/>
      </bottom>
      <diagonal/>
    </border>
    <border>
      <left style="thin">
        <color rgb="FF000000"/>
      </left>
      <right style="medium">
        <color rgb="FFFFFFFF"/>
      </right>
      <top style="medium">
        <color rgb="FFFFFFFF"/>
      </top>
      <bottom/>
      <diagonal/>
    </border>
    <border>
      <left style="thin">
        <color rgb="FF000000"/>
      </left>
      <right style="medium">
        <color rgb="FFFFFFFF"/>
      </right>
      <top style="medium">
        <color rgb="FFFFFFFF"/>
      </top>
      <bottom style="medium">
        <color rgb="FFFFFFFF"/>
      </bottom>
      <diagonal/>
    </border>
    <border>
      <left style="thin">
        <color rgb="FF000000"/>
      </left>
      <right style="medium">
        <color rgb="FFFFFFFF"/>
      </right>
      <top style="medium">
        <color rgb="FFFFFFFF"/>
      </top>
      <bottom style="thin">
        <color rgb="FF000000"/>
      </bottom>
      <diagonal/>
    </border>
    <border>
      <left style="medium">
        <color rgb="FFFFFFFF"/>
      </left>
      <right style="medium">
        <color rgb="FFFFFFFF"/>
      </right>
      <top style="medium">
        <color rgb="FFFFFFFF"/>
      </top>
      <bottom style="thin">
        <color rgb="FF000000"/>
      </bottom>
      <diagonal/>
    </border>
    <border>
      <left style="medium">
        <color auto="1"/>
      </left>
      <right style="medium">
        <color auto="1"/>
      </right>
      <top/>
      <bottom style="medium">
        <color auto="1"/>
      </bottom>
      <diagonal/>
    </border>
  </borders>
  <cellStyleXfs count="1">
    <xf numFmtId="0" fontId="0" fillId="0" borderId="0"/>
  </cellStyleXfs>
  <cellXfs count="130">
    <xf numFmtId="0" fontId="0" fillId="0" borderId="0" xfId="0"/>
    <xf numFmtId="0" fontId="1" fillId="0" borderId="0" xfId="0" applyFont="1"/>
    <xf numFmtId="0" fontId="4" fillId="0" borderId="0" xfId="0" applyFont="1"/>
    <xf numFmtId="0" fontId="5" fillId="0" borderId="0" xfId="0" applyFont="1"/>
    <xf numFmtId="0" fontId="6" fillId="0" borderId="0" xfId="0" applyFont="1"/>
    <xf numFmtId="0" fontId="0" fillId="0" borderId="0" xfId="0" applyAlignment="1">
      <alignment horizontal="center" wrapText="1"/>
    </xf>
    <xf numFmtId="0" fontId="4" fillId="3" borderId="1" xfId="0" applyFont="1" applyFill="1" applyBorder="1" applyAlignment="1">
      <alignment horizontal="center" wrapText="1"/>
    </xf>
    <xf numFmtId="0" fontId="4" fillId="0" borderId="0" xfId="0" applyFont="1" applyAlignment="1">
      <alignment horizontal="center" wrapText="1"/>
    </xf>
    <xf numFmtId="0" fontId="4" fillId="4" borderId="3" xfId="0" applyFont="1" applyFill="1" applyBorder="1" applyAlignment="1">
      <alignment vertical="center"/>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4" fillId="5" borderId="3"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0" fillId="0" borderId="9" xfId="0" applyBorder="1" applyAlignment="1">
      <alignment horizontal="left"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9" borderId="13" xfId="0" applyFill="1" applyBorder="1" applyAlignment="1">
      <alignment vertical="top" wrapText="1"/>
    </xf>
    <xf numFmtId="0" fontId="0" fillId="10" borderId="13" xfId="0" applyFill="1" applyBorder="1" applyAlignment="1">
      <alignment vertical="top" wrapText="1"/>
    </xf>
    <xf numFmtId="0" fontId="12" fillId="11" borderId="10" xfId="0" applyFont="1" applyFill="1" applyBorder="1" applyAlignment="1">
      <alignment horizontal="center" vertical="center" wrapText="1"/>
    </xf>
    <xf numFmtId="0" fontId="12" fillId="11" borderId="10" xfId="0" applyFont="1" applyFill="1" applyBorder="1" applyAlignment="1">
      <alignment horizontal="left" vertical="center" wrapText="1"/>
    </xf>
    <xf numFmtId="0" fontId="11" fillId="11" borderId="10" xfId="0" applyFont="1" applyFill="1" applyBorder="1" applyAlignment="1">
      <alignment horizontal="left" vertical="center" wrapText="1"/>
    </xf>
    <xf numFmtId="0" fontId="12" fillId="10" borderId="10" xfId="0" applyFont="1" applyFill="1" applyBorder="1" applyAlignment="1">
      <alignment horizontal="center" vertical="center" wrapText="1"/>
    </xf>
    <xf numFmtId="0" fontId="11" fillId="10" borderId="10" xfId="0" applyFont="1" applyFill="1" applyBorder="1" applyAlignment="1">
      <alignment horizontal="left" vertical="center" wrapText="1"/>
    </xf>
    <xf numFmtId="0" fontId="11" fillId="11" borderId="19" xfId="0" applyFont="1" applyFill="1" applyBorder="1" applyAlignment="1">
      <alignment horizontal="center" vertical="center" wrapText="1"/>
    </xf>
    <xf numFmtId="0" fontId="11" fillId="10" borderId="19" xfId="0" applyFont="1" applyFill="1" applyBorder="1" applyAlignment="1">
      <alignment horizontal="center" vertical="center" wrapText="1"/>
    </xf>
    <xf numFmtId="0" fontId="11" fillId="10" borderId="20" xfId="0" applyFont="1" applyFill="1" applyBorder="1" applyAlignment="1">
      <alignment horizontal="center" vertical="center" wrapText="1"/>
    </xf>
    <xf numFmtId="0" fontId="12" fillId="10" borderId="21" xfId="0" applyFont="1" applyFill="1" applyBorder="1" applyAlignment="1">
      <alignment horizontal="center" vertical="center" wrapText="1"/>
    </xf>
    <xf numFmtId="0" fontId="11" fillId="10" borderId="21" xfId="0" applyFont="1" applyFill="1" applyBorder="1" applyAlignment="1">
      <alignment horizontal="left" vertical="center" wrapText="1"/>
    </xf>
    <xf numFmtId="0" fontId="13" fillId="12" borderId="0" xfId="0" applyFont="1" applyFill="1"/>
    <xf numFmtId="0" fontId="1" fillId="0" borderId="0" xfId="0" applyFont="1" applyAlignment="1">
      <alignment horizontal="center" wrapText="1"/>
    </xf>
    <xf numFmtId="0" fontId="14" fillId="0" borderId="0" xfId="0" applyFont="1"/>
    <xf numFmtId="0" fontId="14" fillId="3" borderId="1" xfId="0" applyFont="1" applyFill="1" applyBorder="1" applyAlignment="1">
      <alignment horizontal="center" wrapText="1"/>
    </xf>
    <xf numFmtId="0" fontId="14" fillId="0" borderId="0" xfId="0" applyFont="1" applyAlignment="1">
      <alignment horizontal="center" wrapText="1"/>
    </xf>
    <xf numFmtId="0" fontId="14" fillId="0" borderId="0" xfId="0" applyFont="1" applyAlignment="1">
      <alignment vertical="center"/>
    </xf>
    <xf numFmtId="0" fontId="14" fillId="4" borderId="4" xfId="0" applyFont="1" applyFill="1" applyBorder="1" applyAlignment="1">
      <alignment vertical="center" wrapText="1"/>
    </xf>
    <xf numFmtId="0" fontId="14" fillId="4" borderId="5" xfId="0" applyFont="1" applyFill="1" applyBorder="1" applyAlignment="1">
      <alignment vertical="center" wrapText="1"/>
    </xf>
    <xf numFmtId="0" fontId="14" fillId="5" borderId="3"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6" borderId="5"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8" borderId="3"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 fillId="0" borderId="9"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xf numFmtId="0" fontId="1" fillId="0" borderId="0" xfId="0" applyFont="1" applyBorder="1"/>
    <xf numFmtId="0" fontId="7" fillId="0" borderId="0" xfId="0" applyFont="1" applyBorder="1" applyAlignment="1">
      <alignment horizontal="left" vertical="center" wrapText="1"/>
    </xf>
    <xf numFmtId="0" fontId="2" fillId="0" borderId="9" xfId="0" applyFont="1" applyBorder="1" applyAlignment="1">
      <alignment horizontal="left" vertical="center" wrapText="1"/>
    </xf>
    <xf numFmtId="0" fontId="7" fillId="0" borderId="9" xfId="0" applyFont="1" applyBorder="1" applyAlignment="1">
      <alignment horizontal="left"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 fillId="0" borderId="9" xfId="0" applyFont="1" applyBorder="1" applyAlignment="1">
      <alignment horizontal="left" vertical="center" wrapText="1"/>
    </xf>
    <xf numFmtId="0" fontId="14" fillId="4" borderId="4" xfId="0" applyFont="1" applyFill="1" applyBorder="1" applyAlignment="1">
      <alignment vertical="center"/>
    </xf>
    <xf numFmtId="0" fontId="16" fillId="13" borderId="9"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0" fillId="0" borderId="0" xfId="0" applyAlignment="1">
      <alignment horizontal="center"/>
    </xf>
    <xf numFmtId="0" fontId="14" fillId="12" borderId="9" xfId="0" applyFont="1" applyFill="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4" fillId="0" borderId="0" xfId="0" applyFont="1" applyAlignment="1">
      <alignment horizontal="left" vertical="center"/>
    </xf>
    <xf numFmtId="0" fontId="1" fillId="0" borderId="22" xfId="0" applyFont="1" applyBorder="1" applyAlignment="1">
      <alignment horizontal="left" vertical="center"/>
    </xf>
    <xf numFmtId="0" fontId="1" fillId="0" borderId="9" xfId="0" applyFont="1" applyBorder="1" applyAlignment="1">
      <alignment horizontal="left" vertical="center"/>
    </xf>
    <xf numFmtId="0" fontId="2" fillId="0" borderId="9" xfId="0" applyFont="1" applyBorder="1" applyAlignment="1">
      <alignment horizontal="left" vertical="center"/>
    </xf>
    <xf numFmtId="0" fontId="14" fillId="13" borderId="9" xfId="0" applyFont="1" applyFill="1" applyBorder="1" applyAlignment="1">
      <alignment horizontal="left" vertical="center"/>
    </xf>
    <xf numFmtId="0" fontId="19" fillId="0" borderId="0" xfId="0" applyFont="1"/>
    <xf numFmtId="0" fontId="20" fillId="0" borderId="0" xfId="0" applyFont="1" applyAlignment="1">
      <alignment wrapText="1"/>
    </xf>
    <xf numFmtId="0" fontId="1" fillId="14" borderId="7" xfId="0" applyFont="1" applyFill="1" applyBorder="1" applyAlignment="1">
      <alignment horizontal="center" vertical="center" wrapText="1"/>
    </xf>
    <xf numFmtId="0" fontId="1" fillId="14" borderId="8" xfId="0" applyFont="1" applyFill="1" applyBorder="1" applyAlignment="1">
      <alignment horizontal="center" vertical="center" wrapText="1"/>
    </xf>
    <xf numFmtId="0" fontId="11" fillId="10" borderId="11" xfId="0" applyFont="1" applyFill="1" applyBorder="1" applyAlignment="1">
      <alignment horizontal="left" vertical="center" wrapText="1"/>
    </xf>
    <xf numFmtId="0" fontId="11" fillId="10" borderId="12" xfId="0" applyFont="1" applyFill="1" applyBorder="1" applyAlignment="1">
      <alignment horizontal="left" vertical="center" wrapText="1"/>
    </xf>
    <xf numFmtId="0" fontId="11" fillId="10" borderId="13" xfId="0" applyFont="1" applyFill="1" applyBorder="1" applyAlignment="1">
      <alignment horizontal="left" vertical="center" wrapText="1"/>
    </xf>
    <xf numFmtId="0" fontId="10" fillId="9" borderId="15" xfId="0" applyFont="1" applyFill="1" applyBorder="1" applyAlignment="1">
      <alignment horizontal="center" vertical="center" wrapText="1"/>
    </xf>
    <xf numFmtId="0" fontId="10" fillId="9" borderId="12"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wrapText="1"/>
    </xf>
    <xf numFmtId="0" fontId="14" fillId="2" borderId="2" xfId="0" applyFont="1" applyFill="1" applyBorder="1" applyAlignment="1">
      <alignment horizontal="center" wrapText="1"/>
    </xf>
    <xf numFmtId="0" fontId="11" fillId="10" borderId="11" xfId="0" applyFont="1" applyFill="1" applyBorder="1" applyAlignment="1">
      <alignment horizontal="left" vertical="center" wrapText="1"/>
    </xf>
    <xf numFmtId="0" fontId="11" fillId="10" borderId="12" xfId="0" applyFont="1" applyFill="1" applyBorder="1" applyAlignment="1">
      <alignment horizontal="left" vertical="center" wrapText="1"/>
    </xf>
    <xf numFmtId="0" fontId="11" fillId="10" borderId="13" xfId="0" applyFont="1" applyFill="1" applyBorder="1" applyAlignment="1">
      <alignment horizontal="left" vertical="center" wrapText="1"/>
    </xf>
    <xf numFmtId="0" fontId="10" fillId="9" borderId="14" xfId="0" applyFont="1" applyFill="1" applyBorder="1" applyAlignment="1">
      <alignment horizontal="center" vertical="center" wrapText="1"/>
    </xf>
    <xf numFmtId="0" fontId="10" fillId="9" borderId="16"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10" fillId="9" borderId="15" xfId="0" applyFont="1" applyFill="1" applyBorder="1" applyAlignment="1">
      <alignment horizontal="center" vertical="center" wrapText="1"/>
    </xf>
    <xf numFmtId="0" fontId="10" fillId="9" borderId="12" xfId="0" applyFont="1" applyFill="1" applyBorder="1" applyAlignment="1">
      <alignment horizontal="center" vertical="center" wrapText="1"/>
    </xf>
    <xf numFmtId="0" fontId="10" fillId="9" borderId="13" xfId="0" applyFont="1" applyFill="1" applyBorder="1" applyAlignment="1">
      <alignment horizontal="center" vertical="center" wrapText="1"/>
    </xf>
    <xf numFmtId="0" fontId="11" fillId="10" borderId="18" xfId="0" applyFont="1" applyFill="1" applyBorder="1" applyAlignment="1">
      <alignment horizontal="center" vertical="center" wrapText="1"/>
    </xf>
    <xf numFmtId="0" fontId="11" fillId="10" borderId="16" xfId="0" applyFont="1" applyFill="1" applyBorder="1" applyAlignment="1">
      <alignment horizontal="center" vertical="center" wrapText="1"/>
    </xf>
    <xf numFmtId="0" fontId="11" fillId="10" borderId="17" xfId="0" applyFont="1" applyFill="1" applyBorder="1" applyAlignment="1">
      <alignment horizontal="center" vertical="center" wrapText="1"/>
    </xf>
    <xf numFmtId="0" fontId="12" fillId="10" borderId="11" xfId="0" applyFont="1" applyFill="1" applyBorder="1" applyAlignment="1">
      <alignment horizontal="center" vertical="center" wrapText="1"/>
    </xf>
    <xf numFmtId="0" fontId="12" fillId="10" borderId="12" xfId="0" applyFont="1" applyFill="1" applyBorder="1" applyAlignment="1">
      <alignment horizontal="center" vertical="center" wrapText="1"/>
    </xf>
    <xf numFmtId="0" fontId="12" fillId="10" borderId="13" xfId="0" applyFont="1" applyFill="1" applyBorder="1" applyAlignment="1">
      <alignment horizontal="center" vertical="center" wrapText="1"/>
    </xf>
    <xf numFmtId="0" fontId="12" fillId="10" borderId="11" xfId="0" applyFont="1" applyFill="1" applyBorder="1" applyAlignment="1">
      <alignment horizontal="left" vertical="center" wrapText="1"/>
    </xf>
    <xf numFmtId="0" fontId="12" fillId="10" borderId="12" xfId="0" applyFont="1" applyFill="1" applyBorder="1" applyAlignment="1">
      <alignment horizontal="left" vertical="center" wrapText="1"/>
    </xf>
    <xf numFmtId="0" fontId="12" fillId="10" borderId="13" xfId="0" applyFont="1" applyFill="1" applyBorder="1" applyAlignment="1">
      <alignment horizontal="left"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wrapText="1"/>
    </xf>
    <xf numFmtId="0" fontId="8" fillId="2" borderId="2" xfId="0" applyFont="1" applyFill="1" applyBorder="1" applyAlignment="1">
      <alignment horizontal="center" wrapText="1"/>
    </xf>
  </cellXfs>
  <cellStyles count="1">
    <cellStyle name="Normal" xfId="0" builtinId="0"/>
  </cellStyles>
  <dxfs count="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dwinprod.sharepoint.com/sites/Team-NIIMBLBigDataProgram/Shared%20Documents/BD2%20-%20E2E%20Automated%20Control%20%20(RT%20Control%20of%20CQAs)/BD2%20Team%20Meetings/110320%20BD2%20Team/BD2%20Use-Case%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Hart, Roger" id="{8DE5CE22-F5B9-4366-BB70-0E713CFB1C9F}" userId="S::rhart_amgen.com#ext#@udwinprod.onmicrosoft.com::b69ce400-3fbf-4670-88f1-479c86b61e4e" providerId="AD"/>
  <person displayName="Bing.Zhang" id="{8E995E98-16DD-4D9B-825A-22ACE87C3CAB}" userId="S::bing.zhang_bms.com#ext#@udwinprod.onmicrosoft.com::c4804600-d822-4d80-a566-ee6287be37d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40805B-07CF-443E-B1DA-CDE3C62EB75B}" name="Table2" displayName="Table2" ref="A1:F17" totalsRowShown="0" headerRowDxfId="6" dataDxfId="5">
  <autoFilter ref="A1:F17" xr:uid="{F6ED717F-14BB-4439-913A-CD8A35668402}"/>
  <tableColumns count="6">
    <tableColumn id="1" xr3:uid="{C73BD0B0-FD6A-46DB-AFD1-2AA4C83D8E60}" name="NAME"/>
    <tableColumn id="2" xr3:uid="{FA5C1D37-645E-413A-8279-A4F514378453}" name="Galactosylation​" dataDxfId="4"/>
    <tableColumn id="3" xr3:uid="{34DBF4C6-FD9D-442F-B98C-629C4433FC51}" name="High Mannose​" dataDxfId="3"/>
    <tableColumn id="4" xr3:uid="{6819DC3B-A93F-4CED-BCCD-42DFDA8CF3FD}" name="Afucosylation​" dataDxfId="2"/>
    <tableColumn id="5" xr3:uid="{6D581D29-B1EA-4292-BE77-24DE3E06136C}" name="Aglycosylation​" dataDxfId="1"/>
    <tableColumn id="6" xr3:uid="{86ED19FD-6911-4541-A14B-B739CC25BE2D}" name="Sialyla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1-27T19:44:09.61" personId="{8E995E98-16DD-4D9B-825A-22ACE87C3CAB}" id="{D66DE960-524D-438A-8DC5-5713A9F49BEC}">
    <text>All these attributes are not mentioned in the literature</text>
  </threadedComment>
</ThreadedComments>
</file>

<file path=xl/threadedComments/threadedComment2.xml><?xml version="1.0" encoding="utf-8"?>
<ThreadedComments xmlns="http://schemas.microsoft.com/office/spreadsheetml/2018/threadedcomments" xmlns:x="http://schemas.openxmlformats.org/spreadsheetml/2006/main">
  <threadedComment ref="M20" dT="2021-01-20T19:48:59.32" personId="{8DE5CE22-F5B9-4366-BB70-0E713CFB1C9F}" id="{CCC1F07C-5EF1-45AD-B7FB-A24AED2A2C07}">
    <text>On average, control cultures showed 13.0% (± 0.3) G0 species, 46.9% (± 0.8) G0F, 3.7% (± 0.3) G1, 0.2% (± 0.1) G1', 13.0% (± 0.7) G1F, 4.3% (± 0.3) G1F’, 0.6% (± 0.1) G2, 1.5% (± 0.1) G2F, and 17% (± 1.5) Man5 species.</text>
  </threadedComment>
  <threadedComment ref="N20" dT="2021-01-20T19:50:35.04" personId="{8DE5CE22-F5B9-4366-BB70-0E713CFB1C9F}" id="{BC489C92-EFCC-4ADA-A856-D077510899AC}">
    <text>The mAb protein material was purified using MabSelect SuRe Protein A resin (GE Life Sciences) in the 0.6 mL Opus Repligen
RoboColumns (Repligen, Germany) on the JANUS BioTx workstation
(Perkin Elmer, Hopkinton, MA).</text>
  </threadedComment>
  <threadedComment ref="O20" dT="2021-01-20T19:51:48.84" personId="{8DE5CE22-F5B9-4366-BB70-0E713CFB1C9F}" id="{4FB45496-564E-4F03-8E51-C7AE2A3F3764}">
    <text>High throughput analysis of all samples was performed on the
LabChip GXII Touch (Perkin Elmer) with the GXII Glycan Release and Labeling Kit (Perkin Elmer, Part # 760,523), Glycan LabChip Reagent Kit (Perkin Elmer, Part # 760,525),
and High-Resolution Chip (Perkin Elmer, Part # 760,524) as described by the manufacturer.</text>
  </threadedComment>
  <threadedComment ref="R20" dT="2021-01-20T19:57:22.39" personId="{8DE5CE22-F5B9-4366-BB70-0E713CFB1C9F}" id="{60136BAB-EC69-4A6C-A399-A05F1CF532A5}">
    <text>Control wells received plain feed media without additives and  ere sampled every 48 h for metabolites using a Cedex BioHT Analyzer (Roche,Germany). The assay was concluded on D14  then 2.0 mL of each culture were harvested by centrifugation at 1,500x g for 5 min. Antibody titer was determined by biolayer interferometry in a Red96
ForteBio instrument (Pall, Westborough, MA).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951E-9735-4ADD-9827-1B7C9FEE37B2}">
  <dimension ref="A1:B16"/>
  <sheetViews>
    <sheetView workbookViewId="0">
      <selection activeCell="A2" sqref="A2"/>
    </sheetView>
  </sheetViews>
  <sheetFormatPr defaultRowHeight="14.45"/>
  <cols>
    <col min="1" max="1" width="23.85546875" style="1" customWidth="1"/>
    <col min="2" max="2" width="40.5703125" style="1" customWidth="1"/>
  </cols>
  <sheetData>
    <row r="1" spans="1:2">
      <c r="A1" s="3" t="s">
        <v>0</v>
      </c>
      <c r="B1" s="3" t="s">
        <v>1</v>
      </c>
    </row>
    <row r="2" spans="1:2">
      <c r="A2" s="73" t="s">
        <v>2</v>
      </c>
      <c r="B2" s="1" t="s">
        <v>3</v>
      </c>
    </row>
    <row r="3" spans="1:2">
      <c r="A3" s="73" t="s">
        <v>4</v>
      </c>
      <c r="B3" s="1" t="s">
        <v>3</v>
      </c>
    </row>
    <row r="4" spans="1:2">
      <c r="A4" s="74" t="s">
        <v>5</v>
      </c>
      <c r="B4" s="1" t="s">
        <v>6</v>
      </c>
    </row>
    <row r="5" spans="1:2">
      <c r="A5" s="73" t="s">
        <v>7</v>
      </c>
      <c r="B5" s="1" t="s">
        <v>8</v>
      </c>
    </row>
    <row r="6" spans="1:2">
      <c r="A6" s="73" t="s">
        <v>9</v>
      </c>
      <c r="B6" s="1" t="s">
        <v>8</v>
      </c>
    </row>
    <row r="7" spans="1:2">
      <c r="A7" s="73" t="s">
        <v>10</v>
      </c>
      <c r="B7" s="1" t="s">
        <v>8</v>
      </c>
    </row>
    <row r="8" spans="1:2">
      <c r="A8" s="73" t="s">
        <v>11</v>
      </c>
      <c r="B8" s="1" t="s">
        <v>12</v>
      </c>
    </row>
    <row r="9" spans="1:2">
      <c r="A9" s="73" t="s">
        <v>13</v>
      </c>
      <c r="B9" s="1" t="s">
        <v>12</v>
      </c>
    </row>
    <row r="10" spans="1:2">
      <c r="A10" s="73" t="s">
        <v>14</v>
      </c>
      <c r="B10" s="1" t="s">
        <v>12</v>
      </c>
    </row>
    <row r="11" spans="1:2">
      <c r="A11" s="73" t="s">
        <v>15</v>
      </c>
      <c r="B11" s="1" t="s">
        <v>12</v>
      </c>
    </row>
    <row r="12" spans="1:2">
      <c r="A12" s="73" t="s">
        <v>16</v>
      </c>
      <c r="B12" s="1" t="s">
        <v>12</v>
      </c>
    </row>
    <row r="13" spans="1:2">
      <c r="A13" s="73" t="s">
        <v>17</v>
      </c>
      <c r="B13" s="1" t="s">
        <v>12</v>
      </c>
    </row>
    <row r="14" spans="1:2">
      <c r="A14" s="75" t="s">
        <v>18</v>
      </c>
      <c r="B14" s="1" t="s">
        <v>8</v>
      </c>
    </row>
    <row r="15" spans="1:2">
      <c r="A15" s="76" t="s">
        <v>19</v>
      </c>
      <c r="B15" s="1" t="s">
        <v>8</v>
      </c>
    </row>
    <row r="16" spans="1:2">
      <c r="A16" s="76" t="s">
        <v>20</v>
      </c>
      <c r="B16" s="1" t="s">
        <v>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F0409-61F5-4C68-99E2-7BF3BFC14F17}">
  <sheetPr filterMode="1"/>
  <dimension ref="A1:O41"/>
  <sheetViews>
    <sheetView topLeftCell="B1" zoomScale="80" zoomScaleNormal="80" workbookViewId="0">
      <selection activeCell="B31" sqref="B31"/>
    </sheetView>
  </sheetViews>
  <sheetFormatPr defaultRowHeight="14.45"/>
  <cols>
    <col min="1" max="1" width="26.28515625" style="1" hidden="1" customWidth="1"/>
    <col min="2" max="2" width="74.7109375" style="1" customWidth="1"/>
    <col min="3" max="3" width="23.7109375" style="1" customWidth="1"/>
    <col min="4" max="4" width="24.140625" style="1" customWidth="1"/>
    <col min="5" max="5" width="18.28515625" style="1" customWidth="1"/>
    <col min="6" max="6" width="17.42578125" style="1" customWidth="1"/>
    <col min="7" max="15" width="8.7109375" style="1"/>
  </cols>
  <sheetData>
    <row r="1" spans="1:15" s="4" customFormat="1">
      <c r="A1" s="3" t="s">
        <v>0</v>
      </c>
      <c r="B1" s="45" t="s">
        <v>21</v>
      </c>
      <c r="C1" s="45" t="s">
        <v>22</v>
      </c>
      <c r="D1" s="45" t="s">
        <v>23</v>
      </c>
      <c r="E1" s="45" t="s">
        <v>24</v>
      </c>
      <c r="F1" s="3"/>
      <c r="G1" s="3"/>
      <c r="H1" s="3"/>
      <c r="I1" s="3"/>
      <c r="J1" s="3"/>
      <c r="K1" s="3"/>
      <c r="L1" s="3"/>
      <c r="M1" s="3"/>
      <c r="N1" s="3"/>
      <c r="O1" s="3"/>
    </row>
    <row r="2" spans="1:15" hidden="1">
      <c r="B2" s="1" t="s">
        <v>25</v>
      </c>
      <c r="C2" s="1" t="s">
        <v>26</v>
      </c>
      <c r="D2" s="1" t="s">
        <v>27</v>
      </c>
      <c r="E2" s="1" t="s">
        <v>28</v>
      </c>
    </row>
    <row r="3" spans="1:15" hidden="1">
      <c r="B3" s="1" t="s">
        <v>29</v>
      </c>
      <c r="C3" s="1" t="s">
        <v>26</v>
      </c>
      <c r="D3" s="1" t="s">
        <v>27</v>
      </c>
      <c r="E3" s="1" t="s">
        <v>28</v>
      </c>
    </row>
    <row r="4" spans="1:15" hidden="1">
      <c r="B4" s="1" t="s">
        <v>30</v>
      </c>
      <c r="C4" s="1" t="s">
        <v>26</v>
      </c>
      <c r="D4" s="1" t="s">
        <v>27</v>
      </c>
      <c r="E4" s="1" t="s">
        <v>28</v>
      </c>
    </row>
    <row r="5" spans="1:15">
      <c r="B5" s="1" t="s">
        <v>31</v>
      </c>
      <c r="C5" s="1" t="s">
        <v>32</v>
      </c>
      <c r="D5" s="1" t="s">
        <v>27</v>
      </c>
      <c r="E5" s="1" t="s">
        <v>28</v>
      </c>
    </row>
    <row r="6" spans="1:15">
      <c r="B6" s="1" t="s">
        <v>33</v>
      </c>
      <c r="C6" s="1" t="s">
        <v>32</v>
      </c>
      <c r="D6" s="1" t="s">
        <v>27</v>
      </c>
      <c r="E6" s="1" t="s">
        <v>28</v>
      </c>
    </row>
    <row r="7" spans="1:15">
      <c r="B7" s="1" t="s">
        <v>34</v>
      </c>
      <c r="C7" s="1" t="s">
        <v>32</v>
      </c>
      <c r="D7" s="1" t="s">
        <v>27</v>
      </c>
      <c r="E7" s="1" t="s">
        <v>28</v>
      </c>
    </row>
    <row r="8" spans="1:15" hidden="1">
      <c r="B8" s="1" t="s">
        <v>35</v>
      </c>
      <c r="C8" s="1" t="s">
        <v>26</v>
      </c>
      <c r="D8" s="1" t="s">
        <v>27</v>
      </c>
      <c r="E8" s="1" t="s">
        <v>36</v>
      </c>
    </row>
    <row r="9" spans="1:15" hidden="1">
      <c r="B9" s="1" t="s">
        <v>37</v>
      </c>
      <c r="C9" s="1" t="s">
        <v>26</v>
      </c>
      <c r="D9" s="1" t="s">
        <v>27</v>
      </c>
      <c r="E9" s="1" t="s">
        <v>36</v>
      </c>
    </row>
    <row r="10" spans="1:15" hidden="1">
      <c r="B10" s="1" t="s">
        <v>38</v>
      </c>
      <c r="C10" s="1" t="s">
        <v>26</v>
      </c>
      <c r="D10" s="1" t="s">
        <v>27</v>
      </c>
      <c r="E10" s="1" t="s">
        <v>36</v>
      </c>
    </row>
    <row r="11" spans="1:15">
      <c r="B11" s="1" t="s">
        <v>39</v>
      </c>
      <c r="C11" s="1" t="s">
        <v>32</v>
      </c>
      <c r="D11" s="1" t="s">
        <v>40</v>
      </c>
      <c r="E11" s="1" t="s">
        <v>41</v>
      </c>
    </row>
    <row r="12" spans="1:15">
      <c r="B12" s="47" t="s">
        <v>42</v>
      </c>
      <c r="C12" s="47" t="s">
        <v>32</v>
      </c>
      <c r="D12" s="47" t="s">
        <v>40</v>
      </c>
      <c r="E12" s="47" t="s">
        <v>41</v>
      </c>
    </row>
    <row r="13" spans="1:15">
      <c r="B13" s="47" t="s">
        <v>43</v>
      </c>
      <c r="C13" s="47" t="s">
        <v>32</v>
      </c>
      <c r="D13" s="47" t="s">
        <v>40</v>
      </c>
      <c r="E13" s="47" t="s">
        <v>41</v>
      </c>
    </row>
    <row r="14" spans="1:15">
      <c r="B14" s="1" t="s">
        <v>44</v>
      </c>
      <c r="C14" s="1" t="s">
        <v>32</v>
      </c>
      <c r="D14" s="1" t="s">
        <v>40</v>
      </c>
      <c r="E14" s="1" t="s">
        <v>41</v>
      </c>
    </row>
    <row r="15" spans="1:15">
      <c r="B15" s="1" t="s">
        <v>45</v>
      </c>
      <c r="C15" s="1" t="s">
        <v>32</v>
      </c>
      <c r="D15" s="1" t="s">
        <v>40</v>
      </c>
      <c r="E15" s="1" t="s">
        <v>41</v>
      </c>
    </row>
    <row r="16" spans="1:15" hidden="1">
      <c r="B16" s="1" t="s">
        <v>46</v>
      </c>
      <c r="C16" s="1" t="s">
        <v>47</v>
      </c>
      <c r="D16" s="1" t="s">
        <v>48</v>
      </c>
      <c r="E16" s="1" t="s">
        <v>49</v>
      </c>
    </row>
    <row r="17" spans="1:5" hidden="1">
      <c r="B17" s="1" t="s">
        <v>50</v>
      </c>
      <c r="C17" s="1" t="s">
        <v>47</v>
      </c>
      <c r="D17" s="1" t="s">
        <v>48</v>
      </c>
      <c r="E17" s="1" t="s">
        <v>49</v>
      </c>
    </row>
    <row r="18" spans="1:5" hidden="1">
      <c r="B18" s="1" t="s">
        <v>51</v>
      </c>
      <c r="C18" s="1" t="s">
        <v>52</v>
      </c>
      <c r="D18" s="1" t="s">
        <v>53</v>
      </c>
      <c r="E18" s="1" t="s">
        <v>49</v>
      </c>
    </row>
    <row r="19" spans="1:5" hidden="1">
      <c r="B19" s="1" t="s">
        <v>54</v>
      </c>
      <c r="C19" s="1" t="s">
        <v>52</v>
      </c>
      <c r="D19" s="1" t="s">
        <v>53</v>
      </c>
      <c r="E19" s="1" t="s">
        <v>49</v>
      </c>
    </row>
    <row r="20" spans="1:5" hidden="1">
      <c r="B20" s="1" t="s">
        <v>55</v>
      </c>
      <c r="C20" s="1" t="s">
        <v>52</v>
      </c>
      <c r="D20" s="1" t="s">
        <v>53</v>
      </c>
      <c r="E20" s="1" t="s">
        <v>49</v>
      </c>
    </row>
    <row r="21" spans="1:5">
      <c r="B21" s="1" t="s">
        <v>56</v>
      </c>
      <c r="C21" s="1" t="s">
        <v>32</v>
      </c>
      <c r="D21" s="1" t="s">
        <v>27</v>
      </c>
      <c r="E21" s="1" t="s">
        <v>49</v>
      </c>
    </row>
    <row r="22" spans="1:5">
      <c r="A22" s="1" t="s">
        <v>57</v>
      </c>
      <c r="B22" s="1" t="s">
        <v>57</v>
      </c>
      <c r="C22" s="1" t="s">
        <v>32</v>
      </c>
      <c r="D22" s="1" t="s">
        <v>27</v>
      </c>
      <c r="E22" s="1" t="s">
        <v>49</v>
      </c>
    </row>
    <row r="23" spans="1:5">
      <c r="B23" s="1" t="s">
        <v>58</v>
      </c>
      <c r="C23" s="1" t="s">
        <v>32</v>
      </c>
      <c r="D23" s="1" t="s">
        <v>27</v>
      </c>
      <c r="E23" s="1" t="s">
        <v>49</v>
      </c>
    </row>
    <row r="24" spans="1:5">
      <c r="B24" s="1" t="s">
        <v>59</v>
      </c>
      <c r="C24" s="1" t="s">
        <v>32</v>
      </c>
      <c r="D24" s="1" t="s">
        <v>60</v>
      </c>
      <c r="E24" s="1" t="s">
        <v>49</v>
      </c>
    </row>
    <row r="25" spans="1:5">
      <c r="B25" s="1" t="s">
        <v>61</v>
      </c>
      <c r="C25" s="1" t="s">
        <v>32</v>
      </c>
      <c r="D25" s="1" t="s">
        <v>60</v>
      </c>
      <c r="E25" s="1" t="s">
        <v>49</v>
      </c>
    </row>
    <row r="26" spans="1:5">
      <c r="B26" s="1" t="s">
        <v>62</v>
      </c>
      <c r="C26" s="1" t="s">
        <v>32</v>
      </c>
      <c r="D26" s="1" t="s">
        <v>27</v>
      </c>
      <c r="E26" s="1" t="s">
        <v>49</v>
      </c>
    </row>
    <row r="27" spans="1:5">
      <c r="B27" s="1" t="s">
        <v>63</v>
      </c>
      <c r="C27" s="1" t="s">
        <v>32</v>
      </c>
      <c r="D27" s="1" t="s">
        <v>27</v>
      </c>
      <c r="E27" s="1" t="s">
        <v>49</v>
      </c>
    </row>
    <row r="28" spans="1:5">
      <c r="B28" s="1" t="s">
        <v>64</v>
      </c>
      <c r="C28" s="1" t="s">
        <v>32</v>
      </c>
      <c r="D28" s="1" t="s">
        <v>27</v>
      </c>
      <c r="E28" s="1" t="s">
        <v>65</v>
      </c>
    </row>
    <row r="29" spans="1:5">
      <c r="B29" s="1" t="s">
        <v>66</v>
      </c>
      <c r="C29" s="1" t="s">
        <v>32</v>
      </c>
      <c r="D29" s="1" t="s">
        <v>27</v>
      </c>
      <c r="E29" s="1" t="s">
        <v>65</v>
      </c>
    </row>
    <row r="30" spans="1:5">
      <c r="B30" s="1" t="s">
        <v>67</v>
      </c>
      <c r="C30" s="1" t="s">
        <v>32</v>
      </c>
      <c r="D30" s="1" t="s">
        <v>27</v>
      </c>
      <c r="E30" s="1" t="s">
        <v>65</v>
      </c>
    </row>
    <row r="31" spans="1:5">
      <c r="B31" s="1" t="s">
        <v>68</v>
      </c>
      <c r="C31" s="1" t="s">
        <v>32</v>
      </c>
      <c r="D31" s="1" t="s">
        <v>27</v>
      </c>
      <c r="E31" s="1" t="s">
        <v>65</v>
      </c>
    </row>
    <row r="32" spans="1:5" hidden="1"/>
    <row r="33" spans="2:2" hidden="1"/>
    <row r="34" spans="2:2" hidden="1"/>
    <row r="35" spans="2:2" hidden="1"/>
    <row r="36" spans="2:2" hidden="1"/>
    <row r="37" spans="2:2" hidden="1"/>
    <row r="38" spans="2:2" hidden="1"/>
    <row r="39" spans="2:2" hidden="1"/>
    <row r="40" spans="2:2" hidden="1">
      <c r="B40" s="1" t="s">
        <v>69</v>
      </c>
    </row>
    <row r="41" spans="2:2" hidden="1">
      <c r="B41" s="1" t="s">
        <v>70</v>
      </c>
    </row>
  </sheetData>
  <autoFilter ref="B1:E41" xr:uid="{AD7B1690-7DD3-46D7-A7D1-78ABF5C4C3A2}">
    <filterColumn colId="1">
      <filters>
        <filter val="Cell Line / Product / Process"/>
      </filters>
    </filterColumn>
  </autoFilter>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697C-6C42-4CCA-A47D-E45978A12AD2}">
  <dimension ref="A1:F19"/>
  <sheetViews>
    <sheetView tabSelected="1" workbookViewId="0">
      <selection activeCell="B1" sqref="B1"/>
    </sheetView>
  </sheetViews>
  <sheetFormatPr defaultRowHeight="14.45"/>
  <cols>
    <col min="1" max="1" width="23.5703125" customWidth="1"/>
    <col min="2" max="2" width="19.140625" style="88" customWidth="1"/>
    <col min="3" max="3" width="22.42578125" style="88" customWidth="1"/>
    <col min="4" max="6" width="15.5703125" style="88" customWidth="1"/>
  </cols>
  <sheetData>
    <row r="1" spans="1:6">
      <c r="A1" t="s">
        <v>71</v>
      </c>
      <c r="B1" s="88" t="s">
        <v>72</v>
      </c>
      <c r="C1" s="88" t="s">
        <v>73</v>
      </c>
      <c r="D1" s="88" t="s">
        <v>74</v>
      </c>
      <c r="E1" s="88" t="s">
        <v>75</v>
      </c>
      <c r="F1" s="88" t="s">
        <v>76</v>
      </c>
    </row>
    <row r="2" spans="1:6">
      <c r="A2" t="s">
        <v>77</v>
      </c>
      <c r="B2" s="88">
        <v>3</v>
      </c>
      <c r="C2" s="88">
        <v>3</v>
      </c>
      <c r="D2" s="88">
        <v>1</v>
      </c>
      <c r="E2" s="88">
        <v>1</v>
      </c>
      <c r="F2" s="88">
        <v>1</v>
      </c>
    </row>
    <row r="3" spans="1:6">
      <c r="A3" t="s">
        <v>78</v>
      </c>
      <c r="B3" s="88">
        <v>3</v>
      </c>
      <c r="C3" s="88">
        <v>3</v>
      </c>
      <c r="D3" s="88">
        <v>2</v>
      </c>
      <c r="E3" s="88">
        <v>1</v>
      </c>
      <c r="F3" s="88">
        <v>1</v>
      </c>
    </row>
    <row r="4" spans="1:6">
      <c r="A4" t="s">
        <v>5</v>
      </c>
      <c r="B4" s="88">
        <v>3</v>
      </c>
      <c r="C4" s="88">
        <v>2</v>
      </c>
      <c r="D4" s="88">
        <v>3</v>
      </c>
      <c r="E4" s="88">
        <v>1</v>
      </c>
      <c r="F4" s="88">
        <v>1</v>
      </c>
    </row>
    <row r="5" spans="1:6">
      <c r="A5" t="s">
        <v>79</v>
      </c>
      <c r="B5" s="88">
        <v>3</v>
      </c>
      <c r="C5" s="88">
        <v>1</v>
      </c>
      <c r="D5" s="88">
        <v>2</v>
      </c>
      <c r="E5" s="88">
        <v>1</v>
      </c>
      <c r="F5" s="88">
        <v>3</v>
      </c>
    </row>
    <row r="6" spans="1:6">
      <c r="A6" t="s">
        <v>80</v>
      </c>
    </row>
    <row r="7" spans="1:6">
      <c r="A7" t="s">
        <v>81</v>
      </c>
    </row>
    <row r="8" spans="1:6">
      <c r="A8" t="s">
        <v>82</v>
      </c>
      <c r="B8" s="88">
        <v>3</v>
      </c>
      <c r="C8" s="88">
        <v>2</v>
      </c>
      <c r="D8" s="88">
        <v>3</v>
      </c>
      <c r="E8" s="88">
        <v>1</v>
      </c>
      <c r="F8" s="88">
        <v>1</v>
      </c>
    </row>
    <row r="9" spans="1:6">
      <c r="A9" t="s">
        <v>83</v>
      </c>
    </row>
    <row r="10" spans="1:6">
      <c r="A10" t="s">
        <v>84</v>
      </c>
      <c r="B10" s="88">
        <v>3</v>
      </c>
      <c r="C10" s="88">
        <v>2</v>
      </c>
      <c r="D10" s="88">
        <v>3</v>
      </c>
      <c r="E10" s="88">
        <v>1</v>
      </c>
      <c r="F10" s="88">
        <v>1</v>
      </c>
    </row>
    <row r="11" spans="1:6">
      <c r="A11" t="s">
        <v>85</v>
      </c>
    </row>
    <row r="12" spans="1:6">
      <c r="A12" t="s">
        <v>86</v>
      </c>
    </row>
    <row r="13" spans="1:6">
      <c r="A13" t="s">
        <v>17</v>
      </c>
    </row>
    <row r="14" spans="1:6">
      <c r="A14" t="s">
        <v>18</v>
      </c>
    </row>
    <row r="15" spans="1:6">
      <c r="A15" t="s">
        <v>19</v>
      </c>
    </row>
    <row r="16" spans="1:6" ht="15">
      <c r="A16" t="s">
        <v>87</v>
      </c>
      <c r="B16" s="88">
        <v>3</v>
      </c>
      <c r="C16" s="88">
        <v>3</v>
      </c>
      <c r="D16" s="88">
        <v>1</v>
      </c>
      <c r="E16" s="88">
        <v>1</v>
      </c>
      <c r="F16" s="88">
        <v>2</v>
      </c>
    </row>
    <row r="17" spans="1:1">
      <c r="A17" t="s">
        <v>20</v>
      </c>
    </row>
    <row r="19" spans="1:1">
      <c r="A19" s="1" t="s">
        <v>88</v>
      </c>
    </row>
  </sheetData>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3060-3CF3-4757-B542-57C5788A4416}">
  <dimension ref="A1:V44"/>
  <sheetViews>
    <sheetView zoomScale="90" zoomScaleNormal="90" workbookViewId="0">
      <pane xSplit="2" ySplit="3" topLeftCell="C5" activePane="bottomRight" state="frozen"/>
      <selection pane="bottomRight" activeCell="J5" sqref="J5"/>
      <selection pane="bottomLeft"/>
      <selection pane="topRight"/>
    </sheetView>
  </sheetViews>
  <sheetFormatPr defaultColWidth="8.7109375" defaultRowHeight="12.95"/>
  <cols>
    <col min="1" max="1" width="24" style="91" customWidth="1"/>
    <col min="2" max="2" width="83.140625" style="91" customWidth="1"/>
    <col min="3" max="7" width="14.5703125" style="1" customWidth="1"/>
    <col min="8" max="9" width="20.85546875" style="46" customWidth="1"/>
    <col min="10" max="17" width="22.85546875" style="46" customWidth="1"/>
    <col min="18" max="18" width="20.85546875" style="46" customWidth="1"/>
    <col min="19" max="19" width="152.42578125" style="46" customWidth="1"/>
    <col min="20" max="20" width="94.42578125" style="46" customWidth="1"/>
    <col min="21" max="16384" width="8.7109375" style="1"/>
  </cols>
  <sheetData>
    <row r="1" spans="1:22" ht="13.5" thickBot="1">
      <c r="C1" s="1" t="s">
        <v>89</v>
      </c>
    </row>
    <row r="2" spans="1:22" s="47" customFormat="1" ht="14.1" thickTop="1" thickBot="1">
      <c r="A2" s="92"/>
      <c r="B2" s="92"/>
      <c r="C2" s="106" t="s">
        <v>90</v>
      </c>
      <c r="D2" s="106"/>
      <c r="E2" s="106"/>
      <c r="F2" s="106"/>
      <c r="G2" s="106"/>
      <c r="H2" s="107" t="s">
        <v>91</v>
      </c>
      <c r="I2" s="107"/>
      <c r="J2" s="107" t="s">
        <v>92</v>
      </c>
      <c r="K2" s="107"/>
      <c r="L2" s="107"/>
      <c r="M2" s="107" t="s">
        <v>93</v>
      </c>
      <c r="N2" s="107"/>
      <c r="O2" s="107"/>
      <c r="P2" s="107" t="s">
        <v>94</v>
      </c>
      <c r="Q2" s="107"/>
      <c r="R2" s="108"/>
      <c r="S2" s="48"/>
      <c r="T2" s="49"/>
    </row>
    <row r="3" spans="1:22" s="50" customFormat="1" ht="66" thickTop="1" thickBot="1">
      <c r="A3" s="89" t="s">
        <v>71</v>
      </c>
      <c r="B3" s="89" t="s">
        <v>95</v>
      </c>
      <c r="C3" s="85" t="s">
        <v>96</v>
      </c>
      <c r="D3" s="51" t="s">
        <v>97</v>
      </c>
      <c r="E3" s="51" t="s">
        <v>98</v>
      </c>
      <c r="F3" s="51" t="s">
        <v>99</v>
      </c>
      <c r="G3" s="52" t="s">
        <v>100</v>
      </c>
      <c r="H3" s="53" t="s">
        <v>101</v>
      </c>
      <c r="I3" s="54" t="s">
        <v>102</v>
      </c>
      <c r="J3" s="55" t="s">
        <v>103</v>
      </c>
      <c r="K3" s="56" t="s">
        <v>104</v>
      </c>
      <c r="L3" s="57" t="s">
        <v>105</v>
      </c>
      <c r="M3" s="58" t="s">
        <v>106</v>
      </c>
      <c r="N3" s="59" t="s">
        <v>107</v>
      </c>
      <c r="O3" s="60" t="s">
        <v>108</v>
      </c>
      <c r="P3" s="61" t="s">
        <v>109</v>
      </c>
      <c r="Q3" s="62" t="s">
        <v>107</v>
      </c>
      <c r="R3" s="62" t="s">
        <v>108</v>
      </c>
      <c r="S3" s="63" t="s">
        <v>110</v>
      </c>
      <c r="T3" s="64"/>
      <c r="U3" s="64"/>
      <c r="V3" s="64"/>
    </row>
    <row r="4" spans="1:22" s="65" customFormat="1" ht="89.25">
      <c r="A4" s="87" t="s">
        <v>111</v>
      </c>
      <c r="B4" s="93" t="s">
        <v>33</v>
      </c>
      <c r="C4" s="67"/>
      <c r="D4" s="67">
        <v>1</v>
      </c>
      <c r="E4" s="67">
        <v>1</v>
      </c>
      <c r="F4" s="67">
        <v>1</v>
      </c>
      <c r="G4" s="68">
        <v>3</v>
      </c>
      <c r="H4" s="69" t="s">
        <v>112</v>
      </c>
      <c r="I4" s="68" t="s">
        <v>113</v>
      </c>
      <c r="J4" s="66"/>
      <c r="K4" s="70"/>
      <c r="L4" s="71"/>
      <c r="M4" s="66"/>
      <c r="N4" s="70"/>
      <c r="O4" s="68"/>
      <c r="P4" s="66"/>
      <c r="Q4" s="70" t="s">
        <v>114</v>
      </c>
      <c r="R4" s="68" t="s">
        <v>115</v>
      </c>
      <c r="S4" s="72" t="s">
        <v>116</v>
      </c>
    </row>
    <row r="5" spans="1:22" s="65" customFormat="1" ht="229.5">
      <c r="A5" s="87" t="s">
        <v>117</v>
      </c>
      <c r="B5" s="94" t="s">
        <v>34</v>
      </c>
      <c r="C5" s="67"/>
      <c r="D5" s="67">
        <v>1</v>
      </c>
      <c r="E5" s="67">
        <v>1</v>
      </c>
      <c r="F5" s="67"/>
      <c r="G5" s="68">
        <v>2</v>
      </c>
      <c r="H5" s="69" t="s">
        <v>112</v>
      </c>
      <c r="I5" s="68"/>
      <c r="J5" s="66" t="s">
        <v>118</v>
      </c>
      <c r="K5" s="70"/>
      <c r="L5" s="71"/>
      <c r="M5" s="66"/>
      <c r="N5" s="70"/>
      <c r="O5" s="68"/>
      <c r="P5" s="66"/>
      <c r="Q5" s="70"/>
      <c r="R5" s="68"/>
      <c r="S5" s="72" t="s">
        <v>119</v>
      </c>
    </row>
    <row r="6" spans="1:22" s="65" customFormat="1" ht="25.5">
      <c r="A6" s="95" t="s">
        <v>5</v>
      </c>
      <c r="B6" s="94" t="s">
        <v>39</v>
      </c>
      <c r="D6" s="65">
        <v>3</v>
      </c>
      <c r="E6" s="65">
        <v>1</v>
      </c>
      <c r="F6" s="65" t="s">
        <v>120</v>
      </c>
      <c r="G6" s="65">
        <v>3</v>
      </c>
      <c r="H6" s="65" t="s">
        <v>112</v>
      </c>
      <c r="I6" s="65" t="s">
        <v>121</v>
      </c>
      <c r="K6" s="65" t="s">
        <v>122</v>
      </c>
      <c r="L6" s="65" t="s">
        <v>123</v>
      </c>
      <c r="M6" s="65" t="s">
        <v>124</v>
      </c>
      <c r="N6" s="65" t="s">
        <v>125</v>
      </c>
      <c r="O6" s="65" t="s">
        <v>126</v>
      </c>
      <c r="P6" s="65" t="s">
        <v>120</v>
      </c>
      <c r="Q6" s="65" t="s">
        <v>120</v>
      </c>
      <c r="R6" s="65" t="s">
        <v>120</v>
      </c>
      <c r="S6" s="65" t="s">
        <v>127</v>
      </c>
    </row>
    <row r="7" spans="1:22" s="64" customFormat="1" ht="26.1">
      <c r="A7" s="86" t="s">
        <v>77</v>
      </c>
      <c r="B7" s="96" t="s">
        <v>42</v>
      </c>
      <c r="C7" s="79"/>
      <c r="D7" s="79">
        <v>1</v>
      </c>
      <c r="E7" s="79">
        <v>1</v>
      </c>
      <c r="F7" s="79"/>
      <c r="G7" s="80"/>
      <c r="H7" s="28" t="s">
        <v>112</v>
      </c>
      <c r="I7" s="80" t="s">
        <v>120</v>
      </c>
      <c r="J7" s="66"/>
      <c r="K7" s="82" t="s">
        <v>120</v>
      </c>
      <c r="L7" s="83" t="s">
        <v>120</v>
      </c>
      <c r="M7" s="81" t="s">
        <v>128</v>
      </c>
      <c r="N7" s="82" t="s">
        <v>112</v>
      </c>
      <c r="O7" s="80" t="s">
        <v>120</v>
      </c>
      <c r="P7" s="81" t="s">
        <v>120</v>
      </c>
      <c r="Q7" s="82" t="s">
        <v>120</v>
      </c>
      <c r="R7" s="80" t="s">
        <v>120</v>
      </c>
      <c r="S7" s="72" t="s">
        <v>129</v>
      </c>
    </row>
    <row r="8" spans="1:22" s="64" customFormat="1" ht="156.6" thickBot="1">
      <c r="A8" s="86" t="s">
        <v>130</v>
      </c>
      <c r="B8" s="96" t="s">
        <v>43</v>
      </c>
      <c r="C8" s="79"/>
      <c r="D8" s="79">
        <v>1</v>
      </c>
      <c r="E8" s="79">
        <v>1</v>
      </c>
      <c r="F8" s="79"/>
      <c r="G8" s="80">
        <v>2</v>
      </c>
      <c r="H8" s="28" t="s">
        <v>112</v>
      </c>
      <c r="I8" s="80" t="s">
        <v>120</v>
      </c>
      <c r="J8" s="66" t="s">
        <v>131</v>
      </c>
      <c r="K8" s="70" t="s">
        <v>122</v>
      </c>
      <c r="L8" s="71" t="s">
        <v>132</v>
      </c>
      <c r="M8" s="66" t="s">
        <v>120</v>
      </c>
      <c r="N8" s="70" t="s">
        <v>120</v>
      </c>
      <c r="O8" s="68" t="s">
        <v>120</v>
      </c>
      <c r="P8" s="66" t="s">
        <v>120</v>
      </c>
      <c r="Q8" s="70" t="s">
        <v>120</v>
      </c>
      <c r="R8" s="68" t="s">
        <v>120</v>
      </c>
      <c r="S8" s="72" t="s">
        <v>133</v>
      </c>
    </row>
    <row r="9" spans="1:22" s="65" customFormat="1" ht="45" customHeight="1">
      <c r="A9" s="77" t="s">
        <v>81</v>
      </c>
      <c r="B9" s="94" t="s">
        <v>44</v>
      </c>
      <c r="C9" s="67"/>
      <c r="D9" s="65">
        <v>1</v>
      </c>
      <c r="E9" s="65">
        <v>1</v>
      </c>
      <c r="G9" s="65">
        <v>2</v>
      </c>
      <c r="H9" s="65" t="s">
        <v>112</v>
      </c>
      <c r="I9" s="65" t="s">
        <v>134</v>
      </c>
      <c r="J9" s="65" t="s">
        <v>128</v>
      </c>
      <c r="K9" s="70" t="s">
        <v>135</v>
      </c>
      <c r="L9" s="71"/>
      <c r="M9" s="66" t="s">
        <v>128</v>
      </c>
      <c r="N9" s="70" t="s">
        <v>112</v>
      </c>
      <c r="O9" s="68" t="s">
        <v>136</v>
      </c>
      <c r="P9" s="66" t="s">
        <v>120</v>
      </c>
      <c r="Q9" s="70" t="s">
        <v>120</v>
      </c>
      <c r="R9" s="68" t="s">
        <v>120</v>
      </c>
      <c r="S9" s="72" t="s">
        <v>137</v>
      </c>
    </row>
    <row r="10" spans="1:22" s="65" customFormat="1" ht="39.6" thickBot="1">
      <c r="A10" s="77" t="s">
        <v>11</v>
      </c>
      <c r="B10" s="94" t="s">
        <v>45</v>
      </c>
      <c r="C10" s="67"/>
      <c r="D10" s="67">
        <v>1</v>
      </c>
      <c r="E10" s="67">
        <v>1</v>
      </c>
      <c r="F10" s="67"/>
      <c r="G10" s="68">
        <v>2</v>
      </c>
      <c r="H10" s="28" t="s">
        <v>120</v>
      </c>
      <c r="I10" s="68" t="s">
        <v>120</v>
      </c>
      <c r="J10" s="66" t="s">
        <v>120</v>
      </c>
      <c r="K10" s="70" t="s">
        <v>120</v>
      </c>
      <c r="L10" s="97" t="s">
        <v>120</v>
      </c>
      <c r="M10" s="97" t="s">
        <v>128</v>
      </c>
      <c r="N10" s="70" t="s">
        <v>112</v>
      </c>
      <c r="O10" s="68" t="s">
        <v>120</v>
      </c>
      <c r="P10" s="66" t="s">
        <v>120</v>
      </c>
      <c r="Q10" s="70" t="s">
        <v>120</v>
      </c>
      <c r="R10" s="68" t="s">
        <v>120</v>
      </c>
      <c r="S10" s="72" t="s">
        <v>138</v>
      </c>
    </row>
    <row r="11" spans="1:22" s="65" customFormat="1" ht="13.5" thickBot="1">
      <c r="A11" s="77" t="s">
        <v>13</v>
      </c>
      <c r="B11" s="94" t="s">
        <v>56</v>
      </c>
      <c r="C11" s="67"/>
      <c r="D11" s="67"/>
      <c r="E11" s="67"/>
      <c r="F11" s="67"/>
      <c r="G11" s="68"/>
      <c r="H11" s="69"/>
      <c r="I11" s="68"/>
      <c r="J11" s="66"/>
      <c r="K11" s="70"/>
      <c r="L11" s="71"/>
      <c r="M11" s="66"/>
      <c r="N11" s="70"/>
      <c r="O11" s="68"/>
      <c r="P11" s="66"/>
      <c r="Q11" s="70"/>
      <c r="R11" s="68"/>
      <c r="S11" s="72"/>
    </row>
    <row r="12" spans="1:22" s="65" customFormat="1" ht="13.5" thickBot="1">
      <c r="A12" s="77" t="s">
        <v>13</v>
      </c>
      <c r="B12" s="94" t="s">
        <v>57</v>
      </c>
      <c r="C12" s="67"/>
      <c r="D12" s="67"/>
      <c r="E12" s="67"/>
      <c r="F12" s="67"/>
      <c r="G12" s="68"/>
      <c r="H12" s="69"/>
      <c r="I12" s="68"/>
      <c r="J12" s="66"/>
      <c r="K12" s="70"/>
      <c r="L12" s="71"/>
      <c r="M12" s="66"/>
      <c r="N12" s="70"/>
      <c r="O12" s="68"/>
      <c r="P12" s="66"/>
      <c r="Q12" s="70"/>
      <c r="R12" s="68"/>
      <c r="S12" s="72"/>
    </row>
    <row r="13" spans="1:22" s="65" customFormat="1" ht="90.95">
      <c r="A13" s="77" t="s">
        <v>14</v>
      </c>
      <c r="B13" s="94" t="s">
        <v>58</v>
      </c>
      <c r="C13" s="67"/>
      <c r="D13" s="67">
        <v>1</v>
      </c>
      <c r="E13" s="67">
        <v>1</v>
      </c>
      <c r="F13" s="67">
        <v>2</v>
      </c>
      <c r="G13" s="68">
        <v>2</v>
      </c>
      <c r="H13" s="69" t="s">
        <v>112</v>
      </c>
      <c r="I13" s="68" t="s">
        <v>139</v>
      </c>
      <c r="J13" s="66" t="s">
        <v>140</v>
      </c>
      <c r="K13" s="70" t="s">
        <v>141</v>
      </c>
      <c r="L13" s="71" t="s">
        <v>142</v>
      </c>
      <c r="M13" s="66"/>
      <c r="N13" s="70" t="s">
        <v>143</v>
      </c>
      <c r="O13" s="68" t="s">
        <v>144</v>
      </c>
      <c r="P13" s="66" t="s">
        <v>145</v>
      </c>
      <c r="Q13" s="70" t="s">
        <v>112</v>
      </c>
      <c r="R13" s="68" t="s">
        <v>146</v>
      </c>
      <c r="S13" s="72" t="s">
        <v>147</v>
      </c>
    </row>
    <row r="14" spans="1:22" s="65" customFormat="1" ht="102">
      <c r="A14" s="77" t="s">
        <v>85</v>
      </c>
      <c r="B14" s="94" t="s">
        <v>59</v>
      </c>
      <c r="C14" s="67"/>
      <c r="D14" s="67">
        <v>1</v>
      </c>
      <c r="E14" s="67">
        <v>1</v>
      </c>
      <c r="F14" s="67"/>
      <c r="G14" s="68"/>
      <c r="H14" s="69" t="s">
        <v>112</v>
      </c>
      <c r="I14" s="68" t="s">
        <v>139</v>
      </c>
      <c r="J14" s="66" t="s">
        <v>148</v>
      </c>
      <c r="K14" s="70" t="s">
        <v>149</v>
      </c>
      <c r="L14" s="71"/>
      <c r="M14" s="66" t="s">
        <v>128</v>
      </c>
      <c r="N14" s="70" t="s">
        <v>112</v>
      </c>
      <c r="O14" s="68"/>
      <c r="P14" s="66"/>
      <c r="Q14" s="70"/>
      <c r="R14" s="68"/>
      <c r="S14" s="72" t="s">
        <v>150</v>
      </c>
    </row>
    <row r="15" spans="1:22" s="65" customFormat="1" ht="140.25">
      <c r="A15" s="77" t="s">
        <v>86</v>
      </c>
      <c r="B15" s="94" t="s">
        <v>61</v>
      </c>
      <c r="C15" s="67"/>
      <c r="D15" s="67">
        <v>2</v>
      </c>
      <c r="E15" s="67">
        <v>1</v>
      </c>
      <c r="F15" s="67"/>
      <c r="G15" s="68">
        <v>2</v>
      </c>
      <c r="H15" s="69" t="s">
        <v>151</v>
      </c>
      <c r="I15" s="68"/>
      <c r="J15" s="98" t="s">
        <v>152</v>
      </c>
      <c r="K15" s="70"/>
      <c r="L15" s="71" t="s">
        <v>153</v>
      </c>
      <c r="M15" s="66"/>
      <c r="N15" s="70"/>
      <c r="O15" s="68"/>
      <c r="P15" s="66"/>
      <c r="Q15" s="70"/>
      <c r="R15" s="68"/>
      <c r="S15" s="72" t="s">
        <v>154</v>
      </c>
    </row>
    <row r="16" spans="1:22" s="65" customFormat="1" ht="12.75">
      <c r="A16" s="77" t="s">
        <v>155</v>
      </c>
      <c r="B16" s="94" t="s">
        <v>62</v>
      </c>
      <c r="C16" s="67"/>
      <c r="D16" s="67"/>
      <c r="E16" s="67"/>
      <c r="F16" s="67"/>
      <c r="G16" s="68"/>
      <c r="H16" s="69"/>
      <c r="I16" s="68"/>
      <c r="J16" s="66"/>
      <c r="K16" s="70"/>
      <c r="L16" s="71"/>
      <c r="M16" s="66"/>
      <c r="N16" s="70"/>
      <c r="O16" s="68"/>
      <c r="P16" s="66"/>
      <c r="Q16" s="70"/>
      <c r="R16" s="68"/>
      <c r="S16" s="72"/>
    </row>
    <row r="17" spans="1:19" s="65" customFormat="1" ht="12.75">
      <c r="A17" s="94" t="s">
        <v>18</v>
      </c>
      <c r="B17" s="94" t="s">
        <v>63</v>
      </c>
      <c r="C17" s="67"/>
      <c r="D17" s="67"/>
      <c r="E17" s="67"/>
      <c r="F17" s="67"/>
      <c r="G17" s="68"/>
      <c r="H17" s="69"/>
      <c r="I17" s="68"/>
      <c r="J17" s="66"/>
      <c r="K17" s="70"/>
      <c r="L17" s="71"/>
      <c r="M17" s="66"/>
      <c r="N17" s="70"/>
      <c r="O17" s="68"/>
      <c r="P17" s="66"/>
      <c r="Q17" s="70"/>
      <c r="R17" s="68"/>
      <c r="S17" s="72"/>
    </row>
    <row r="18" spans="1:19" s="65" customFormat="1" ht="51">
      <c r="A18" s="78" t="s">
        <v>19</v>
      </c>
      <c r="B18" s="94" t="s">
        <v>64</v>
      </c>
      <c r="C18" s="67"/>
      <c r="D18" s="67">
        <v>2</v>
      </c>
      <c r="E18" s="67">
        <v>2</v>
      </c>
      <c r="F18" s="67"/>
      <c r="G18" s="68">
        <v>1</v>
      </c>
      <c r="H18" s="69" t="s">
        <v>112</v>
      </c>
      <c r="I18" s="68" t="s">
        <v>139</v>
      </c>
      <c r="J18" s="81" t="s">
        <v>156</v>
      </c>
      <c r="K18" s="70" t="s">
        <v>112</v>
      </c>
      <c r="L18" s="71"/>
      <c r="M18" s="66" t="s">
        <v>157</v>
      </c>
      <c r="N18" s="70" t="s">
        <v>158</v>
      </c>
      <c r="O18" s="68" t="s">
        <v>159</v>
      </c>
      <c r="P18" s="66"/>
      <c r="Q18" s="70"/>
      <c r="R18" s="68"/>
      <c r="S18" s="72" t="s">
        <v>160</v>
      </c>
    </row>
    <row r="19" spans="1:19" s="65" customFormat="1" ht="12.75">
      <c r="A19" s="78" t="s">
        <v>20</v>
      </c>
      <c r="B19" s="94" t="s">
        <v>66</v>
      </c>
      <c r="C19" s="67"/>
      <c r="D19" s="67"/>
      <c r="E19" s="67"/>
      <c r="F19" s="67"/>
      <c r="G19" s="68"/>
      <c r="H19" s="69"/>
      <c r="I19" s="68"/>
      <c r="J19" s="66"/>
      <c r="K19" s="70"/>
      <c r="L19" s="71"/>
      <c r="M19" s="66"/>
      <c r="N19" s="70"/>
      <c r="O19" s="68"/>
      <c r="P19" s="66"/>
      <c r="Q19" s="70"/>
      <c r="R19" s="68"/>
      <c r="S19" s="72"/>
    </row>
    <row r="20" spans="1:19" s="65" customFormat="1" ht="51.95">
      <c r="A20" s="77" t="s">
        <v>2</v>
      </c>
      <c r="B20" s="94" t="s">
        <v>67</v>
      </c>
      <c r="C20" s="67"/>
      <c r="D20" s="67">
        <v>1</v>
      </c>
      <c r="E20" s="67">
        <v>1</v>
      </c>
      <c r="F20" s="67">
        <v>2</v>
      </c>
      <c r="G20" s="68">
        <v>2</v>
      </c>
      <c r="H20" s="69" t="s">
        <v>112</v>
      </c>
      <c r="I20" s="68" t="s">
        <v>161</v>
      </c>
      <c r="J20" s="66" t="s">
        <v>162</v>
      </c>
      <c r="K20" s="70" t="s">
        <v>163</v>
      </c>
      <c r="L20" s="71" t="s">
        <v>164</v>
      </c>
      <c r="M20" s="66" t="s">
        <v>165</v>
      </c>
      <c r="N20" s="70" t="s">
        <v>166</v>
      </c>
      <c r="O20" s="68" t="s">
        <v>167</v>
      </c>
      <c r="P20" s="66" t="s">
        <v>168</v>
      </c>
      <c r="Q20" s="70" t="s">
        <v>112</v>
      </c>
      <c r="R20" s="68" t="s">
        <v>169</v>
      </c>
      <c r="S20" s="72" t="s">
        <v>170</v>
      </c>
    </row>
    <row r="21" spans="1:19" s="65" customFormat="1" ht="92.25" customHeight="1">
      <c r="A21" s="95" t="s">
        <v>5</v>
      </c>
      <c r="B21" s="84" t="s">
        <v>68</v>
      </c>
      <c r="C21" s="66"/>
      <c r="D21" s="67">
        <v>1</v>
      </c>
      <c r="E21" s="67">
        <v>1</v>
      </c>
      <c r="F21" s="67"/>
      <c r="G21" s="68"/>
      <c r="H21" s="69"/>
      <c r="I21" s="68" t="s">
        <v>139</v>
      </c>
      <c r="J21" s="66"/>
      <c r="K21" s="70"/>
      <c r="L21" s="71"/>
      <c r="M21" s="66" t="s">
        <v>171</v>
      </c>
      <c r="N21" s="70"/>
      <c r="O21" s="68"/>
      <c r="P21" s="66"/>
      <c r="Q21" s="70"/>
      <c r="R21" s="68"/>
      <c r="S21" s="72" t="s">
        <v>172</v>
      </c>
    </row>
    <row r="22" spans="1:19" s="65" customFormat="1" ht="13.5" thickBot="1">
      <c r="A22" s="84" t="s">
        <v>77</v>
      </c>
      <c r="B22" s="84" t="s">
        <v>173</v>
      </c>
      <c r="C22" s="66"/>
      <c r="D22" s="67"/>
      <c r="E22" s="67"/>
      <c r="F22" s="67"/>
      <c r="G22" s="68"/>
      <c r="H22" s="69"/>
      <c r="I22" s="68"/>
      <c r="J22" s="66"/>
      <c r="K22" s="70"/>
      <c r="L22" s="71"/>
      <c r="M22" s="66"/>
      <c r="N22" s="70"/>
      <c r="O22" s="68"/>
      <c r="P22" s="66"/>
      <c r="Q22" s="70"/>
      <c r="R22" s="68"/>
      <c r="S22" s="72"/>
    </row>
    <row r="23" spans="1:19" s="65" customFormat="1" ht="12.75">
      <c r="A23" s="84" t="s">
        <v>77</v>
      </c>
      <c r="B23" s="84" t="s">
        <v>174</v>
      </c>
      <c r="C23" s="66"/>
      <c r="D23" s="67"/>
      <c r="E23" s="67"/>
      <c r="F23" s="67"/>
      <c r="G23" s="68"/>
      <c r="H23" s="69"/>
      <c r="I23" s="68"/>
      <c r="J23" s="66"/>
      <c r="K23" s="70"/>
      <c r="L23" s="71"/>
      <c r="M23" s="66"/>
      <c r="N23" s="70"/>
      <c r="O23" s="68"/>
      <c r="P23" s="66"/>
      <c r="Q23" s="70"/>
      <c r="R23" s="68"/>
      <c r="S23" s="72"/>
    </row>
    <row r="24" spans="1:19" s="65" customFormat="1" ht="25.5">
      <c r="A24" s="84" t="s">
        <v>87</v>
      </c>
      <c r="B24" s="84" t="s">
        <v>66</v>
      </c>
      <c r="C24" s="66"/>
      <c r="D24" s="99"/>
      <c r="E24" s="99"/>
      <c r="F24" s="99"/>
      <c r="G24" s="100"/>
      <c r="H24" s="69" t="s">
        <v>112</v>
      </c>
      <c r="I24" s="68" t="s">
        <v>175</v>
      </c>
      <c r="J24" s="66" t="s">
        <v>176</v>
      </c>
      <c r="K24" s="70" t="s">
        <v>135</v>
      </c>
      <c r="L24" s="71" t="s">
        <v>177</v>
      </c>
      <c r="M24" s="66" t="s">
        <v>178</v>
      </c>
      <c r="N24" s="70"/>
      <c r="O24" s="68"/>
      <c r="P24" s="66"/>
      <c r="Q24" s="70"/>
      <c r="R24" s="68"/>
      <c r="S24" s="72" t="s">
        <v>179</v>
      </c>
    </row>
    <row r="25" spans="1:19" s="65" customFormat="1" ht="38.25">
      <c r="A25" s="84" t="s">
        <v>87</v>
      </c>
      <c r="B25" s="84" t="s">
        <v>64</v>
      </c>
      <c r="C25" s="66"/>
      <c r="D25" s="67">
        <v>2</v>
      </c>
      <c r="E25" s="67">
        <v>2</v>
      </c>
      <c r="F25" s="67"/>
      <c r="G25" s="68">
        <v>1</v>
      </c>
      <c r="H25" s="69" t="s">
        <v>112</v>
      </c>
      <c r="I25" s="68" t="s">
        <v>180</v>
      </c>
      <c r="J25" s="66" t="s">
        <v>181</v>
      </c>
      <c r="K25" s="70" t="s">
        <v>163</v>
      </c>
      <c r="L25" s="71" t="s">
        <v>164</v>
      </c>
      <c r="M25" s="66" t="s">
        <v>157</v>
      </c>
      <c r="N25" s="70" t="s">
        <v>125</v>
      </c>
      <c r="O25" s="68" t="s">
        <v>182</v>
      </c>
      <c r="P25" s="66"/>
      <c r="Q25" s="70"/>
      <c r="R25" s="68"/>
      <c r="S25" s="72" t="s">
        <v>183</v>
      </c>
    </row>
    <row r="26" spans="1:19" s="65" customFormat="1" ht="12.75">
      <c r="A26" s="84"/>
      <c r="B26" s="84"/>
      <c r="C26" s="66"/>
      <c r="D26" s="67"/>
      <c r="E26" s="67"/>
      <c r="F26" s="67"/>
      <c r="G26" s="68"/>
      <c r="H26" s="69"/>
      <c r="I26" s="68"/>
      <c r="J26" s="66"/>
      <c r="K26" s="70"/>
      <c r="L26" s="71"/>
      <c r="M26" s="66"/>
      <c r="N26" s="70"/>
      <c r="O26" s="68"/>
      <c r="P26" s="66"/>
      <c r="Q26" s="70"/>
      <c r="R26" s="68"/>
      <c r="S26" s="72"/>
    </row>
    <row r="27" spans="1:19" s="65" customFormat="1" ht="12.75">
      <c r="A27" s="84"/>
      <c r="B27" s="84"/>
      <c r="C27" s="66"/>
      <c r="D27" s="67"/>
      <c r="E27" s="67"/>
      <c r="F27" s="67"/>
      <c r="G27" s="68"/>
      <c r="H27" s="69"/>
      <c r="I27" s="68"/>
      <c r="J27" s="66"/>
      <c r="K27" s="70"/>
      <c r="L27" s="71"/>
      <c r="M27" s="66"/>
      <c r="N27" s="70"/>
      <c r="O27" s="68"/>
      <c r="P27" s="66"/>
      <c r="Q27" s="70"/>
      <c r="R27" s="68"/>
      <c r="S27" s="72"/>
    </row>
    <row r="28" spans="1:19" s="65" customFormat="1" ht="13.5" thickBot="1">
      <c r="A28" s="84"/>
      <c r="B28" s="84"/>
      <c r="C28" s="66"/>
      <c r="D28" s="67"/>
      <c r="E28" s="67"/>
      <c r="F28" s="67"/>
      <c r="G28" s="68"/>
      <c r="H28" s="69"/>
      <c r="I28" s="68"/>
      <c r="J28" s="66"/>
      <c r="K28" s="70"/>
      <c r="L28" s="71"/>
      <c r="M28" s="66"/>
      <c r="N28" s="70"/>
      <c r="O28" s="68"/>
      <c r="P28" s="66"/>
      <c r="Q28" s="70"/>
      <c r="R28" s="68"/>
      <c r="S28" s="72"/>
    </row>
    <row r="29" spans="1:19" s="65" customFormat="1" ht="13.5" thickBot="1">
      <c r="A29" s="84"/>
      <c r="B29" s="84"/>
      <c r="C29" s="66"/>
      <c r="D29" s="67"/>
      <c r="E29" s="67"/>
      <c r="F29" s="67"/>
      <c r="G29" s="68"/>
      <c r="H29" s="69"/>
      <c r="I29" s="68"/>
      <c r="J29" s="66"/>
      <c r="K29" s="70"/>
      <c r="L29" s="71"/>
      <c r="M29" s="66"/>
      <c r="N29" s="70"/>
      <c r="O29" s="68"/>
      <c r="P29" s="66"/>
      <c r="Q29" s="70"/>
      <c r="R29" s="68"/>
      <c r="S29" s="72"/>
    </row>
    <row r="30" spans="1:19" s="65" customFormat="1" ht="13.5" thickBot="1">
      <c r="A30" s="84"/>
      <c r="B30" s="84"/>
      <c r="C30" s="66"/>
      <c r="D30" s="67"/>
      <c r="E30" s="67"/>
      <c r="F30" s="67"/>
      <c r="G30" s="68"/>
      <c r="H30" s="69"/>
      <c r="I30" s="68"/>
      <c r="J30" s="66"/>
      <c r="K30" s="70"/>
      <c r="L30" s="71"/>
      <c r="M30" s="66"/>
      <c r="N30" s="70"/>
      <c r="O30" s="68"/>
      <c r="P30" s="66"/>
      <c r="Q30" s="70"/>
      <c r="R30" s="68"/>
      <c r="S30" s="72"/>
    </row>
    <row r="31" spans="1:19" s="65" customFormat="1" ht="13.5" thickBot="1">
      <c r="A31" s="84"/>
      <c r="B31" s="84"/>
      <c r="C31" s="66"/>
      <c r="D31" s="67"/>
      <c r="E31" s="67"/>
      <c r="F31" s="67"/>
      <c r="G31" s="68"/>
      <c r="H31" s="69"/>
      <c r="I31" s="68"/>
      <c r="J31" s="66"/>
      <c r="K31" s="70"/>
      <c r="L31" s="71"/>
      <c r="M31" s="66"/>
      <c r="N31" s="70"/>
      <c r="O31" s="68"/>
      <c r="P31" s="66"/>
      <c r="Q31" s="70"/>
      <c r="R31" s="68"/>
      <c r="S31" s="72"/>
    </row>
    <row r="32" spans="1:19" s="65" customFormat="1" ht="13.5" thickBot="1">
      <c r="A32" s="84"/>
      <c r="B32" s="84"/>
      <c r="C32" s="66"/>
      <c r="D32" s="67"/>
      <c r="E32" s="67"/>
      <c r="F32" s="67"/>
      <c r="G32" s="68"/>
      <c r="H32" s="69"/>
      <c r="I32" s="68"/>
      <c r="J32" s="66"/>
      <c r="K32" s="70"/>
      <c r="L32" s="71"/>
      <c r="M32" s="66"/>
      <c r="N32" s="70"/>
      <c r="O32" s="68"/>
      <c r="P32" s="66"/>
      <c r="Q32" s="70"/>
      <c r="R32" s="68"/>
      <c r="S32" s="72"/>
    </row>
    <row r="33" spans="1:19" s="65" customFormat="1" ht="13.5" thickBot="1">
      <c r="A33" s="84"/>
      <c r="B33" s="84"/>
      <c r="C33" s="66"/>
      <c r="D33" s="67"/>
      <c r="E33" s="67"/>
      <c r="F33" s="67"/>
      <c r="G33" s="68"/>
      <c r="H33" s="69"/>
      <c r="I33" s="68"/>
      <c r="J33" s="66"/>
      <c r="K33" s="70"/>
      <c r="L33" s="71"/>
      <c r="M33" s="66"/>
      <c r="N33" s="70"/>
      <c r="O33" s="68"/>
      <c r="P33" s="66"/>
      <c r="Q33" s="70"/>
      <c r="R33" s="68"/>
      <c r="S33" s="72"/>
    </row>
    <row r="34" spans="1:19" s="65" customFormat="1" ht="13.5" thickBot="1">
      <c r="A34" s="84"/>
      <c r="B34" s="84"/>
      <c r="C34" s="66"/>
      <c r="D34" s="67"/>
      <c r="E34" s="67"/>
      <c r="F34" s="67"/>
      <c r="G34" s="68"/>
      <c r="H34" s="69"/>
      <c r="I34" s="68"/>
      <c r="J34" s="66"/>
      <c r="K34" s="70"/>
      <c r="L34" s="71"/>
      <c r="M34" s="66"/>
      <c r="N34" s="70"/>
      <c r="O34" s="68"/>
      <c r="P34" s="66"/>
      <c r="Q34" s="70"/>
      <c r="R34" s="68"/>
      <c r="S34" s="72"/>
    </row>
    <row r="35" spans="1:19" s="65" customFormat="1" ht="13.5" thickBot="1">
      <c r="A35" s="84"/>
      <c r="B35" s="84"/>
      <c r="C35" s="66"/>
      <c r="D35" s="67"/>
      <c r="E35" s="67"/>
      <c r="F35" s="67"/>
      <c r="G35" s="68"/>
      <c r="H35" s="69"/>
      <c r="I35" s="68"/>
      <c r="J35" s="66"/>
      <c r="K35" s="70"/>
      <c r="L35" s="71"/>
      <c r="M35" s="66"/>
      <c r="N35" s="70"/>
      <c r="O35" s="68"/>
      <c r="P35" s="66"/>
      <c r="Q35" s="70"/>
      <c r="R35" s="68"/>
      <c r="S35" s="72"/>
    </row>
    <row r="36" spans="1:19" s="65" customFormat="1" ht="13.5" thickBot="1">
      <c r="A36" s="84"/>
      <c r="B36" s="84"/>
      <c r="C36" s="66"/>
      <c r="D36" s="67"/>
      <c r="E36" s="67"/>
      <c r="F36" s="67"/>
      <c r="G36" s="68"/>
      <c r="H36" s="69"/>
      <c r="I36" s="68"/>
      <c r="J36" s="66"/>
      <c r="K36" s="70"/>
      <c r="L36" s="71"/>
      <c r="M36" s="66"/>
      <c r="N36" s="70"/>
      <c r="O36" s="68"/>
      <c r="P36" s="66"/>
      <c r="Q36" s="70"/>
      <c r="R36" s="68"/>
      <c r="S36" s="72"/>
    </row>
    <row r="37" spans="1:19" s="65" customFormat="1" ht="13.5" thickBot="1">
      <c r="A37" s="84"/>
      <c r="B37" s="84"/>
      <c r="C37" s="66"/>
      <c r="D37" s="67"/>
      <c r="E37" s="67"/>
      <c r="F37" s="67"/>
      <c r="G37" s="68"/>
      <c r="H37" s="69"/>
      <c r="I37" s="68"/>
      <c r="J37" s="66"/>
      <c r="K37" s="70"/>
      <c r="L37" s="71"/>
      <c r="M37" s="66"/>
      <c r="N37" s="70"/>
      <c r="O37" s="68"/>
      <c r="P37" s="66"/>
      <c r="Q37" s="70"/>
      <c r="R37" s="68"/>
      <c r="S37" s="72"/>
    </row>
    <row r="38" spans="1:19" s="65" customFormat="1" ht="13.5" thickBot="1">
      <c r="A38" s="84"/>
      <c r="B38" s="84"/>
      <c r="C38" s="66"/>
      <c r="D38" s="67"/>
      <c r="E38" s="67"/>
      <c r="F38" s="67"/>
      <c r="G38" s="68"/>
      <c r="H38" s="69"/>
      <c r="I38" s="68"/>
      <c r="J38" s="66"/>
      <c r="K38" s="70"/>
      <c r="L38" s="71"/>
      <c r="M38" s="66"/>
      <c r="N38" s="70"/>
      <c r="O38" s="68"/>
      <c r="P38" s="66"/>
      <c r="Q38" s="70"/>
      <c r="R38" s="68"/>
      <c r="S38" s="72"/>
    </row>
    <row r="39" spans="1:19" s="65" customFormat="1" ht="13.5" thickBot="1">
      <c r="A39" s="84"/>
      <c r="B39" s="84"/>
      <c r="C39" s="66"/>
      <c r="D39" s="67"/>
      <c r="E39" s="67"/>
      <c r="F39" s="67"/>
      <c r="G39" s="68"/>
      <c r="H39" s="69"/>
      <c r="I39" s="68"/>
      <c r="J39" s="66"/>
      <c r="K39" s="70"/>
      <c r="L39" s="71"/>
      <c r="M39" s="66"/>
      <c r="N39" s="70"/>
      <c r="O39" s="68"/>
      <c r="P39" s="66"/>
      <c r="Q39" s="70"/>
      <c r="R39" s="68"/>
      <c r="S39" s="72"/>
    </row>
    <row r="40" spans="1:19" s="65" customFormat="1" ht="13.5" thickBot="1">
      <c r="A40" s="84"/>
      <c r="B40" s="84"/>
      <c r="C40" s="66"/>
      <c r="D40" s="67"/>
      <c r="E40" s="67"/>
      <c r="F40" s="67"/>
      <c r="G40" s="68"/>
      <c r="H40" s="69"/>
      <c r="I40" s="68"/>
      <c r="J40" s="66"/>
      <c r="K40" s="70"/>
      <c r="L40" s="71"/>
      <c r="M40" s="66"/>
      <c r="N40" s="70"/>
      <c r="O40" s="68"/>
      <c r="P40" s="66"/>
      <c r="Q40" s="70"/>
      <c r="R40" s="68"/>
      <c r="S40" s="72"/>
    </row>
    <row r="41" spans="1:19" s="65" customFormat="1" ht="13.5" thickBot="1">
      <c r="A41" s="84"/>
      <c r="B41" s="84"/>
      <c r="C41" s="66"/>
      <c r="D41" s="67"/>
      <c r="E41" s="67"/>
      <c r="F41" s="67"/>
      <c r="G41" s="68"/>
      <c r="H41" s="69"/>
      <c r="I41" s="68"/>
      <c r="J41" s="66"/>
      <c r="K41" s="70"/>
      <c r="L41" s="71"/>
      <c r="M41" s="66"/>
      <c r="N41" s="70"/>
      <c r="O41" s="68"/>
      <c r="P41" s="66"/>
      <c r="Q41" s="70"/>
      <c r="R41" s="68"/>
      <c r="S41" s="72"/>
    </row>
    <row r="42" spans="1:19" s="65" customFormat="1" ht="13.5" thickBot="1">
      <c r="A42" s="84"/>
      <c r="B42" s="84"/>
      <c r="C42" s="66"/>
      <c r="D42" s="67"/>
      <c r="E42" s="67"/>
      <c r="F42" s="67"/>
      <c r="G42" s="68"/>
      <c r="H42" s="69"/>
      <c r="I42" s="68"/>
      <c r="J42" s="66"/>
      <c r="K42" s="70"/>
      <c r="L42" s="71"/>
      <c r="M42" s="66"/>
      <c r="N42" s="70"/>
      <c r="O42" s="68"/>
      <c r="P42" s="66"/>
      <c r="Q42" s="70"/>
      <c r="R42" s="68"/>
      <c r="S42" s="72"/>
    </row>
    <row r="43" spans="1:19" s="65" customFormat="1" ht="13.5" thickBot="1">
      <c r="A43" s="84"/>
      <c r="B43" s="84"/>
      <c r="C43" s="66"/>
      <c r="D43" s="67"/>
      <c r="E43" s="67"/>
      <c r="F43" s="67"/>
      <c r="G43" s="68"/>
      <c r="H43" s="69"/>
      <c r="I43" s="68"/>
      <c r="J43" s="66"/>
      <c r="K43" s="70"/>
      <c r="L43" s="71"/>
      <c r="M43" s="66"/>
      <c r="N43" s="70"/>
      <c r="O43" s="68"/>
      <c r="P43" s="66"/>
      <c r="Q43" s="70"/>
      <c r="R43" s="68"/>
      <c r="S43" s="72"/>
    </row>
    <row r="44" spans="1:19">
      <c r="A44" s="90"/>
    </row>
  </sheetData>
  <autoFilter ref="C3:S20" xr:uid="{3A2483CD-5D15-456E-8482-DE33A99457ED}"/>
  <mergeCells count="5">
    <mergeCell ref="C2:G2"/>
    <mergeCell ref="H2:I2"/>
    <mergeCell ref="J2:L2"/>
    <mergeCell ref="M2:O2"/>
    <mergeCell ref="P2:R2"/>
  </mergeCells>
  <conditionalFormatting sqref="D7:G20 D4:G5">
    <cfRule type="colorScale" priority="8">
      <colorScale>
        <cfvo type="num" val="1"/>
        <cfvo type="num" val="2"/>
        <cfvo type="num" val="3"/>
        <color theme="9" tint="0.59999389629810485"/>
        <color theme="7" tint="0.59999389629810485"/>
        <color theme="5" tint="0.59999389629810485"/>
      </colorScale>
    </cfRule>
  </conditionalFormatting>
  <conditionalFormatting sqref="D21:G43">
    <cfRule type="colorScale" priority="2">
      <colorScale>
        <cfvo type="num" val="1"/>
        <cfvo type="num" val="2"/>
        <cfvo type="num" val="3"/>
        <color theme="9" tint="0.59999389629810485"/>
        <color theme="7" tint="0.59999389629810485"/>
        <color theme="5" tint="0.59999389629810485"/>
      </colorScale>
    </cfRule>
  </conditionalFormatting>
  <dataValidations count="1">
    <dataValidation type="list" allowBlank="1" showInputMessage="1" showErrorMessage="1" sqref="D7:G43 D4:G5" xr:uid="{828A35E5-5E0C-46F2-9F6F-46917947DB87}">
      <formula1>"1, 2, 3"</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F366-E87E-4E40-9358-687F1150D8BF}">
  <dimension ref="A1:G10"/>
  <sheetViews>
    <sheetView workbookViewId="0">
      <selection activeCell="Q5" sqref="Q5"/>
    </sheetView>
  </sheetViews>
  <sheetFormatPr defaultRowHeight="14.45"/>
  <sheetData>
    <row r="1" spans="1:7" ht="15.95">
      <c r="A1" s="112" t="s">
        <v>184</v>
      </c>
      <c r="B1" s="104" t="s">
        <v>185</v>
      </c>
      <c r="C1" s="104" t="s">
        <v>186</v>
      </c>
      <c r="D1" s="115" t="s">
        <v>187</v>
      </c>
      <c r="E1" s="115" t="s">
        <v>188</v>
      </c>
      <c r="F1" s="115" t="s">
        <v>189</v>
      </c>
      <c r="G1" s="104" t="s">
        <v>190</v>
      </c>
    </row>
    <row r="2" spans="1:7" ht="15.95">
      <c r="A2" s="113"/>
      <c r="B2" s="105" t="s">
        <v>191</v>
      </c>
      <c r="C2" s="105" t="s">
        <v>192</v>
      </c>
      <c r="D2" s="116"/>
      <c r="E2" s="116"/>
      <c r="F2" s="116"/>
      <c r="G2" s="105" t="s">
        <v>193</v>
      </c>
    </row>
    <row r="3" spans="1:7" ht="15" thickBot="1">
      <c r="A3" s="114"/>
      <c r="B3" s="33"/>
      <c r="C3" s="33"/>
      <c r="D3" s="117"/>
      <c r="E3" s="117"/>
      <c r="F3" s="117"/>
      <c r="G3" s="33"/>
    </row>
    <row r="4" spans="1:7" ht="50.1" customHeight="1">
      <c r="A4" s="118" t="s">
        <v>194</v>
      </c>
      <c r="B4" s="121" t="s">
        <v>195</v>
      </c>
      <c r="C4" s="124" t="s">
        <v>196</v>
      </c>
      <c r="D4" s="101" t="s">
        <v>197</v>
      </c>
      <c r="E4" s="101" t="s">
        <v>198</v>
      </c>
      <c r="F4" s="109" t="s">
        <v>186</v>
      </c>
      <c r="G4" s="109" t="s">
        <v>186</v>
      </c>
    </row>
    <row r="5" spans="1:7" ht="26.1">
      <c r="A5" s="119"/>
      <c r="B5" s="122"/>
      <c r="C5" s="125"/>
      <c r="D5" s="102" t="s">
        <v>199</v>
      </c>
      <c r="E5" s="102" t="s">
        <v>200</v>
      </c>
      <c r="F5" s="110"/>
      <c r="G5" s="110"/>
    </row>
    <row r="6" spans="1:7" ht="15" thickBot="1">
      <c r="A6" s="120"/>
      <c r="B6" s="123"/>
      <c r="C6" s="126"/>
      <c r="D6" s="34"/>
      <c r="E6" s="103" t="s">
        <v>201</v>
      </c>
      <c r="F6" s="111"/>
      <c r="G6" s="111"/>
    </row>
    <row r="7" spans="1:7" ht="72" thickBot="1">
      <c r="A7" s="40" t="s">
        <v>73</v>
      </c>
      <c r="B7" s="35" t="s">
        <v>202</v>
      </c>
      <c r="C7" s="36" t="s">
        <v>203</v>
      </c>
      <c r="D7" s="37" t="s">
        <v>204</v>
      </c>
      <c r="E7" s="37" t="s">
        <v>201</v>
      </c>
      <c r="F7" s="37" t="s">
        <v>186</v>
      </c>
      <c r="G7" s="37" t="s">
        <v>186</v>
      </c>
    </row>
    <row r="8" spans="1:7" ht="15" thickBot="1">
      <c r="A8" s="41" t="s">
        <v>205</v>
      </c>
      <c r="B8" s="38" t="s">
        <v>206</v>
      </c>
      <c r="C8" s="39" t="s">
        <v>186</v>
      </c>
      <c r="D8" s="39" t="s">
        <v>186</v>
      </c>
      <c r="E8" s="39" t="s">
        <v>186</v>
      </c>
      <c r="F8" s="39" t="s">
        <v>186</v>
      </c>
      <c r="G8" s="39" t="s">
        <v>186</v>
      </c>
    </row>
    <row r="9" spans="1:7" ht="15" thickBot="1">
      <c r="A9" s="40" t="s">
        <v>207</v>
      </c>
      <c r="B9" s="35" t="s">
        <v>202</v>
      </c>
      <c r="C9" s="37" t="s">
        <v>186</v>
      </c>
      <c r="D9" s="37" t="s">
        <v>186</v>
      </c>
      <c r="E9" s="37" t="s">
        <v>186</v>
      </c>
      <c r="F9" s="37" t="s">
        <v>186</v>
      </c>
      <c r="G9" s="37" t="s">
        <v>186</v>
      </c>
    </row>
    <row r="10" spans="1:7">
      <c r="A10" s="42" t="s">
        <v>76</v>
      </c>
      <c r="B10" s="43" t="s">
        <v>206</v>
      </c>
      <c r="C10" s="44" t="s">
        <v>186</v>
      </c>
      <c r="D10" s="44" t="s">
        <v>186</v>
      </c>
      <c r="E10" s="44" t="s">
        <v>186</v>
      </c>
      <c r="F10" s="44" t="s">
        <v>186</v>
      </c>
      <c r="G10" s="44" t="s">
        <v>186</v>
      </c>
    </row>
  </sheetData>
  <mergeCells count="9">
    <mergeCell ref="G4:G6"/>
    <mergeCell ref="A1:A3"/>
    <mergeCell ref="D1:D3"/>
    <mergeCell ref="E1:E3"/>
    <mergeCell ref="F1:F3"/>
    <mergeCell ref="A4:A6"/>
    <mergeCell ref="B4:B6"/>
    <mergeCell ref="C4:C6"/>
    <mergeCell ref="F4:F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06AF-302C-4B18-BBB3-6A590F757318}">
  <dimension ref="A1:T20"/>
  <sheetViews>
    <sheetView topLeftCell="H1" zoomScale="70" zoomScaleNormal="70" workbookViewId="0">
      <selection activeCell="H4" sqref="H4"/>
    </sheetView>
  </sheetViews>
  <sheetFormatPr defaultRowHeight="14.45"/>
  <cols>
    <col min="1" max="5" width="14.5703125" customWidth="1"/>
    <col min="6" max="7" width="20.85546875" style="5" customWidth="1"/>
    <col min="8" max="15" width="22.85546875" style="5" customWidth="1"/>
    <col min="16" max="16" width="20.85546875" style="5" customWidth="1"/>
    <col min="17" max="17" width="152.42578125" style="5" customWidth="1"/>
    <col min="18" max="18" width="94.42578125" style="5" customWidth="1"/>
  </cols>
  <sheetData>
    <row r="1" spans="1:20" ht="15" thickBot="1">
      <c r="A1" t="s">
        <v>89</v>
      </c>
    </row>
    <row r="2" spans="1:20" s="2" customFormat="1" ht="21.95" thickTop="1" thickBot="1">
      <c r="A2" s="127" t="s">
        <v>90</v>
      </c>
      <c r="B2" s="127"/>
      <c r="C2" s="127"/>
      <c r="D2" s="127"/>
      <c r="E2" s="127"/>
      <c r="F2" s="128" t="s">
        <v>91</v>
      </c>
      <c r="G2" s="128"/>
      <c r="H2" s="128" t="s">
        <v>92</v>
      </c>
      <c r="I2" s="128"/>
      <c r="J2" s="128"/>
      <c r="K2" s="128" t="s">
        <v>93</v>
      </c>
      <c r="L2" s="128"/>
      <c r="M2" s="128"/>
      <c r="N2" s="128" t="s">
        <v>94</v>
      </c>
      <c r="O2" s="128"/>
      <c r="P2" s="129"/>
      <c r="Q2" s="6"/>
      <c r="R2" s="7"/>
    </row>
    <row r="3" spans="1:20" s="23" customFormat="1" ht="73.5" thickTop="1" thickBot="1">
      <c r="A3" s="8" t="s">
        <v>96</v>
      </c>
      <c r="B3" s="9" t="s">
        <v>208</v>
      </c>
      <c r="C3" s="9" t="s">
        <v>209</v>
      </c>
      <c r="D3" s="9" t="s">
        <v>210</v>
      </c>
      <c r="E3" s="10" t="s">
        <v>211</v>
      </c>
      <c r="F3" s="11" t="s">
        <v>101</v>
      </c>
      <c r="G3" s="12" t="s">
        <v>102</v>
      </c>
      <c r="H3" s="13" t="s">
        <v>103</v>
      </c>
      <c r="I3" s="14" t="s">
        <v>104</v>
      </c>
      <c r="J3" s="15" t="s">
        <v>105</v>
      </c>
      <c r="K3" s="16" t="s">
        <v>106</v>
      </c>
      <c r="L3" s="17" t="s">
        <v>107</v>
      </c>
      <c r="M3" s="18" t="s">
        <v>108</v>
      </c>
      <c r="N3" s="19" t="s">
        <v>109</v>
      </c>
      <c r="O3" s="20" t="s">
        <v>107</v>
      </c>
      <c r="P3" s="20" t="s">
        <v>108</v>
      </c>
      <c r="Q3" s="21" t="s">
        <v>212</v>
      </c>
      <c r="R3" s="22"/>
      <c r="S3" s="22"/>
      <c r="T3" s="22"/>
    </row>
    <row r="4" spans="1:20" s="31" customFormat="1" ht="72.95" thickBot="1">
      <c r="A4" s="24">
        <f>SUM(B4:E4)</f>
        <v>0</v>
      </c>
      <c r="B4" s="25"/>
      <c r="C4" s="25"/>
      <c r="D4" s="25"/>
      <c r="E4" s="26"/>
      <c r="F4" s="27" t="s">
        <v>112</v>
      </c>
      <c r="G4" s="26" t="s">
        <v>213</v>
      </c>
      <c r="H4" s="24" t="s">
        <v>214</v>
      </c>
      <c r="I4" s="28" t="s">
        <v>112</v>
      </c>
      <c r="J4" s="29" t="s">
        <v>215</v>
      </c>
      <c r="K4" s="24" t="s">
        <v>216</v>
      </c>
      <c r="L4" s="28" t="s">
        <v>217</v>
      </c>
      <c r="M4" s="26" t="s">
        <v>218</v>
      </c>
      <c r="N4" s="24" t="s">
        <v>219</v>
      </c>
      <c r="O4" s="28" t="s">
        <v>112</v>
      </c>
      <c r="P4" s="26" t="s">
        <v>220</v>
      </c>
      <c r="Q4" s="30" t="s">
        <v>221</v>
      </c>
    </row>
    <row r="5" spans="1:20" s="31" customFormat="1" ht="15" thickBot="1">
      <c r="A5" s="24"/>
      <c r="B5" s="25"/>
      <c r="C5" s="25"/>
      <c r="D5" s="25"/>
      <c r="E5" s="26"/>
      <c r="F5" s="27"/>
      <c r="G5" s="26"/>
      <c r="H5" s="24"/>
      <c r="I5" s="28"/>
      <c r="J5" s="29"/>
      <c r="K5" s="24"/>
      <c r="L5" s="28"/>
      <c r="M5" s="26"/>
      <c r="N5" s="24"/>
      <c r="O5" s="28"/>
      <c r="P5" s="26"/>
      <c r="Q5" s="30"/>
    </row>
    <row r="6" spans="1:20" s="31" customFormat="1" ht="29.45" thickBot="1">
      <c r="A6" s="24">
        <f>SUM(B6:E6)</f>
        <v>0</v>
      </c>
      <c r="B6" s="25"/>
      <c r="C6" s="25"/>
      <c r="D6" s="25"/>
      <c r="E6" s="26"/>
      <c r="F6" s="27" t="s">
        <v>112</v>
      </c>
      <c r="G6" s="26" t="s">
        <v>213</v>
      </c>
      <c r="H6" s="24" t="s">
        <v>222</v>
      </c>
      <c r="I6" s="28" t="s">
        <v>112</v>
      </c>
      <c r="J6" s="29" t="s">
        <v>215</v>
      </c>
      <c r="K6" s="24" t="s">
        <v>216</v>
      </c>
      <c r="L6" s="28" t="s">
        <v>217</v>
      </c>
      <c r="M6" s="26" t="s">
        <v>218</v>
      </c>
      <c r="N6" s="24" t="s">
        <v>219</v>
      </c>
      <c r="O6" s="28" t="s">
        <v>112</v>
      </c>
      <c r="P6" s="26" t="s">
        <v>220</v>
      </c>
      <c r="Q6" s="30" t="s">
        <v>223</v>
      </c>
    </row>
    <row r="7" spans="1:20" s="31" customFormat="1" ht="29.45" thickBot="1">
      <c r="A7" s="24">
        <f t="shared" ref="A7:A20" si="0">SUM(B7:E7)</f>
        <v>0</v>
      </c>
      <c r="B7" s="25"/>
      <c r="C7" s="25"/>
      <c r="D7" s="25"/>
      <c r="E7" s="26"/>
      <c r="F7" s="27"/>
      <c r="G7" s="26"/>
      <c r="H7" s="24" t="s">
        <v>214</v>
      </c>
      <c r="I7" s="28" t="s">
        <v>112</v>
      </c>
      <c r="J7" s="29" t="s">
        <v>224</v>
      </c>
      <c r="K7" s="24" t="s">
        <v>225</v>
      </c>
      <c r="L7" s="28" t="s">
        <v>112</v>
      </c>
      <c r="M7" s="26" t="s">
        <v>226</v>
      </c>
      <c r="N7" s="24"/>
      <c r="O7" s="28"/>
      <c r="P7" s="26"/>
      <c r="Q7" s="30" t="s">
        <v>227</v>
      </c>
    </row>
    <row r="8" spans="1:20" s="31" customFormat="1" ht="72.95" thickBot="1">
      <c r="A8" s="24">
        <f>SUM(B8:E8)</f>
        <v>0</v>
      </c>
      <c r="B8" s="25"/>
      <c r="C8" s="25"/>
      <c r="D8" s="25"/>
      <c r="E8" s="26"/>
      <c r="F8" s="27" t="s">
        <v>112</v>
      </c>
      <c r="G8" s="26" t="s">
        <v>213</v>
      </c>
      <c r="H8" s="24" t="s">
        <v>214</v>
      </c>
      <c r="I8" s="28" t="s">
        <v>112</v>
      </c>
      <c r="J8" s="29" t="s">
        <v>215</v>
      </c>
      <c r="K8" s="24" t="s">
        <v>216</v>
      </c>
      <c r="L8" s="28" t="s">
        <v>217</v>
      </c>
      <c r="M8" s="26" t="s">
        <v>228</v>
      </c>
      <c r="N8" s="24"/>
      <c r="O8" s="28"/>
      <c r="P8" s="26"/>
      <c r="Q8" s="30" t="s">
        <v>221</v>
      </c>
    </row>
    <row r="9" spans="1:20" s="31" customFormat="1" ht="29.45" thickBot="1">
      <c r="A9" s="24">
        <f>SUM(B9:E9)</f>
        <v>0</v>
      </c>
      <c r="B9" s="25"/>
      <c r="C9" s="25"/>
      <c r="D9" s="25"/>
      <c r="E9" s="26"/>
      <c r="F9" s="27" t="s">
        <v>112</v>
      </c>
      <c r="G9" s="26" t="s">
        <v>213</v>
      </c>
      <c r="H9" s="24" t="s">
        <v>222</v>
      </c>
      <c r="I9" s="28" t="s">
        <v>112</v>
      </c>
      <c r="J9" s="29" t="s">
        <v>215</v>
      </c>
      <c r="K9" s="24" t="s">
        <v>216</v>
      </c>
      <c r="L9" s="28" t="s">
        <v>217</v>
      </c>
      <c r="M9" s="26" t="s">
        <v>228</v>
      </c>
      <c r="N9" s="24"/>
      <c r="O9" s="28"/>
      <c r="P9" s="26"/>
      <c r="Q9" s="30" t="s">
        <v>223</v>
      </c>
    </row>
    <row r="10" spans="1:20" s="31" customFormat="1" ht="72.95" thickBot="1">
      <c r="A10" s="24">
        <f>SUM(B10:E10)</f>
        <v>0</v>
      </c>
      <c r="B10" s="25"/>
      <c r="C10" s="25"/>
      <c r="D10" s="25"/>
      <c r="E10" s="26"/>
      <c r="F10" s="27" t="s">
        <v>112</v>
      </c>
      <c r="G10" s="26" t="s">
        <v>213</v>
      </c>
      <c r="H10" s="24" t="s">
        <v>214</v>
      </c>
      <c r="I10" s="28" t="s">
        <v>112</v>
      </c>
      <c r="J10" s="29" t="s">
        <v>215</v>
      </c>
      <c r="K10" s="24" t="s">
        <v>216</v>
      </c>
      <c r="L10" s="28" t="s">
        <v>112</v>
      </c>
      <c r="M10" s="26" t="s">
        <v>228</v>
      </c>
      <c r="N10" s="24"/>
      <c r="O10" s="28"/>
      <c r="P10" s="26"/>
      <c r="Q10" s="30" t="s">
        <v>221</v>
      </c>
    </row>
    <row r="11" spans="1:20" s="31" customFormat="1" ht="29.45" thickBot="1">
      <c r="A11" s="24">
        <f>SUM(B11:E11)</f>
        <v>0</v>
      </c>
      <c r="B11" s="25"/>
      <c r="C11" s="25"/>
      <c r="D11" s="25"/>
      <c r="E11" s="26"/>
      <c r="F11" s="27" t="s">
        <v>112</v>
      </c>
      <c r="G11" s="26" t="s">
        <v>213</v>
      </c>
      <c r="H11" s="24" t="s">
        <v>222</v>
      </c>
      <c r="I11" s="28" t="s">
        <v>112</v>
      </c>
      <c r="J11" s="29" t="s">
        <v>215</v>
      </c>
      <c r="K11" s="24" t="s">
        <v>216</v>
      </c>
      <c r="L11" s="28" t="s">
        <v>112</v>
      </c>
      <c r="M11" s="26" t="s">
        <v>228</v>
      </c>
      <c r="N11" s="24"/>
      <c r="O11" s="28"/>
      <c r="P11" s="26"/>
      <c r="Q11" s="30" t="s">
        <v>223</v>
      </c>
    </row>
    <row r="12" spans="1:20" s="31" customFormat="1" ht="30" customHeight="1" thickBot="1">
      <c r="A12" s="24">
        <f t="shared" si="0"/>
        <v>0</v>
      </c>
      <c r="B12" s="25"/>
      <c r="C12" s="25"/>
      <c r="D12" s="25"/>
      <c r="E12" s="26"/>
      <c r="F12" s="27"/>
      <c r="G12" s="26"/>
      <c r="H12" s="24"/>
      <c r="I12" s="28"/>
      <c r="J12" s="29"/>
      <c r="K12" s="24"/>
      <c r="L12" s="28"/>
      <c r="M12" s="26"/>
      <c r="N12" s="24"/>
      <c r="O12" s="28"/>
      <c r="P12" s="26"/>
      <c r="Q12" s="32"/>
    </row>
    <row r="13" spans="1:20" s="31" customFormat="1" ht="30" customHeight="1" thickBot="1">
      <c r="A13" s="24">
        <f t="shared" si="0"/>
        <v>0</v>
      </c>
      <c r="B13" s="25"/>
      <c r="C13" s="25"/>
      <c r="D13" s="25"/>
      <c r="E13" s="26"/>
      <c r="F13" s="27"/>
      <c r="G13" s="26"/>
      <c r="H13" s="24"/>
      <c r="I13" s="28"/>
      <c r="J13" s="29"/>
      <c r="K13" s="24"/>
      <c r="L13" s="28"/>
      <c r="M13" s="26"/>
      <c r="N13" s="24"/>
      <c r="O13" s="28"/>
      <c r="P13" s="26"/>
      <c r="Q13" s="32"/>
    </row>
    <row r="14" spans="1:20" s="31" customFormat="1" ht="30" customHeight="1" thickBot="1">
      <c r="A14" s="24">
        <f t="shared" si="0"/>
        <v>0</v>
      </c>
      <c r="B14" s="25"/>
      <c r="C14" s="25"/>
      <c r="D14" s="25"/>
      <c r="E14" s="26"/>
      <c r="F14" s="27"/>
      <c r="G14" s="26"/>
      <c r="H14" s="24"/>
      <c r="I14" s="28"/>
      <c r="J14" s="29"/>
      <c r="K14" s="24"/>
      <c r="L14" s="28"/>
      <c r="M14" s="26"/>
      <c r="N14" s="24"/>
      <c r="O14" s="28"/>
      <c r="P14" s="26"/>
      <c r="Q14" s="32"/>
    </row>
    <row r="15" spans="1:20" s="31" customFormat="1" ht="30" customHeight="1" thickBot="1">
      <c r="A15" s="24">
        <f t="shared" si="0"/>
        <v>0</v>
      </c>
      <c r="B15" s="25"/>
      <c r="C15" s="25"/>
      <c r="D15" s="25"/>
      <c r="E15" s="26"/>
      <c r="F15" s="27"/>
      <c r="G15" s="26"/>
      <c r="H15" s="24"/>
      <c r="I15" s="28"/>
      <c r="J15" s="29"/>
      <c r="K15" s="24"/>
      <c r="L15" s="28"/>
      <c r="M15" s="26"/>
      <c r="N15" s="24"/>
      <c r="O15" s="28"/>
      <c r="P15" s="26"/>
      <c r="Q15" s="32"/>
    </row>
    <row r="16" spans="1:20" s="31" customFormat="1" ht="30" customHeight="1" thickBot="1">
      <c r="A16" s="24">
        <f t="shared" si="0"/>
        <v>0</v>
      </c>
      <c r="B16" s="25"/>
      <c r="C16" s="25"/>
      <c r="D16" s="25"/>
      <c r="E16" s="26"/>
      <c r="F16" s="27"/>
      <c r="G16" s="26"/>
      <c r="H16" s="24"/>
      <c r="I16" s="28"/>
      <c r="J16" s="29"/>
      <c r="K16" s="24"/>
      <c r="L16" s="28"/>
      <c r="M16" s="26"/>
      <c r="N16" s="24"/>
      <c r="O16" s="28"/>
      <c r="P16" s="26"/>
      <c r="Q16" s="32"/>
    </row>
    <row r="17" spans="1:17" s="31" customFormat="1" ht="30" customHeight="1" thickBot="1">
      <c r="A17" s="24">
        <f t="shared" si="0"/>
        <v>0</v>
      </c>
      <c r="B17" s="25"/>
      <c r="C17" s="25"/>
      <c r="D17" s="25"/>
      <c r="E17" s="26"/>
      <c r="F17" s="27"/>
      <c r="G17" s="26"/>
      <c r="H17" s="24"/>
      <c r="I17" s="28"/>
      <c r="J17" s="29"/>
      <c r="K17" s="24"/>
      <c r="L17" s="28"/>
      <c r="M17" s="26"/>
      <c r="N17" s="24"/>
      <c r="O17" s="28"/>
      <c r="P17" s="26"/>
      <c r="Q17" s="32"/>
    </row>
    <row r="18" spans="1:17" s="31" customFormat="1" ht="30" customHeight="1" thickBot="1">
      <c r="A18" s="24">
        <f t="shared" si="0"/>
        <v>0</v>
      </c>
      <c r="B18" s="25"/>
      <c r="C18" s="25"/>
      <c r="D18" s="25"/>
      <c r="E18" s="26"/>
      <c r="F18" s="27"/>
      <c r="G18" s="26"/>
      <c r="H18" s="24"/>
      <c r="I18" s="28"/>
      <c r="J18" s="29"/>
      <c r="K18" s="24"/>
      <c r="L18" s="28"/>
      <c r="M18" s="26"/>
      <c r="N18" s="24"/>
      <c r="O18" s="28"/>
      <c r="P18" s="26"/>
      <c r="Q18" s="32"/>
    </row>
    <row r="19" spans="1:17" s="31" customFormat="1" ht="30" customHeight="1" thickBot="1">
      <c r="A19" s="24">
        <f t="shared" si="0"/>
        <v>0</v>
      </c>
      <c r="B19" s="25"/>
      <c r="C19" s="25"/>
      <c r="D19" s="25"/>
      <c r="E19" s="26"/>
      <c r="F19" s="27"/>
      <c r="G19" s="26"/>
      <c r="H19" s="24"/>
      <c r="I19" s="28"/>
      <c r="J19" s="29"/>
      <c r="K19" s="24"/>
      <c r="L19" s="28"/>
      <c r="M19" s="26"/>
      <c r="N19" s="24"/>
      <c r="O19" s="28"/>
      <c r="P19" s="26"/>
      <c r="Q19" s="32"/>
    </row>
    <row r="20" spans="1:17" s="31" customFormat="1" ht="30" customHeight="1" thickBot="1">
      <c r="A20" s="24">
        <f t="shared" si="0"/>
        <v>0</v>
      </c>
      <c r="B20" s="25"/>
      <c r="C20" s="25"/>
      <c r="D20" s="25"/>
      <c r="E20" s="26"/>
      <c r="F20" s="27"/>
      <c r="G20" s="26"/>
      <c r="H20" s="24"/>
      <c r="I20" s="28"/>
      <c r="J20" s="29"/>
      <c r="K20" s="24"/>
      <c r="L20" s="28"/>
      <c r="M20" s="26"/>
      <c r="N20" s="24"/>
      <c r="O20" s="28"/>
      <c r="P20" s="26"/>
      <c r="Q20" s="32"/>
    </row>
  </sheetData>
  <autoFilter ref="A3:Q20" xr:uid="{3A2483CD-5D15-456E-8482-DE33A99457ED}"/>
  <mergeCells count="5">
    <mergeCell ref="A2:E2"/>
    <mergeCell ref="F2:G2"/>
    <mergeCell ref="H2:J2"/>
    <mergeCell ref="K2:M2"/>
    <mergeCell ref="N2:P2"/>
  </mergeCells>
  <conditionalFormatting sqref="B4:E5 B7:E7 B12:E20">
    <cfRule type="colorScale" priority="8">
      <colorScale>
        <cfvo type="num" val="1"/>
        <cfvo type="num" val="2"/>
        <cfvo type="num" val="3"/>
        <color theme="9" tint="0.59999389629810485"/>
        <color theme="7" tint="0.59999389629810485"/>
        <color theme="5" tint="0.59999389629810485"/>
      </colorScale>
    </cfRule>
  </conditionalFormatting>
  <conditionalFormatting sqref="B6:E6">
    <cfRule type="colorScale" priority="6">
      <colorScale>
        <cfvo type="num" val="1"/>
        <cfvo type="num" val="2"/>
        <cfvo type="num" val="3"/>
        <color theme="9" tint="0.59999389629810485"/>
        <color theme="7" tint="0.59999389629810485"/>
        <color theme="5" tint="0.59999389629810485"/>
      </colorScale>
    </cfRule>
  </conditionalFormatting>
  <conditionalFormatting sqref="B8:E8">
    <cfRule type="colorScale" priority="4">
      <colorScale>
        <cfvo type="num" val="1"/>
        <cfvo type="num" val="2"/>
        <cfvo type="num" val="3"/>
        <color theme="9" tint="0.59999389629810485"/>
        <color theme="7" tint="0.59999389629810485"/>
        <color theme="5" tint="0.59999389629810485"/>
      </colorScale>
    </cfRule>
  </conditionalFormatting>
  <conditionalFormatting sqref="B9:E9">
    <cfRule type="colorScale" priority="3">
      <colorScale>
        <cfvo type="num" val="1"/>
        <cfvo type="num" val="2"/>
        <cfvo type="num" val="3"/>
        <color theme="9" tint="0.59999389629810485"/>
        <color theme="7" tint="0.59999389629810485"/>
        <color theme="5" tint="0.59999389629810485"/>
      </colorScale>
    </cfRule>
  </conditionalFormatting>
  <conditionalFormatting sqref="B10:E10">
    <cfRule type="colorScale" priority="2">
      <colorScale>
        <cfvo type="num" val="1"/>
        <cfvo type="num" val="2"/>
        <cfvo type="num" val="3"/>
        <color theme="9" tint="0.59999389629810485"/>
        <color theme="7" tint="0.59999389629810485"/>
        <color theme="5" tint="0.59999389629810485"/>
      </colorScale>
    </cfRule>
  </conditionalFormatting>
  <conditionalFormatting sqref="B11:E11">
    <cfRule type="colorScale" priority="1">
      <colorScale>
        <cfvo type="num" val="1"/>
        <cfvo type="num" val="2"/>
        <cfvo type="num" val="3"/>
        <color theme="9" tint="0.59999389629810485"/>
        <color theme="7" tint="0.59999389629810485"/>
        <color theme="5" tint="0.59999389629810485"/>
      </colorScale>
    </cfRule>
  </conditionalFormatting>
  <dataValidations count="1">
    <dataValidation type="list" allowBlank="1" showInputMessage="1" showErrorMessage="1" sqref="B4:E20" xr:uid="{A7E2ABED-770F-445E-8DB2-4049B6B408F0}">
      <formula1>"1, 2, 3"</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8F03390-33B6-4A5F-805D-D3237FE39F5F}">
          <x14:formula1>
            <xm:f>'https://udwinprod.sharepoint.com/sites/Team-NIIMBLBigDataProgram/Shared Documents/BD2 - E2E Automated Control  (RT Control of CQAs)/BD2 Team Meetings/110320 BD2 Team/[BD2 Use-Case Workbook.xlsx]Lookup'!#REF!</xm:f>
          </x14:formula1>
          <xm:sqref>O4:O20 F4:F20 I4:J20 L4:L20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x002a_Title xmlns="f3024ca1-766a-4285-bd30-fd1acae8cecf" xsi:nil="true"/>
    <Description xmlns="f3024ca1-766a-4285-bd30-fd1acae8cecf" xsi:nil="true"/>
  </documentManagement>
</p:properties>
</file>

<file path=customXml/item2.xml><?xml version="1.0" encoding="utf-8"?>
<sisl xmlns:xsd="http://www.w3.org/2001/XMLSchema" xmlns:xsi="http://www.w3.org/2001/XMLSchema-instance" xmlns="http://www.boldonjames.com/2008/01/sie/internal/label" sislVersion="0" policy="82ad3a63-90ad-4a46-a3cb-757f4658e205" origin="userSelected">
  <element uid="8490d18d-1e1f-4ae2-adbe-3f6683173bee" value=""/>
  <element uid="03e9b10b-a1f9-4a88-9630-476473f62285" value=""/>
  <element uid="7349a702-6462-4442-88eb-c64cd513835c" value=""/>
</sis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44BE8BA253F20D4A95CF9AC70EE04DB6" ma:contentTypeVersion="15" ma:contentTypeDescription="Create a new document." ma:contentTypeScope="" ma:versionID="1b9f868903cd10998caeea00eed30ca4">
  <xsd:schema xmlns:xsd="http://www.w3.org/2001/XMLSchema" xmlns:xs="http://www.w3.org/2001/XMLSchema" xmlns:p="http://schemas.microsoft.com/office/2006/metadata/properties" xmlns:ns2="f3024ca1-766a-4285-bd30-fd1acae8cecf" xmlns:ns3="d7a07081-9da2-4e21-b14d-60970423437b" targetNamespace="http://schemas.microsoft.com/office/2006/metadata/properties" ma:root="true" ma:fieldsID="69926cb6128b39fd24a2a33068afbf39" ns2:_="" ns3:_="">
    <xsd:import namespace="f3024ca1-766a-4285-bd30-fd1acae8cecf"/>
    <xsd:import namespace="d7a07081-9da2-4e21-b14d-60970423437b"/>
    <xsd:element name="properties">
      <xsd:complexType>
        <xsd:sequence>
          <xsd:element name="documentManagement">
            <xsd:complexType>
              <xsd:all>
                <xsd:element ref="ns2:Description"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_x002a_Title"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24ca1-766a-4285-bd30-fd1acae8cecf" elementFormDefault="qualified">
    <xsd:import namespace="http://schemas.microsoft.com/office/2006/documentManagement/types"/>
    <xsd:import namespace="http://schemas.microsoft.com/office/infopath/2007/PartnerControls"/>
    <xsd:element name="Description" ma:index="1" nillable="true" ma:displayName="Keywords" ma:format="Dropdown" ma:internalName="Description">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2a_Title" ma:index="14" nillable="true" ma:displayName="*Title" ma:format="Dropdown" ma:internalName="_x002a_Titl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a07081-9da2-4e21-b14d-60970423437b"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E89A54-4D7C-46AE-9672-911A000711D1}"/>
</file>

<file path=customXml/itemProps2.xml><?xml version="1.0" encoding="utf-8"?>
<ds:datastoreItem xmlns:ds="http://schemas.openxmlformats.org/officeDocument/2006/customXml" ds:itemID="{2B0B1F58-6000-43EC-8F73-F924DF2B233F}"/>
</file>

<file path=customXml/itemProps3.xml><?xml version="1.0" encoding="utf-8"?>
<ds:datastoreItem xmlns:ds="http://schemas.openxmlformats.org/officeDocument/2006/customXml" ds:itemID="{CCE72488-3F1F-4C17-B7C7-CAC9E3B2FFD5}"/>
</file>

<file path=customXml/itemProps4.xml><?xml version="1.0" encoding="utf-8"?>
<ds:datastoreItem xmlns:ds="http://schemas.openxmlformats.org/officeDocument/2006/customXml" ds:itemID="{192CDAFF-0301-4E0A-BA8B-37C545402C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Hart, Roger</dc:creator>
  <cp:keywords>*$%PUB-*$%GenBus</cp:keywords>
  <dc:description/>
  <cp:lastModifiedBy>Saylor, James</cp:lastModifiedBy>
  <cp:revision/>
  <dcterms:created xsi:type="dcterms:W3CDTF">2021-01-11T21:53:52Z</dcterms:created>
  <dcterms:modified xsi:type="dcterms:W3CDTF">2021-03-01T19:21:08Z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8db98ffc-1fbe-4fcb-95c6-cf9b6812e5a0</vt:lpwstr>
  </property>
  <property fmtid="{D5CDD505-2E9C-101B-9397-08002B2CF9AE}" pid="3" name="bjDocumentSecurityLabel">
    <vt:lpwstr>Public - General Business</vt:lpwstr>
  </property>
  <property fmtid="{D5CDD505-2E9C-101B-9397-08002B2CF9AE}" pid="4" name="bjSaver">
    <vt:lpwstr>Wr7bYTWH6sS0heE9sCppUfGEssFesY3c</vt:lpwstr>
  </property>
  <property fmtid="{D5CDD505-2E9C-101B-9397-08002B2CF9AE}" pid="5" name="ContentTypeId">
    <vt:lpwstr>0x01010044BE8BA253F20D4A95CF9AC70EE04DB6</vt:lpwstr>
  </property>
  <property fmtid="{D5CDD505-2E9C-101B-9397-08002B2CF9AE}" pid="6" name="bjDocumentLabelXML">
    <vt:lpwstr>&lt;?xml version="1.0" encoding="us-ascii"?&gt;&lt;sisl xmlns:xsd="http://www.w3.org/2001/XMLSchema" xmlns:xsi="http://www.w3.org/2001/XMLSchema-instance" sislVersion="0" policy="82ad3a63-90ad-4a46-a3cb-757f4658e205" origin="userSelected" xmlns="http://www.boldonj</vt:lpwstr>
  </property>
  <property fmtid="{D5CDD505-2E9C-101B-9397-08002B2CF9AE}" pid="7" name="bjDocumentLabelXML-0">
    <vt:lpwstr>ames.com/2008/01/sie/internal/label"&gt;&lt;element uid="8490d18d-1e1f-4ae2-adbe-3f6683173bee" value="" /&gt;&lt;element uid="03e9b10b-a1f9-4a88-9630-476473f62285" value="" /&gt;&lt;element uid="7349a702-6462-4442-88eb-c64cd513835c" value="" /&gt;&lt;/sisl&gt;</vt:lpwstr>
  </property>
</Properties>
</file>