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klqj388/Box Sync/ICB Framework MS/"/>
    </mc:Choice>
  </mc:AlternateContent>
  <xr:revisionPtr revIDLastSave="0" documentId="13_ncr:1_{DCAE1B23-0736-3D46-AE85-22C59494BE52}" xr6:coauthVersionLast="45" xr6:coauthVersionMax="45" xr10:uidLastSave="{00000000-0000-0000-0000-000000000000}"/>
  <bookViews>
    <workbookView xWindow="31620" yWindow="1880" windowWidth="30700" windowHeight="16380" firstSheet="1" activeTab="1" xr2:uid="{DB459EDF-07AA-B14F-A92C-D449F59AFA51}"/>
  </bookViews>
  <sheets>
    <sheet name="Assumptions" sheetId="8" r:id="rId1"/>
    <sheet name="Scenarios" sheetId="5" r:id="rId2"/>
    <sheet name="Buffer Summary" sheetId="9" r:id="rId3"/>
    <sheet name="CAPEX" sheetId="10" r:id="rId4"/>
    <sheet name="ICB" sheetId="11" r:id="rId5"/>
  </sheets>
  <externalReferences>
    <externalReference r:id="rId6"/>
  </externalReferences>
  <definedNames>
    <definedName name="Capture_Buffer" localSheetId="0">Assumptions!#REF!</definedName>
    <definedName name="Capture_Buffer" localSheetId="1">Scenarios!$124:$124</definedName>
    <definedName name="Capture_Buffer">#REF!</definedName>
    <definedName name="Capture_WFI" localSheetId="0">Assumptions!#REF!</definedName>
    <definedName name="Capture_WFI" localSheetId="1">Scenarios!$125:$125</definedName>
    <definedName name="Capture_WFI">#REF!</definedName>
    <definedName name="Cells_avg">[1]Capacity!$E$1</definedName>
    <definedName name="ConcBuffer">#REF!</definedName>
    <definedName name="Cost_Media">[1]Capacity!$K$6</definedName>
    <definedName name="N_Col_ProA" localSheetId="0">Assumptions!$15:$15</definedName>
    <definedName name="N_Col_ProA">Scenarios!$95:$95</definedName>
    <definedName name="N_Cycles_ProA" localSheetId="0">Assumptions!$16:$16</definedName>
    <definedName name="N_Cycles_ProA">Scenarios!$99:$99</definedName>
    <definedName name="T_batch">[1]Capacity!$E$2</definedName>
    <definedName name="Tbatch" localSheetId="0">Assumptions!#REF!</definedName>
    <definedName name="Tbatch" localSheetId="1">Scenarios!$R$58</definedName>
    <definedName name="V_ProA" localSheetId="0">Assumptions!#REF!</definedName>
    <definedName name="V_ProA">Scenarios!$94:$94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50" i="9" l="1"/>
  <c r="U50" i="9"/>
  <c r="U49" i="9"/>
  <c r="U44" i="9"/>
  <c r="U45" i="9"/>
  <c r="U46" i="9"/>
  <c r="U47" i="9"/>
  <c r="U48" i="9"/>
  <c r="U43" i="9"/>
  <c r="V59" i="9"/>
  <c r="O49" i="9" l="1"/>
  <c r="F110" i="5" l="1"/>
  <c r="H110" i="5"/>
  <c r="H94" i="5"/>
  <c r="F94" i="5"/>
  <c r="AG45" i="9"/>
  <c r="AI45" i="9" s="1"/>
  <c r="AG46" i="9"/>
  <c r="AH46" i="9" s="1"/>
  <c r="AG47" i="9"/>
  <c r="AI47" i="9" s="1"/>
  <c r="AG44" i="9"/>
  <c r="AI44" i="9" s="1"/>
  <c r="AH44" i="9" l="1"/>
  <c r="AI46" i="9"/>
  <c r="AH47" i="9"/>
  <c r="AH45" i="9"/>
  <c r="G160" i="5"/>
  <c r="H160" i="5"/>
  <c r="F160" i="5"/>
  <c r="F320" i="5" l="1"/>
  <c r="G14" i="10"/>
  <c r="G15" i="10"/>
  <c r="G13" i="10"/>
  <c r="I23" i="10"/>
  <c r="D15" i="10"/>
  <c r="E14" i="10"/>
  <c r="E15" i="10"/>
  <c r="E13" i="10"/>
  <c r="G158" i="5" l="1"/>
  <c r="G161" i="5" s="1"/>
  <c r="H158" i="5"/>
  <c r="H161" i="5" s="1"/>
  <c r="F158" i="5"/>
  <c r="F161" i="5" s="1"/>
  <c r="H211" i="5"/>
  <c r="H214" i="5" s="1"/>
  <c r="G211" i="5"/>
  <c r="G214" i="5" s="1"/>
  <c r="F211" i="5"/>
  <c r="F214" i="5" s="1"/>
  <c r="F344" i="5"/>
  <c r="H320" i="5"/>
  <c r="H344" i="5" s="1"/>
  <c r="G320" i="5"/>
  <c r="G344" i="5" s="1"/>
  <c r="Q40" i="9" l="1"/>
  <c r="S40" i="9" s="1"/>
  <c r="Q41" i="9"/>
  <c r="S41" i="9" s="1"/>
  <c r="Q48" i="9" l="1"/>
  <c r="Q46" i="9"/>
  <c r="Q43" i="9"/>
  <c r="Q45" i="9"/>
  <c r="G100" i="5"/>
  <c r="G103" i="5" s="1"/>
  <c r="H100" i="5"/>
  <c r="H103" i="5" s="1"/>
  <c r="F100" i="5"/>
  <c r="F103" i="5" s="1"/>
  <c r="Q50" i="9" l="1"/>
  <c r="S48" i="9"/>
  <c r="S47" i="9"/>
  <c r="S45" i="9"/>
  <c r="S44" i="9"/>
  <c r="S43" i="9"/>
  <c r="O37" i="9"/>
  <c r="Q49" i="9" l="1"/>
  <c r="S46" i="9"/>
  <c r="S49" i="9" s="1"/>
  <c r="AB51" i="9" s="1"/>
  <c r="AC51" i="9" s="1"/>
  <c r="S50" i="9" l="1"/>
  <c r="S52" i="9" s="1"/>
  <c r="S53" i="9" s="1"/>
  <c r="S55" i="9"/>
  <c r="S56" i="9" s="1"/>
  <c r="G85" i="5"/>
  <c r="H85" i="5"/>
  <c r="F85" i="5"/>
  <c r="G93" i="5" l="1"/>
  <c r="F41" i="9" l="1"/>
  <c r="F40" i="9"/>
  <c r="D39" i="9"/>
  <c r="F39" i="9" s="1"/>
  <c r="F38" i="9"/>
  <c r="F42" i="9" l="1"/>
  <c r="AA23" i="9"/>
  <c r="AB23" i="9" s="1"/>
  <c r="G166" i="5"/>
  <c r="H166" i="5" s="1"/>
  <c r="G234" i="5"/>
  <c r="H234" i="5" s="1"/>
  <c r="G137" i="5"/>
  <c r="G75" i="5"/>
  <c r="G76" i="5"/>
  <c r="G43" i="5"/>
  <c r="G123" i="5"/>
  <c r="G283" i="5"/>
  <c r="G294" i="5"/>
  <c r="H294" i="5" s="1"/>
  <c r="G289" i="5"/>
  <c r="H289" i="5" s="1"/>
  <c r="G272" i="5"/>
  <c r="H272" i="5" s="1"/>
  <c r="G261" i="5"/>
  <c r="G220" i="5"/>
  <c r="H220" i="5" s="1"/>
  <c r="Q234" i="5" l="1"/>
  <c r="R234" i="5" s="1"/>
  <c r="S234" i="5" s="1"/>
  <c r="T234" i="5" s="1"/>
  <c r="U234" i="5" s="1"/>
  <c r="V234" i="5" s="1"/>
  <c r="H75" i="5"/>
  <c r="H137" i="5"/>
  <c r="H283" i="5"/>
  <c r="H76" i="5"/>
  <c r="H43" i="5"/>
  <c r="H123" i="5"/>
  <c r="H261" i="5"/>
  <c r="R24" i="9"/>
  <c r="D27" i="9" l="1"/>
  <c r="D28" i="9"/>
  <c r="D29" i="9"/>
  <c r="D30" i="9"/>
  <c r="D26" i="9"/>
  <c r="J30" i="9" l="1"/>
  <c r="E13" i="9"/>
  <c r="R20" i="9"/>
  <c r="R19" i="9"/>
  <c r="R18" i="9"/>
  <c r="R17" i="9"/>
  <c r="R16" i="9"/>
  <c r="Q11" i="9"/>
  <c r="R11" i="9" s="1"/>
  <c r="Q12" i="9"/>
  <c r="R12" i="9" s="1"/>
  <c r="Q13" i="9"/>
  <c r="R13" i="9" s="1"/>
  <c r="Q14" i="9"/>
  <c r="R14" i="9" s="1"/>
  <c r="Q10" i="9"/>
  <c r="R10" i="9" s="1"/>
  <c r="F13" i="9"/>
  <c r="G12" i="9"/>
  <c r="I12" i="9" s="1"/>
  <c r="G8" i="9"/>
  <c r="I8" i="9" s="1"/>
  <c r="G9" i="9"/>
  <c r="I9" i="9" s="1"/>
  <c r="G10" i="9"/>
  <c r="I10" i="9" s="1"/>
  <c r="G11" i="9"/>
  <c r="I11" i="9" s="1"/>
  <c r="G7" i="9"/>
  <c r="I7" i="9" s="1"/>
  <c r="T16" i="9" l="1"/>
  <c r="W16" i="9" s="1"/>
  <c r="X16" i="9" s="1"/>
  <c r="Z16" i="9" s="1"/>
  <c r="Y16" i="9"/>
  <c r="T19" i="9"/>
  <c r="W19" i="9" s="1"/>
  <c r="X19" i="9" s="1"/>
  <c r="Z19" i="9" s="1"/>
  <c r="Y19" i="9"/>
  <c r="T20" i="9"/>
  <c r="W20" i="9" s="1"/>
  <c r="X20" i="9" s="1"/>
  <c r="Z20" i="9" s="1"/>
  <c r="Y20" i="9"/>
  <c r="T14" i="9"/>
  <c r="W14" i="9" s="1"/>
  <c r="X14" i="9" s="1"/>
  <c r="Z14" i="9" s="1"/>
  <c r="Y14" i="9"/>
  <c r="T13" i="9"/>
  <c r="W13" i="9" s="1"/>
  <c r="X13" i="9" s="1"/>
  <c r="Z13" i="9" s="1"/>
  <c r="Y13" i="9"/>
  <c r="T17" i="9"/>
  <c r="W17" i="9" s="1"/>
  <c r="X17" i="9" s="1"/>
  <c r="Z17" i="9" s="1"/>
  <c r="Y17" i="9"/>
  <c r="T18" i="9"/>
  <c r="W18" i="9" s="1"/>
  <c r="X18" i="9" s="1"/>
  <c r="Z18" i="9" s="1"/>
  <c r="Y18" i="9"/>
  <c r="T12" i="9"/>
  <c r="W12" i="9" s="1"/>
  <c r="X12" i="9" s="1"/>
  <c r="Z12" i="9" s="1"/>
  <c r="Y12" i="9"/>
  <c r="T11" i="9"/>
  <c r="W11" i="9" s="1"/>
  <c r="X11" i="9" s="1"/>
  <c r="Z11" i="9" s="1"/>
  <c r="Y11" i="9"/>
  <c r="T10" i="9"/>
  <c r="W10" i="9" s="1"/>
  <c r="X10" i="9" s="1"/>
  <c r="Z10" i="9" s="1"/>
  <c r="Y10" i="9"/>
  <c r="I13" i="9"/>
  <c r="G13" i="9"/>
  <c r="J13" i="9" l="1"/>
  <c r="F20" i="9" s="1"/>
  <c r="F22" i="9" s="1"/>
  <c r="N25" i="9" s="1"/>
  <c r="F27" i="9"/>
  <c r="G27" i="9" s="1"/>
  <c r="H27" i="9" s="1"/>
  <c r="F28" i="9"/>
  <c r="G28" i="9" s="1"/>
  <c r="H28" i="9" s="1"/>
  <c r="F29" i="9"/>
  <c r="G29" i="9" s="1"/>
  <c r="H29" i="9" s="1"/>
  <c r="F30" i="9"/>
  <c r="G30" i="9" s="1"/>
  <c r="H30" i="9" s="1"/>
  <c r="F26" i="9"/>
  <c r="G26" i="9" s="1"/>
  <c r="H26" i="9" s="1"/>
  <c r="H146" i="5"/>
  <c r="G146" i="5"/>
  <c r="F146" i="5"/>
  <c r="H2" i="5"/>
  <c r="H3" i="5"/>
  <c r="H4" i="5"/>
  <c r="H10" i="5"/>
  <c r="H46" i="5"/>
  <c r="H50" i="5" s="1"/>
  <c r="H52" i="5"/>
  <c r="H54" i="5"/>
  <c r="H55" i="5"/>
  <c r="H56" i="5"/>
  <c r="H60" i="5" s="1"/>
  <c r="H58" i="5"/>
  <c r="H59" i="5" s="1"/>
  <c r="H62" i="5"/>
  <c r="H66" i="5"/>
  <c r="H67" i="5"/>
  <c r="H274" i="5"/>
  <c r="H49" i="5" l="1"/>
  <c r="H6" i="5"/>
  <c r="H25" i="5"/>
  <c r="H5" i="5"/>
  <c r="H63" i="5"/>
  <c r="H8" i="5" s="1"/>
  <c r="H101" i="5" l="1"/>
  <c r="H105" i="5" s="1"/>
  <c r="H121" i="5"/>
  <c r="H122" i="5" s="1"/>
  <c r="H11" i="5"/>
  <c r="H106" i="5"/>
  <c r="H97" i="5"/>
  <c r="H98" i="5" s="1"/>
  <c r="H113" i="5"/>
  <c r="H140" i="5"/>
  <c r="H116" i="5"/>
  <c r="H70" i="5"/>
  <c r="H68" i="5"/>
  <c r="H7" i="5" s="1"/>
  <c r="H71" i="5"/>
  <c r="H78" i="5"/>
  <c r="H69" i="5"/>
  <c r="G46" i="5"/>
  <c r="G50" i="5" s="1"/>
  <c r="F46" i="5"/>
  <c r="F50" i="5" s="1"/>
  <c r="G55" i="5"/>
  <c r="F55" i="5"/>
  <c r="G49" i="5" l="1"/>
  <c r="F49" i="5"/>
  <c r="H72" i="5"/>
  <c r="H104" i="5"/>
  <c r="H152" i="5"/>
  <c r="H178" i="5" s="1"/>
  <c r="H172" i="5"/>
  <c r="H117" i="5"/>
  <c r="H114" i="5"/>
  <c r="H80" i="5"/>
  <c r="H79" i="5"/>
  <c r="H128" i="5"/>
  <c r="H124" i="5"/>
  <c r="H129" i="5" s="1"/>
  <c r="H12" i="5" s="1"/>
  <c r="H126" i="5"/>
  <c r="H127" i="5" s="1"/>
  <c r="H144" i="5"/>
  <c r="H175" i="5" s="1"/>
  <c r="H87" i="5" l="1"/>
  <c r="H88" i="5" s="1"/>
  <c r="H89" i="5" s="1"/>
  <c r="H81" i="5"/>
  <c r="H125" i="5"/>
  <c r="H130" i="5" s="1"/>
  <c r="H13" i="5" s="1"/>
  <c r="H115" i="5"/>
  <c r="H118" i="5"/>
  <c r="H135" i="5"/>
  <c r="H136" i="5" s="1"/>
  <c r="H138" i="5" s="1"/>
  <c r="H221" i="5"/>
  <c r="H227" i="5" s="1"/>
  <c r="H205" i="5"/>
  <c r="H233" i="5" s="1"/>
  <c r="H164" i="5"/>
  <c r="H155" i="5"/>
  <c r="H156" i="5" s="1"/>
  <c r="H19" i="5"/>
  <c r="H154" i="5"/>
  <c r="H159" i="5" l="1"/>
  <c r="H168" i="5"/>
  <c r="H139" i="5"/>
  <c r="H141" i="5"/>
  <c r="H119" i="5"/>
  <c r="H262" i="5"/>
  <c r="H279" i="5" s="1"/>
  <c r="H182" i="5"/>
  <c r="H224" i="5" s="1"/>
  <c r="H185" i="5"/>
  <c r="H21" i="5" s="1"/>
  <c r="H180" i="5"/>
  <c r="H186" i="5" s="1"/>
  <c r="H20" i="5" s="1"/>
  <c r="H207" i="5"/>
  <c r="H208" i="5"/>
  <c r="H209" i="5" s="1"/>
  <c r="H22" i="5"/>
  <c r="H217" i="5"/>
  <c r="H183" i="5" l="1"/>
  <c r="H18" i="5"/>
  <c r="H142" i="5"/>
  <c r="H143" i="5" s="1"/>
  <c r="H147" i="5" s="1"/>
  <c r="H181" i="5"/>
  <c r="H187" i="5" s="1"/>
  <c r="H290" i="5"/>
  <c r="H292" i="5" s="1"/>
  <c r="H293" i="5" s="1"/>
  <c r="H295" i="5"/>
  <c r="H297" i="5" s="1"/>
  <c r="H264" i="5"/>
  <c r="H296" i="5" s="1"/>
  <c r="H235" i="5"/>
  <c r="H236" i="5" s="1"/>
  <c r="H241" i="5" s="1"/>
  <c r="H239" i="5"/>
  <c r="H24" i="5" s="1"/>
  <c r="H170" i="5"/>
  <c r="H212" i="5"/>
  <c r="H174" i="5"/>
  <c r="H237" i="5"/>
  <c r="H238" i="5" s="1"/>
  <c r="H225" i="5"/>
  <c r="H229" i="5"/>
  <c r="H259" i="5" s="1"/>
  <c r="H281" i="5" s="1"/>
  <c r="H162" i="5"/>
  <c r="H163" i="5"/>
  <c r="H302" i="5" l="1"/>
  <c r="H300" i="5"/>
  <c r="H307" i="5"/>
  <c r="H38" i="5"/>
  <c r="H9" i="5" s="1"/>
  <c r="H39" i="5"/>
  <c r="H171" i="5"/>
  <c r="H191" i="5"/>
  <c r="H240" i="5" s="1"/>
  <c r="H23" i="5" s="1"/>
  <c r="H173" i="5"/>
  <c r="H299" i="5"/>
  <c r="H298" i="5"/>
  <c r="H301" i="5"/>
  <c r="H284" i="5"/>
  <c r="H285" i="5" s="1"/>
  <c r="H226" i="5"/>
  <c r="H230" i="5"/>
  <c r="H215" i="5"/>
  <c r="H216" i="5"/>
  <c r="H247" i="5"/>
  <c r="H248" i="5" s="1"/>
  <c r="H286" i="5" l="1"/>
  <c r="H288" i="5"/>
  <c r="H280" i="5"/>
  <c r="H287" i="5"/>
  <c r="H30" i="5" s="1"/>
  <c r="H31" i="5" s="1"/>
  <c r="H252" i="5"/>
  <c r="H254" i="5" s="1"/>
  <c r="H265" i="5" s="1"/>
  <c r="H26" i="5"/>
  <c r="H256" i="5"/>
  <c r="H250" i="5"/>
  <c r="H251" i="5" s="1"/>
  <c r="H249" i="5"/>
  <c r="H196" i="5"/>
  <c r="H193" i="5"/>
  <c r="H197" i="5" s="1"/>
  <c r="H267" i="5"/>
  <c r="H318" i="5" s="1"/>
  <c r="H260" i="5"/>
  <c r="H263" i="5"/>
  <c r="H306" i="5" s="1"/>
  <c r="H17" i="5"/>
  <c r="H14" i="5"/>
  <c r="H15" i="5"/>
  <c r="G52" i="5"/>
  <c r="G54" i="5"/>
  <c r="F274" i="5"/>
  <c r="F67" i="5"/>
  <c r="F66" i="5"/>
  <c r="F62" i="5"/>
  <c r="F58" i="5"/>
  <c r="F56" i="5"/>
  <c r="F5" i="5" s="1"/>
  <c r="F54" i="5"/>
  <c r="F52" i="5"/>
  <c r="F10" i="5"/>
  <c r="F4" i="5"/>
  <c r="F3" i="5"/>
  <c r="F2" i="5"/>
  <c r="G4" i="5"/>
  <c r="G3" i="5"/>
  <c r="G2" i="5"/>
  <c r="H268" i="5" l="1"/>
  <c r="H27" i="5"/>
  <c r="H32" i="5" s="1"/>
  <c r="H309" i="5"/>
  <c r="H314" i="5" s="1"/>
  <c r="H345" i="5" s="1"/>
  <c r="H276" i="5"/>
  <c r="H29" i="5"/>
  <c r="H257" i="5"/>
  <c r="H258" i="5" s="1"/>
  <c r="H255" i="5"/>
  <c r="H266" i="5" s="1"/>
  <c r="H28" i="5" s="1"/>
  <c r="H194" i="5"/>
  <c r="H198" i="5" s="1"/>
  <c r="F59" i="5"/>
  <c r="F25" i="5"/>
  <c r="F63" i="5"/>
  <c r="F60" i="5"/>
  <c r="G62" i="5"/>
  <c r="H33" i="5" l="1"/>
  <c r="H36" i="5" s="1"/>
  <c r="H346" i="5"/>
  <c r="H351" i="5" s="1"/>
  <c r="H349" i="5"/>
  <c r="H350" i="5" s="1"/>
  <c r="H316" i="5"/>
  <c r="H315" i="5"/>
  <c r="H321" i="5"/>
  <c r="H322" i="5" s="1"/>
  <c r="H311" i="5"/>
  <c r="H312" i="5" s="1"/>
  <c r="H313" i="5" s="1"/>
  <c r="F70" i="5"/>
  <c r="F8" i="5"/>
  <c r="H34" i="5"/>
  <c r="F71" i="5"/>
  <c r="F69" i="5"/>
  <c r="F78" i="5"/>
  <c r="F68" i="5"/>
  <c r="F7" i="5" s="1"/>
  <c r="F6" i="5"/>
  <c r="F121" i="5"/>
  <c r="H354" i="5" l="1"/>
  <c r="H355" i="5" s="1"/>
  <c r="H356" i="5" s="1"/>
  <c r="H352" i="5"/>
  <c r="H357" i="5"/>
  <c r="H332" i="5"/>
  <c r="H324" i="5"/>
  <c r="H330" i="5"/>
  <c r="H317" i="5"/>
  <c r="H338" i="5"/>
  <c r="H335" i="5"/>
  <c r="H37" i="5"/>
  <c r="H35" i="5"/>
  <c r="F80" i="5"/>
  <c r="F81" i="5" s="1"/>
  <c r="F79" i="5"/>
  <c r="F72" i="5"/>
  <c r="F113" i="5"/>
  <c r="F11" i="5"/>
  <c r="F122" i="5"/>
  <c r="F97" i="5"/>
  <c r="F98" i="5" s="1"/>
  <c r="F106" i="5"/>
  <c r="F96" i="5"/>
  <c r="F101" i="5"/>
  <c r="F140" i="5"/>
  <c r="F116" i="5"/>
  <c r="G66" i="5"/>
  <c r="G67" i="5"/>
  <c r="H336" i="5" l="1"/>
  <c r="H337" i="5" s="1"/>
  <c r="H333" i="5"/>
  <c r="H327" i="5"/>
  <c r="H328" i="5" s="1"/>
  <c r="H325" i="5"/>
  <c r="F87" i="5"/>
  <c r="F105" i="5"/>
  <c r="F104" i="5"/>
  <c r="F152" i="5"/>
  <c r="F178" i="5" s="1"/>
  <c r="F172" i="5"/>
  <c r="F126" i="5"/>
  <c r="F127" i="5" s="1"/>
  <c r="F124" i="5"/>
  <c r="F129" i="5" s="1"/>
  <c r="F12" i="5" s="1"/>
  <c r="F128" i="5"/>
  <c r="F144" i="5"/>
  <c r="F175" i="5" s="1"/>
  <c r="F117" i="5"/>
  <c r="F114" i="5"/>
  <c r="AD274" i="5"/>
  <c r="AC274" i="5"/>
  <c r="AB274" i="5"/>
  <c r="AA274" i="5"/>
  <c r="Z274" i="5"/>
  <c r="Y274" i="5"/>
  <c r="X274" i="5"/>
  <c r="W274" i="5"/>
  <c r="AD211" i="5"/>
  <c r="AD214" i="5" s="1"/>
  <c r="AC211" i="5"/>
  <c r="AC214" i="5" s="1"/>
  <c r="AB211" i="5"/>
  <c r="AB214" i="5" s="1"/>
  <c r="AA211" i="5"/>
  <c r="AA214" i="5" s="1"/>
  <c r="Z211" i="5"/>
  <c r="Z214" i="5" s="1"/>
  <c r="Y211" i="5"/>
  <c r="Y214" i="5" s="1"/>
  <c r="X211" i="5"/>
  <c r="X214" i="5" s="1"/>
  <c r="W211" i="5"/>
  <c r="W214" i="5" s="1"/>
  <c r="AD158" i="5"/>
  <c r="AD161" i="5" s="1"/>
  <c r="AC158" i="5"/>
  <c r="AC161" i="5" s="1"/>
  <c r="AB158" i="5"/>
  <c r="AB161" i="5" s="1"/>
  <c r="AA158" i="5"/>
  <c r="AA161" i="5" s="1"/>
  <c r="Z158" i="5"/>
  <c r="Z161" i="5" s="1"/>
  <c r="Y158" i="5"/>
  <c r="Y161" i="5" s="1"/>
  <c r="X158" i="5"/>
  <c r="X161" i="5" s="1"/>
  <c r="W158" i="5"/>
  <c r="W161" i="5" s="1"/>
  <c r="AD100" i="5"/>
  <c r="AD103" i="5" s="1"/>
  <c r="AC100" i="5"/>
  <c r="AC103" i="5" s="1"/>
  <c r="AB100" i="5"/>
  <c r="AB103" i="5" s="1"/>
  <c r="AA100" i="5"/>
  <c r="AA103" i="5" s="1"/>
  <c r="Z100" i="5"/>
  <c r="Z103" i="5" s="1"/>
  <c r="Y100" i="5"/>
  <c r="Y103" i="5" s="1"/>
  <c r="X100" i="5"/>
  <c r="X103" i="5" s="1"/>
  <c r="W100" i="5"/>
  <c r="W103" i="5" s="1"/>
  <c r="V274" i="5"/>
  <c r="U274" i="5"/>
  <c r="T274" i="5"/>
  <c r="S274" i="5"/>
  <c r="R274" i="5"/>
  <c r="Q274" i="5"/>
  <c r="V211" i="5"/>
  <c r="V214" i="5" s="1"/>
  <c r="U211" i="5"/>
  <c r="U214" i="5" s="1"/>
  <c r="T211" i="5"/>
  <c r="T214" i="5" s="1"/>
  <c r="S211" i="5"/>
  <c r="S214" i="5" s="1"/>
  <c r="R211" i="5"/>
  <c r="R214" i="5" s="1"/>
  <c r="Q211" i="5"/>
  <c r="Q214" i="5" s="1"/>
  <c r="V158" i="5"/>
  <c r="V161" i="5" s="1"/>
  <c r="U158" i="5"/>
  <c r="U161" i="5" s="1"/>
  <c r="T158" i="5"/>
  <c r="T161" i="5" s="1"/>
  <c r="S158" i="5"/>
  <c r="S161" i="5" s="1"/>
  <c r="R158" i="5"/>
  <c r="R161" i="5" s="1"/>
  <c r="Q158" i="5"/>
  <c r="Q161" i="5" s="1"/>
  <c r="V100" i="5"/>
  <c r="V103" i="5" s="1"/>
  <c r="U100" i="5"/>
  <c r="U103" i="5" s="1"/>
  <c r="T100" i="5"/>
  <c r="T103" i="5" s="1"/>
  <c r="S100" i="5"/>
  <c r="S103" i="5" s="1"/>
  <c r="R100" i="5"/>
  <c r="R103" i="5" s="1"/>
  <c r="Q100" i="5"/>
  <c r="Q103" i="5" s="1"/>
  <c r="G246" i="5"/>
  <c r="G274" i="5" s="1"/>
  <c r="H339" i="5" l="1"/>
  <c r="H329" i="5"/>
  <c r="F88" i="5"/>
  <c r="F89" i="5" s="1"/>
  <c r="F115" i="5"/>
  <c r="F135" i="5"/>
  <c r="F136" i="5" s="1"/>
  <c r="F138" i="5" s="1"/>
  <c r="F118" i="5"/>
  <c r="F221" i="5"/>
  <c r="F227" i="5" s="1"/>
  <c r="F205" i="5"/>
  <c r="F233" i="5" s="1"/>
  <c r="F155" i="5"/>
  <c r="F156" i="5" s="1"/>
  <c r="F164" i="5"/>
  <c r="F154" i="5"/>
  <c r="F19" i="5"/>
  <c r="F125" i="5"/>
  <c r="F130" i="5" s="1"/>
  <c r="F13" i="5" s="1"/>
  <c r="Y110" i="5"/>
  <c r="W110" i="5"/>
  <c r="Z110" i="5"/>
  <c r="AA110" i="5"/>
  <c r="X110" i="5"/>
  <c r="AB110" i="5"/>
  <c r="AC110" i="5"/>
  <c r="AD110" i="5"/>
  <c r="Y101" i="5"/>
  <c r="AA101" i="5"/>
  <c r="AC101" i="5"/>
  <c r="AC105" i="5" s="1"/>
  <c r="V110" i="5"/>
  <c r="S110" i="5"/>
  <c r="R110" i="5"/>
  <c r="T110" i="5"/>
  <c r="U110" i="5"/>
  <c r="Q110" i="5"/>
  <c r="T101" i="5"/>
  <c r="T105" i="5" s="1"/>
  <c r="U101" i="5"/>
  <c r="U105" i="5" s="1"/>
  <c r="F141" i="5" l="1"/>
  <c r="F119" i="5"/>
  <c r="F182" i="5"/>
  <c r="F224" i="5" s="1"/>
  <c r="F217" i="5"/>
  <c r="F207" i="5"/>
  <c r="F208" i="5"/>
  <c r="F209" i="5" s="1"/>
  <c r="F22" i="5"/>
  <c r="F168" i="5"/>
  <c r="F139" i="5"/>
  <c r="F159" i="5"/>
  <c r="F180" i="5"/>
  <c r="F186" i="5" s="1"/>
  <c r="F20" i="5" s="1"/>
  <c r="F185" i="5"/>
  <c r="F21" i="5" s="1"/>
  <c r="V106" i="5"/>
  <c r="V101" i="5"/>
  <c r="V105" i="5" s="1"/>
  <c r="V97" i="5"/>
  <c r="V98" i="5" s="1"/>
  <c r="V128" i="5"/>
  <c r="AA105" i="5"/>
  <c r="AA104" i="5"/>
  <c r="Y105" i="5"/>
  <c r="Y104" i="5"/>
  <c r="AD106" i="5"/>
  <c r="AD97" i="5"/>
  <c r="AD98" i="5" s="1"/>
  <c r="Z106" i="5"/>
  <c r="Z97" i="5"/>
  <c r="Z98" i="5" s="1"/>
  <c r="X106" i="5"/>
  <c r="X97" i="5"/>
  <c r="X98" i="5" s="1"/>
  <c r="AD140" i="5"/>
  <c r="AB140" i="5"/>
  <c r="X101" i="5"/>
  <c r="AC106" i="5"/>
  <c r="AC97" i="5"/>
  <c r="AC98" i="5" s="1"/>
  <c r="AA106" i="5"/>
  <c r="AA97" i="5"/>
  <c r="AA98" i="5" s="1"/>
  <c r="Y106" i="5"/>
  <c r="Y97" i="5"/>
  <c r="Y98" i="5" s="1"/>
  <c r="AB106" i="5"/>
  <c r="AB97" i="5"/>
  <c r="AB98" i="5" s="1"/>
  <c r="Z101" i="5"/>
  <c r="Y140" i="5"/>
  <c r="W140" i="5"/>
  <c r="Z140" i="5"/>
  <c r="W106" i="5"/>
  <c r="W97" i="5"/>
  <c r="W98" i="5" s="1"/>
  <c r="AC140" i="5"/>
  <c r="X140" i="5"/>
  <c r="W101" i="5"/>
  <c r="AA140" i="5"/>
  <c r="AD101" i="5"/>
  <c r="AB101" i="5"/>
  <c r="AC104" i="5"/>
  <c r="R106" i="5"/>
  <c r="R97" i="5"/>
  <c r="R98" i="5" s="1"/>
  <c r="V140" i="5"/>
  <c r="U106" i="5"/>
  <c r="U97" i="5"/>
  <c r="U98" i="5" s="1"/>
  <c r="S106" i="5"/>
  <c r="S97" i="5"/>
  <c r="S98" i="5" s="1"/>
  <c r="S140" i="5"/>
  <c r="R101" i="5"/>
  <c r="T104" i="5"/>
  <c r="T140" i="5"/>
  <c r="R140" i="5"/>
  <c r="T106" i="5"/>
  <c r="T97" i="5"/>
  <c r="T98" i="5" s="1"/>
  <c r="Q106" i="5"/>
  <c r="Q97" i="5"/>
  <c r="Q98" i="5" s="1"/>
  <c r="U104" i="5"/>
  <c r="Q140" i="5"/>
  <c r="U140" i="5"/>
  <c r="Q101" i="5"/>
  <c r="S101" i="5"/>
  <c r="V114" i="5"/>
  <c r="F262" i="5" l="1"/>
  <c r="F264" i="5" s="1"/>
  <c r="F296" i="5" s="1"/>
  <c r="F181" i="5"/>
  <c r="F187" i="5" s="1"/>
  <c r="F163" i="5"/>
  <c r="F162" i="5"/>
  <c r="F183" i="5"/>
  <c r="F225" i="5"/>
  <c r="F229" i="5"/>
  <c r="F259" i="5" s="1"/>
  <c r="F235" i="5"/>
  <c r="F239" i="5"/>
  <c r="F24" i="5" s="1"/>
  <c r="F142" i="5"/>
  <c r="F143" i="5" s="1"/>
  <c r="F147" i="5" s="1"/>
  <c r="F18" i="5"/>
  <c r="F170" i="5"/>
  <c r="F174" i="5"/>
  <c r="F212" i="5"/>
  <c r="F237" i="5"/>
  <c r="F238" i="5" s="1"/>
  <c r="V104" i="5"/>
  <c r="V124" i="5"/>
  <c r="X105" i="5"/>
  <c r="X104" i="5"/>
  <c r="AA114" i="5"/>
  <c r="W114" i="5"/>
  <c r="Z105" i="5"/>
  <c r="Z104" i="5"/>
  <c r="AA128" i="5"/>
  <c r="AA124" i="5"/>
  <c r="W128" i="5"/>
  <c r="W124" i="5"/>
  <c r="Y114" i="5"/>
  <c r="Z114" i="5"/>
  <c r="AA172" i="5"/>
  <c r="AB105" i="5"/>
  <c r="AB104" i="5"/>
  <c r="X144" i="5"/>
  <c r="AC144" i="5"/>
  <c r="Z144" i="5"/>
  <c r="Y128" i="5"/>
  <c r="Y124" i="5"/>
  <c r="Z128" i="5"/>
  <c r="Z124" i="5"/>
  <c r="AD105" i="5"/>
  <c r="AD104" i="5"/>
  <c r="X172" i="5"/>
  <c r="AC172" i="5"/>
  <c r="Z172" i="5"/>
  <c r="AB114" i="5"/>
  <c r="AB144" i="5"/>
  <c r="X114" i="5"/>
  <c r="Y172" i="5"/>
  <c r="AA144" i="5"/>
  <c r="W144" i="5"/>
  <c r="AB128" i="5"/>
  <c r="AB124" i="5"/>
  <c r="AB172" i="5"/>
  <c r="X128" i="5"/>
  <c r="X124" i="5"/>
  <c r="W172" i="5"/>
  <c r="AC114" i="5"/>
  <c r="AD144" i="5"/>
  <c r="AD114" i="5"/>
  <c r="W105" i="5"/>
  <c r="W104" i="5"/>
  <c r="Y144" i="5"/>
  <c r="AC128" i="5"/>
  <c r="AC124" i="5"/>
  <c r="AD172" i="5"/>
  <c r="AD128" i="5"/>
  <c r="AD124" i="5"/>
  <c r="U114" i="5"/>
  <c r="Q128" i="5"/>
  <c r="Q124" i="5"/>
  <c r="R172" i="5"/>
  <c r="U128" i="5"/>
  <c r="U124" i="5"/>
  <c r="R128" i="5"/>
  <c r="R124" i="5"/>
  <c r="Q105" i="5"/>
  <c r="Q104" i="5"/>
  <c r="T144" i="5"/>
  <c r="V144" i="5"/>
  <c r="Q114" i="5"/>
  <c r="R114" i="5"/>
  <c r="T172" i="5"/>
  <c r="V172" i="5"/>
  <c r="S114" i="5"/>
  <c r="V135" i="5"/>
  <c r="V136" i="5" s="1"/>
  <c r="V138" i="5" s="1"/>
  <c r="V118" i="5"/>
  <c r="R144" i="5"/>
  <c r="R105" i="5"/>
  <c r="R104" i="5"/>
  <c r="U172" i="5"/>
  <c r="U144" i="5"/>
  <c r="S128" i="5"/>
  <c r="S124" i="5"/>
  <c r="Q144" i="5"/>
  <c r="T114" i="5"/>
  <c r="S144" i="5"/>
  <c r="S105" i="5"/>
  <c r="S104" i="5"/>
  <c r="Q172" i="5"/>
  <c r="T128" i="5"/>
  <c r="T124" i="5"/>
  <c r="S172" i="5"/>
  <c r="F307" i="5" l="1"/>
  <c r="F295" i="5"/>
  <c r="F297" i="5" s="1"/>
  <c r="F298" i="5" s="1"/>
  <c r="F279" i="5"/>
  <c r="F290" i="5"/>
  <c r="F38" i="5"/>
  <c r="F9" i="5" s="1"/>
  <c r="F39" i="5"/>
  <c r="F216" i="5"/>
  <c r="F215" i="5"/>
  <c r="F247" i="5"/>
  <c r="F248" i="5" s="1"/>
  <c r="F250" i="5" s="1"/>
  <c r="F226" i="5"/>
  <c r="F230" i="5"/>
  <c r="F236" i="5"/>
  <c r="F241" i="5" s="1"/>
  <c r="F191" i="5"/>
  <c r="F171" i="5"/>
  <c r="F173" i="5"/>
  <c r="V125" i="5"/>
  <c r="W125" i="5"/>
  <c r="Z125" i="5"/>
  <c r="AA125" i="5"/>
  <c r="AD178" i="5"/>
  <c r="AD164" i="5"/>
  <c r="AD155" i="5"/>
  <c r="AD156" i="5" s="1"/>
  <c r="AD154" i="5"/>
  <c r="AC135" i="5"/>
  <c r="AC136" i="5" s="1"/>
  <c r="AC138" i="5" s="1"/>
  <c r="AC118" i="5"/>
  <c r="X125" i="5"/>
  <c r="AB125" i="5"/>
  <c r="Y221" i="5"/>
  <c r="Y125" i="5"/>
  <c r="Y135" i="5"/>
  <c r="Y136" i="5" s="1"/>
  <c r="Y138" i="5" s="1"/>
  <c r="Y118" i="5"/>
  <c r="W135" i="5"/>
  <c r="W136" i="5" s="1"/>
  <c r="W138" i="5" s="1"/>
  <c r="W118" i="5"/>
  <c r="Z178" i="5"/>
  <c r="Z164" i="5"/>
  <c r="Z155" i="5"/>
  <c r="Z156" i="5" s="1"/>
  <c r="Z154" i="5"/>
  <c r="Z135" i="5"/>
  <c r="Z136" i="5" s="1"/>
  <c r="Z138" i="5" s="1"/>
  <c r="Z118" i="5"/>
  <c r="X135" i="5"/>
  <c r="X136" i="5" s="1"/>
  <c r="X138" i="5" s="1"/>
  <c r="X118" i="5"/>
  <c r="Z221" i="5"/>
  <c r="AD221" i="5"/>
  <c r="W155" i="5"/>
  <c r="W156" i="5" s="1"/>
  <c r="W154" i="5"/>
  <c r="W178" i="5"/>
  <c r="W164" i="5"/>
  <c r="AB178" i="5"/>
  <c r="AB164" i="5"/>
  <c r="AB155" i="5"/>
  <c r="AB156" i="5" s="1"/>
  <c r="AB154" i="5"/>
  <c r="AC178" i="5"/>
  <c r="AC164" i="5"/>
  <c r="AC155" i="5"/>
  <c r="AC156" i="5" s="1"/>
  <c r="AC154" i="5"/>
  <c r="X221" i="5"/>
  <c r="AA135" i="5"/>
  <c r="AA136" i="5" s="1"/>
  <c r="AA138" i="5" s="1"/>
  <c r="AA118" i="5"/>
  <c r="AD135" i="5"/>
  <c r="AD136" i="5" s="1"/>
  <c r="AD138" i="5" s="1"/>
  <c r="AD118" i="5"/>
  <c r="AB221" i="5"/>
  <c r="AC221" i="5"/>
  <c r="AA178" i="5"/>
  <c r="AA164" i="5"/>
  <c r="AA155" i="5"/>
  <c r="AA156" i="5" s="1"/>
  <c r="AA154" i="5"/>
  <c r="AB135" i="5"/>
  <c r="AB136" i="5" s="1"/>
  <c r="AB138" i="5" s="1"/>
  <c r="AB118" i="5"/>
  <c r="X178" i="5"/>
  <c r="X164" i="5"/>
  <c r="X155" i="5"/>
  <c r="X156" i="5" s="1"/>
  <c r="X154" i="5"/>
  <c r="AC125" i="5"/>
  <c r="W221" i="5"/>
  <c r="AD125" i="5"/>
  <c r="Y178" i="5"/>
  <c r="Y164" i="5"/>
  <c r="Y155" i="5"/>
  <c r="Y156" i="5" s="1"/>
  <c r="Y154" i="5"/>
  <c r="AA221" i="5"/>
  <c r="T221" i="5"/>
  <c r="R125" i="5"/>
  <c r="V141" i="5"/>
  <c r="V168" i="5"/>
  <c r="V159" i="5"/>
  <c r="V221" i="5"/>
  <c r="V119" i="5"/>
  <c r="Q125" i="5"/>
  <c r="Q135" i="5"/>
  <c r="Q136" i="5" s="1"/>
  <c r="Q138" i="5" s="1"/>
  <c r="Q118" i="5"/>
  <c r="T125" i="5"/>
  <c r="U125" i="5"/>
  <c r="U135" i="5"/>
  <c r="U136" i="5" s="1"/>
  <c r="U138" i="5" s="1"/>
  <c r="U118" i="5"/>
  <c r="S125" i="5"/>
  <c r="U178" i="5"/>
  <c r="U164" i="5"/>
  <c r="U155" i="5"/>
  <c r="U156" i="5" s="1"/>
  <c r="U154" i="5"/>
  <c r="S135" i="5"/>
  <c r="S136" i="5" s="1"/>
  <c r="S138" i="5" s="1"/>
  <c r="S118" i="5"/>
  <c r="R221" i="5"/>
  <c r="Q178" i="5"/>
  <c r="Q164" i="5"/>
  <c r="Q155" i="5"/>
  <c r="Q156" i="5" s="1"/>
  <c r="Q154" i="5"/>
  <c r="T135" i="5"/>
  <c r="T136" i="5" s="1"/>
  <c r="T138" i="5" s="1"/>
  <c r="T118" i="5"/>
  <c r="U221" i="5"/>
  <c r="T178" i="5"/>
  <c r="T164" i="5"/>
  <c r="T155" i="5"/>
  <c r="T156" i="5" s="1"/>
  <c r="T154" i="5"/>
  <c r="R135" i="5"/>
  <c r="R136" i="5" s="1"/>
  <c r="R138" i="5" s="1"/>
  <c r="R118" i="5"/>
  <c r="R178" i="5"/>
  <c r="R164" i="5"/>
  <c r="R155" i="5"/>
  <c r="R156" i="5" s="1"/>
  <c r="R154" i="5"/>
  <c r="V178" i="5"/>
  <c r="V164" i="5"/>
  <c r="V155" i="5"/>
  <c r="V156" i="5" s="1"/>
  <c r="V154" i="5"/>
  <c r="S178" i="5"/>
  <c r="S164" i="5"/>
  <c r="S155" i="5"/>
  <c r="S156" i="5" s="1"/>
  <c r="S154" i="5"/>
  <c r="S221" i="5"/>
  <c r="Q221" i="5"/>
  <c r="F301" i="5" l="1"/>
  <c r="F292" i="5"/>
  <c r="F293" i="5" s="1"/>
  <c r="F284" i="5"/>
  <c r="F302" i="5"/>
  <c r="F300" i="5"/>
  <c r="F281" i="5"/>
  <c r="F299" i="5"/>
  <c r="F280" i="5"/>
  <c r="F267" i="5"/>
  <c r="F318" i="5" s="1"/>
  <c r="F260" i="5"/>
  <c r="F263" i="5"/>
  <c r="F306" i="5" s="1"/>
  <c r="F309" i="5" s="1"/>
  <c r="F314" i="5" s="1"/>
  <c r="F256" i="5"/>
  <c r="F252" i="5"/>
  <c r="F254" i="5" s="1"/>
  <c r="F265" i="5" s="1"/>
  <c r="F27" i="5" s="1"/>
  <c r="F251" i="5"/>
  <c r="F26" i="5"/>
  <c r="F249" i="5"/>
  <c r="F193" i="5"/>
  <c r="F197" i="5" s="1"/>
  <c r="F196" i="5"/>
  <c r="F240" i="5"/>
  <c r="F23" i="5" s="1"/>
  <c r="F14" i="5"/>
  <c r="F17" i="5"/>
  <c r="F15" i="5"/>
  <c r="F16" i="5" s="1"/>
  <c r="X168" i="5"/>
  <c r="X159" i="5"/>
  <c r="AD227" i="5"/>
  <c r="AD262" i="5" s="1"/>
  <c r="Y233" i="5"/>
  <c r="Y217" i="5"/>
  <c r="Y208" i="5"/>
  <c r="Y209" i="5" s="1"/>
  <c r="Y207" i="5"/>
  <c r="Y224" i="5"/>
  <c r="X185" i="5"/>
  <c r="X180" i="5"/>
  <c r="AB233" i="5"/>
  <c r="AB217" i="5"/>
  <c r="AB208" i="5"/>
  <c r="AB209" i="5" s="1"/>
  <c r="AB207" i="5"/>
  <c r="X227" i="5"/>
  <c r="X262" i="5" s="1"/>
  <c r="AC224" i="5"/>
  <c r="W185" i="5"/>
  <c r="W180" i="5"/>
  <c r="Z141" i="5"/>
  <c r="Z119" i="5"/>
  <c r="W141" i="5"/>
  <c r="W119" i="5"/>
  <c r="AC168" i="5"/>
  <c r="AC159" i="5"/>
  <c r="W224" i="5"/>
  <c r="Y185" i="5"/>
  <c r="Y180" i="5"/>
  <c r="AA224" i="5"/>
  <c r="AA141" i="5"/>
  <c r="AA119" i="5"/>
  <c r="AC185" i="5"/>
  <c r="AC180" i="5"/>
  <c r="Z233" i="5"/>
  <c r="Z217" i="5"/>
  <c r="Z208" i="5"/>
  <c r="Z209" i="5" s="1"/>
  <c r="Z207" i="5"/>
  <c r="Z168" i="5"/>
  <c r="Z159" i="5"/>
  <c r="W159" i="5"/>
  <c r="W168" i="5"/>
  <c r="Y227" i="5"/>
  <c r="Y262" i="5" s="1"/>
  <c r="AB227" i="5"/>
  <c r="AB262" i="5" s="1"/>
  <c r="AD224" i="5"/>
  <c r="X233" i="5"/>
  <c r="X217" i="5"/>
  <c r="X208" i="5"/>
  <c r="X209" i="5" s="1"/>
  <c r="X207" i="5"/>
  <c r="Z185" i="5"/>
  <c r="Z180" i="5"/>
  <c r="X224" i="5"/>
  <c r="AA233" i="5"/>
  <c r="AA217" i="5"/>
  <c r="AA208" i="5"/>
  <c r="AA209" i="5" s="1"/>
  <c r="AA207" i="5"/>
  <c r="AB141" i="5"/>
  <c r="AB119" i="5"/>
  <c r="Z227" i="5"/>
  <c r="Z262" i="5" s="1"/>
  <c r="Y141" i="5"/>
  <c r="Y119" i="5"/>
  <c r="AD185" i="5"/>
  <c r="AD180" i="5"/>
  <c r="AC227" i="5"/>
  <c r="AC262" i="5" s="1"/>
  <c r="AB185" i="5"/>
  <c r="AB180" i="5"/>
  <c r="AA168" i="5"/>
  <c r="AA159" i="5"/>
  <c r="W208" i="5"/>
  <c r="W209" i="5" s="1"/>
  <c r="W207" i="5"/>
  <c r="W233" i="5"/>
  <c r="W217" i="5"/>
  <c r="AA227" i="5"/>
  <c r="AA262" i="5" s="1"/>
  <c r="W227" i="5"/>
  <c r="W262" i="5" s="1"/>
  <c r="AC233" i="5"/>
  <c r="AC217" i="5"/>
  <c r="AC208" i="5"/>
  <c r="AC209" i="5" s="1"/>
  <c r="AC207" i="5"/>
  <c r="AD141" i="5"/>
  <c r="AD119" i="5"/>
  <c r="Y168" i="5"/>
  <c r="Y159" i="5"/>
  <c r="AA185" i="5"/>
  <c r="AA180" i="5"/>
  <c r="AB168" i="5"/>
  <c r="AB159" i="5"/>
  <c r="AD168" i="5"/>
  <c r="AD159" i="5"/>
  <c r="AB224" i="5"/>
  <c r="AD233" i="5"/>
  <c r="AD217" i="5"/>
  <c r="AD208" i="5"/>
  <c r="AD209" i="5" s="1"/>
  <c r="AD207" i="5"/>
  <c r="X141" i="5"/>
  <c r="X119" i="5"/>
  <c r="Z224" i="5"/>
  <c r="AC141" i="5"/>
  <c r="AC119" i="5"/>
  <c r="V185" i="5"/>
  <c r="V180" i="5"/>
  <c r="S233" i="5"/>
  <c r="S217" i="5"/>
  <c r="S208" i="5"/>
  <c r="S209" i="5" s="1"/>
  <c r="S207" i="5"/>
  <c r="U168" i="5"/>
  <c r="U159" i="5"/>
  <c r="V163" i="5"/>
  <c r="V162" i="5"/>
  <c r="R168" i="5"/>
  <c r="R159" i="5"/>
  <c r="U141" i="5"/>
  <c r="U119" i="5"/>
  <c r="Q185" i="5"/>
  <c r="Q180" i="5"/>
  <c r="U185" i="5"/>
  <c r="U180" i="5"/>
  <c r="S224" i="5"/>
  <c r="S141" i="5"/>
  <c r="S119" i="5"/>
  <c r="V212" i="5"/>
  <c r="V170" i="5"/>
  <c r="R227" i="5"/>
  <c r="R262" i="5" s="1"/>
  <c r="V233" i="5"/>
  <c r="V217" i="5"/>
  <c r="V208" i="5"/>
  <c r="V209" i="5" s="1"/>
  <c r="V207" i="5"/>
  <c r="V142" i="5"/>
  <c r="V143" i="5" s="1"/>
  <c r="S227" i="5"/>
  <c r="S262" i="5" s="1"/>
  <c r="T141" i="5"/>
  <c r="T119" i="5"/>
  <c r="T224" i="5"/>
  <c r="U224" i="5"/>
  <c r="S168" i="5"/>
  <c r="S159" i="5"/>
  <c r="R224" i="5"/>
  <c r="T185" i="5"/>
  <c r="T180" i="5"/>
  <c r="Q141" i="5"/>
  <c r="Q119" i="5"/>
  <c r="V227" i="5"/>
  <c r="V262" i="5" s="1"/>
  <c r="T233" i="5"/>
  <c r="T217" i="5"/>
  <c r="T208" i="5"/>
  <c r="T209" i="5" s="1"/>
  <c r="T207" i="5"/>
  <c r="Q224" i="5"/>
  <c r="Q233" i="5"/>
  <c r="Q217" i="5"/>
  <c r="Q208" i="5"/>
  <c r="Q209" i="5" s="1"/>
  <c r="Q207" i="5"/>
  <c r="U227" i="5"/>
  <c r="U262" i="5" s="1"/>
  <c r="S185" i="5"/>
  <c r="S180" i="5"/>
  <c r="T168" i="5"/>
  <c r="T159" i="5"/>
  <c r="R185" i="5"/>
  <c r="R180" i="5"/>
  <c r="R233" i="5"/>
  <c r="R217" i="5"/>
  <c r="R208" i="5"/>
  <c r="R209" i="5" s="1"/>
  <c r="R207" i="5"/>
  <c r="Q168" i="5"/>
  <c r="Q159" i="5"/>
  <c r="Q227" i="5"/>
  <c r="Q262" i="5" s="1"/>
  <c r="V224" i="5"/>
  <c r="R141" i="5"/>
  <c r="R119" i="5"/>
  <c r="U233" i="5"/>
  <c r="U217" i="5"/>
  <c r="U208" i="5"/>
  <c r="U209" i="5" s="1"/>
  <c r="U207" i="5"/>
  <c r="T227" i="5"/>
  <c r="T262" i="5" s="1"/>
  <c r="F288" i="5" l="1"/>
  <c r="F285" i="5"/>
  <c r="F286" i="5" s="1"/>
  <c r="F287" i="5"/>
  <c r="F30" i="5" s="1"/>
  <c r="F31" i="5" s="1"/>
  <c r="F268" i="5"/>
  <c r="F316" i="5"/>
  <c r="F317" i="5" s="1"/>
  <c r="F311" i="5"/>
  <c r="F312" i="5" s="1"/>
  <c r="F313" i="5" s="1"/>
  <c r="F29" i="5"/>
  <c r="F276" i="5"/>
  <c r="F255" i="5"/>
  <c r="F266" i="5" s="1"/>
  <c r="F257" i="5"/>
  <c r="F258" i="5" s="1"/>
  <c r="F194" i="5"/>
  <c r="F198" i="5" s="1"/>
  <c r="AC181" i="5"/>
  <c r="Y181" i="5"/>
  <c r="Z181" i="5"/>
  <c r="AB181" i="5"/>
  <c r="W239" i="5"/>
  <c r="W235" i="5"/>
  <c r="AB239" i="5"/>
  <c r="AB235" i="5"/>
  <c r="AB236" i="5" s="1"/>
  <c r="AC142" i="5"/>
  <c r="AC143" i="5" s="1"/>
  <c r="AD212" i="5"/>
  <c r="AD170" i="5"/>
  <c r="Y163" i="5"/>
  <c r="Y162" i="5"/>
  <c r="Z212" i="5"/>
  <c r="Z170" i="5"/>
  <c r="AD163" i="5"/>
  <c r="AD162" i="5"/>
  <c r="Z163" i="5"/>
  <c r="Z162" i="5"/>
  <c r="AC229" i="5"/>
  <c r="AC225" i="5"/>
  <c r="Y212" i="5"/>
  <c r="Y170" i="5"/>
  <c r="AC239" i="5"/>
  <c r="AC235" i="5"/>
  <c r="AC236" i="5" s="1"/>
  <c r="AC295" i="5"/>
  <c r="AC297" i="5" s="1"/>
  <c r="AC279" i="5"/>
  <c r="AC280" i="5"/>
  <c r="Z295" i="5"/>
  <c r="Z297" i="5" s="1"/>
  <c r="Z279" i="5"/>
  <c r="Z280" i="5"/>
  <c r="Y295" i="5"/>
  <c r="Y297" i="5" s="1"/>
  <c r="Y279" i="5"/>
  <c r="Y280" i="5"/>
  <c r="W229" i="5"/>
  <c r="W225" i="5"/>
  <c r="X295" i="5"/>
  <c r="X297" i="5" s="1"/>
  <c r="X279" i="5"/>
  <c r="X280" i="5"/>
  <c r="X181" i="5"/>
  <c r="Y239" i="5"/>
  <c r="Y235" i="5"/>
  <c r="Y236" i="5" s="1"/>
  <c r="Y142" i="5"/>
  <c r="Y143" i="5" s="1"/>
  <c r="AB295" i="5"/>
  <c r="AB297" i="5" s="1"/>
  <c r="AB279" i="5"/>
  <c r="AB280" i="5"/>
  <c r="W142" i="5"/>
  <c r="W143" i="5" s="1"/>
  <c r="Z229" i="5"/>
  <c r="Z225" i="5"/>
  <c r="AB163" i="5"/>
  <c r="AB162" i="5"/>
  <c r="W295" i="5"/>
  <c r="W297" i="5" s="1"/>
  <c r="W279" i="5"/>
  <c r="W280" i="5"/>
  <c r="AA239" i="5"/>
  <c r="AA235" i="5"/>
  <c r="AA142" i="5"/>
  <c r="AA143" i="5" s="1"/>
  <c r="Z142" i="5"/>
  <c r="Z143" i="5" s="1"/>
  <c r="AD295" i="5"/>
  <c r="AD297" i="5" s="1"/>
  <c r="AD279" i="5"/>
  <c r="AD280" i="5"/>
  <c r="AD239" i="5"/>
  <c r="AD235" i="5"/>
  <c r="AD236" i="5" s="1"/>
  <c r="X229" i="5"/>
  <c r="X225" i="5"/>
  <c r="AB229" i="5"/>
  <c r="AB225" i="5"/>
  <c r="AA295" i="5"/>
  <c r="AA297" i="5" s="1"/>
  <c r="AA279" i="5"/>
  <c r="AA280" i="5"/>
  <c r="AA163" i="5"/>
  <c r="AA162" i="5"/>
  <c r="AD181" i="5"/>
  <c r="AB142" i="5"/>
  <c r="AB143" i="5" s="1"/>
  <c r="X239" i="5"/>
  <c r="X235" i="5"/>
  <c r="AA229" i="5"/>
  <c r="AA225" i="5"/>
  <c r="AC163" i="5"/>
  <c r="AC162" i="5"/>
  <c r="AB212" i="5"/>
  <c r="AB170" i="5"/>
  <c r="W212" i="5"/>
  <c r="W170" i="5"/>
  <c r="X142" i="5"/>
  <c r="X143" i="5" s="1"/>
  <c r="AA181" i="5"/>
  <c r="AA212" i="5"/>
  <c r="AA170" i="5"/>
  <c r="AD229" i="5"/>
  <c r="AD225" i="5"/>
  <c r="W163" i="5"/>
  <c r="W162" i="5"/>
  <c r="Z239" i="5"/>
  <c r="Z235" i="5"/>
  <c r="AC212" i="5"/>
  <c r="AC170" i="5"/>
  <c r="W181" i="5"/>
  <c r="X163" i="5"/>
  <c r="X162" i="5"/>
  <c r="AD142" i="5"/>
  <c r="AD143" i="5" s="1"/>
  <c r="Y229" i="5"/>
  <c r="Y225" i="5"/>
  <c r="X212" i="5"/>
  <c r="X170" i="5"/>
  <c r="R181" i="5"/>
  <c r="T181" i="5"/>
  <c r="Q239" i="5"/>
  <c r="Q235" i="5"/>
  <c r="S142" i="5"/>
  <c r="S143" i="5" s="1"/>
  <c r="U142" i="5"/>
  <c r="U143" i="5" s="1"/>
  <c r="V239" i="5"/>
  <c r="V235" i="5"/>
  <c r="R142" i="5"/>
  <c r="R143" i="5" s="1"/>
  <c r="S181" i="5"/>
  <c r="U295" i="5"/>
  <c r="U297" i="5" s="1"/>
  <c r="U279" i="5"/>
  <c r="U280" i="5"/>
  <c r="T142" i="5"/>
  <c r="T143" i="5" s="1"/>
  <c r="R295" i="5"/>
  <c r="R297" i="5" s="1"/>
  <c r="R279" i="5"/>
  <c r="R280" i="5"/>
  <c r="S229" i="5"/>
  <c r="S225" i="5"/>
  <c r="U181" i="5"/>
  <c r="Q163" i="5"/>
  <c r="Q162" i="5"/>
  <c r="T229" i="5"/>
  <c r="T225" i="5"/>
  <c r="V229" i="5"/>
  <c r="V225" i="5"/>
  <c r="S163" i="5"/>
  <c r="S162" i="5"/>
  <c r="R163" i="5"/>
  <c r="R162" i="5"/>
  <c r="U163" i="5"/>
  <c r="U162" i="5"/>
  <c r="S239" i="5"/>
  <c r="S235" i="5"/>
  <c r="R229" i="5"/>
  <c r="R225" i="5"/>
  <c r="T163" i="5"/>
  <c r="T162" i="5"/>
  <c r="T212" i="5"/>
  <c r="T170" i="5"/>
  <c r="Q142" i="5"/>
  <c r="Q143" i="5" s="1"/>
  <c r="Q295" i="5"/>
  <c r="Q297" i="5" s="1"/>
  <c r="Q279" i="5"/>
  <c r="Q280" i="5"/>
  <c r="T239" i="5"/>
  <c r="T235" i="5"/>
  <c r="T236" i="5" s="1"/>
  <c r="S212" i="5"/>
  <c r="S170" i="5"/>
  <c r="S295" i="5"/>
  <c r="S297" i="5" s="1"/>
  <c r="S279" i="5"/>
  <c r="S280" i="5"/>
  <c r="V191" i="5"/>
  <c r="V171" i="5"/>
  <c r="V173" i="5"/>
  <c r="R212" i="5"/>
  <c r="R170" i="5"/>
  <c r="U212" i="5"/>
  <c r="U170" i="5"/>
  <c r="R239" i="5"/>
  <c r="R235" i="5"/>
  <c r="R236" i="5" s="1"/>
  <c r="U229" i="5"/>
  <c r="U225" i="5"/>
  <c r="Q181" i="5"/>
  <c r="V181" i="5"/>
  <c r="Q212" i="5"/>
  <c r="Q170" i="5"/>
  <c r="V295" i="5"/>
  <c r="V297" i="5" s="1"/>
  <c r="V279" i="5"/>
  <c r="V280" i="5"/>
  <c r="T295" i="5"/>
  <c r="T297" i="5" s="1"/>
  <c r="T279" i="5"/>
  <c r="T280" i="5"/>
  <c r="U239" i="5"/>
  <c r="U235" i="5"/>
  <c r="U236" i="5" s="1"/>
  <c r="Q229" i="5"/>
  <c r="Q225" i="5"/>
  <c r="V216" i="5"/>
  <c r="V215" i="5"/>
  <c r="F33" i="5" l="1"/>
  <c r="F36" i="5" s="1"/>
  <c r="F32" i="5"/>
  <c r="F315" i="5"/>
  <c r="F345" i="5"/>
  <c r="F357" i="5" s="1"/>
  <c r="F321" i="5"/>
  <c r="F322" i="5" s="1"/>
  <c r="F335" i="5"/>
  <c r="F354" i="5"/>
  <c r="F355" i="5" s="1"/>
  <c r="F356" i="5" s="1"/>
  <c r="F28" i="5"/>
  <c r="F34" i="5" s="1"/>
  <c r="AA216" i="5"/>
  <c r="AA215" i="5"/>
  <c r="AB191" i="5"/>
  <c r="AB171" i="5"/>
  <c r="AB173" i="5"/>
  <c r="AA299" i="5"/>
  <c r="Z226" i="5"/>
  <c r="Z230" i="5"/>
  <c r="Y226" i="5"/>
  <c r="Y230" i="5"/>
  <c r="AB226" i="5"/>
  <c r="AB230" i="5"/>
  <c r="W284" i="5"/>
  <c r="Z259" i="5"/>
  <c r="Z247" i="5"/>
  <c r="Z249" i="5" s="1"/>
  <c r="AB299" i="5"/>
  <c r="AC284" i="5"/>
  <c r="Y216" i="5"/>
  <c r="Y215" i="5"/>
  <c r="X191" i="5"/>
  <c r="X171" i="5"/>
  <c r="X173" i="5"/>
  <c r="Y259" i="5"/>
  <c r="Y247" i="5"/>
  <c r="Y249" i="5" s="1"/>
  <c r="AC191" i="5"/>
  <c r="AC171" i="5"/>
  <c r="AC173" i="5"/>
  <c r="AB216" i="5"/>
  <c r="AB215" i="5"/>
  <c r="AB259" i="5"/>
  <c r="AB247" i="5"/>
  <c r="AB249" i="5" s="1"/>
  <c r="AC226" i="5"/>
  <c r="AC230" i="5"/>
  <c r="AD191" i="5"/>
  <c r="AD171" i="5"/>
  <c r="AD173" i="5"/>
  <c r="AD226" i="5"/>
  <c r="AD230" i="5"/>
  <c r="X236" i="5"/>
  <c r="X226" i="5"/>
  <c r="X230" i="5"/>
  <c r="AD284" i="5"/>
  <c r="W299" i="5"/>
  <c r="X284" i="5"/>
  <c r="Y284" i="5"/>
  <c r="Z284" i="5"/>
  <c r="AC299" i="5"/>
  <c r="AC259" i="5"/>
  <c r="AC247" i="5"/>
  <c r="AC249" i="5" s="1"/>
  <c r="Z191" i="5"/>
  <c r="Z171" i="5"/>
  <c r="Z173" i="5"/>
  <c r="W236" i="5"/>
  <c r="X216" i="5"/>
  <c r="X215" i="5"/>
  <c r="AC216" i="5"/>
  <c r="AC215" i="5"/>
  <c r="AD259" i="5"/>
  <c r="AD247" i="5"/>
  <c r="X259" i="5"/>
  <c r="X247" i="5"/>
  <c r="X249" i="5" s="1"/>
  <c r="AA236" i="5"/>
  <c r="AD216" i="5"/>
  <c r="AD215" i="5"/>
  <c r="AD299" i="5"/>
  <c r="X299" i="5"/>
  <c r="Y299" i="5"/>
  <c r="Z299" i="5"/>
  <c r="Z216" i="5"/>
  <c r="Z215" i="5"/>
  <c r="AA191" i="5"/>
  <c r="AA171" i="5"/>
  <c r="AA173" i="5"/>
  <c r="W171" i="5"/>
  <c r="W191" i="5"/>
  <c r="W173" i="5"/>
  <c r="AA226" i="5"/>
  <c r="AA230" i="5"/>
  <c r="AA284" i="5"/>
  <c r="W226" i="5"/>
  <c r="W230" i="5"/>
  <c r="Z236" i="5"/>
  <c r="W216" i="5"/>
  <c r="W215" i="5"/>
  <c r="AA259" i="5"/>
  <c r="AA247" i="5"/>
  <c r="AA249" i="5" s="1"/>
  <c r="AB284" i="5"/>
  <c r="W259" i="5"/>
  <c r="W247" i="5"/>
  <c r="W249" i="5" s="1"/>
  <c r="Y191" i="5"/>
  <c r="Y171" i="5"/>
  <c r="Y173" i="5"/>
  <c r="U259" i="5"/>
  <c r="U247" i="5"/>
  <c r="U250" i="5" s="1"/>
  <c r="T191" i="5"/>
  <c r="T171" i="5"/>
  <c r="T173" i="5"/>
  <c r="T299" i="5"/>
  <c r="R299" i="5"/>
  <c r="V236" i="5"/>
  <c r="V299" i="5"/>
  <c r="S284" i="5"/>
  <c r="R284" i="5"/>
  <c r="Q284" i="5"/>
  <c r="S299" i="5"/>
  <c r="Q216" i="5"/>
  <c r="Q215" i="5"/>
  <c r="U191" i="5"/>
  <c r="U171" i="5"/>
  <c r="U173" i="5"/>
  <c r="V196" i="5"/>
  <c r="V193" i="5"/>
  <c r="V197" i="5" s="1"/>
  <c r="S191" i="5"/>
  <c r="S171" i="5"/>
  <c r="S173" i="5"/>
  <c r="Q299" i="5"/>
  <c r="T216" i="5"/>
  <c r="T215" i="5"/>
  <c r="V259" i="5"/>
  <c r="V247" i="5"/>
  <c r="V249" i="5" s="1"/>
  <c r="S226" i="5"/>
  <c r="S230" i="5"/>
  <c r="U284" i="5"/>
  <c r="Q226" i="5"/>
  <c r="Q230" i="5"/>
  <c r="V226" i="5"/>
  <c r="V230" i="5"/>
  <c r="S236" i="5"/>
  <c r="T226" i="5"/>
  <c r="T230" i="5"/>
  <c r="S259" i="5"/>
  <c r="S247" i="5"/>
  <c r="S250" i="5" s="1"/>
  <c r="T284" i="5"/>
  <c r="R259" i="5"/>
  <c r="R247" i="5"/>
  <c r="R249" i="5" s="1"/>
  <c r="U216" i="5"/>
  <c r="U215" i="5"/>
  <c r="T259" i="5"/>
  <c r="T247" i="5"/>
  <c r="T250" i="5" s="1"/>
  <c r="U299" i="5"/>
  <c r="Q236" i="5"/>
  <c r="R216" i="5"/>
  <c r="R215" i="5"/>
  <c r="Q191" i="5"/>
  <c r="Q171" i="5"/>
  <c r="Q173" i="5"/>
  <c r="S216" i="5"/>
  <c r="S215" i="5"/>
  <c r="V284" i="5"/>
  <c r="R191" i="5"/>
  <c r="R171" i="5"/>
  <c r="R173" i="5"/>
  <c r="Q259" i="5"/>
  <c r="Q247" i="5"/>
  <c r="U226" i="5"/>
  <c r="U230" i="5"/>
  <c r="R226" i="5"/>
  <c r="R230" i="5"/>
  <c r="F336" i="5" l="1"/>
  <c r="F337" i="5" s="1"/>
  <c r="F338" i="5"/>
  <c r="F349" i="5"/>
  <c r="F350" i="5" s="1"/>
  <c r="F346" i="5"/>
  <c r="F35" i="5"/>
  <c r="F37" i="5"/>
  <c r="W250" i="5"/>
  <c r="W251" i="5" s="1"/>
  <c r="AB250" i="5"/>
  <c r="AB251" i="5" s="1"/>
  <c r="AA256" i="5"/>
  <c r="AA252" i="5"/>
  <c r="AA254" i="5" s="1"/>
  <c r="AA196" i="5"/>
  <c r="AA193" i="5"/>
  <c r="AA197" i="5" s="1"/>
  <c r="AC268" i="5"/>
  <c r="AC260" i="5"/>
  <c r="AB256" i="5"/>
  <c r="AB252" i="5"/>
  <c r="AB254" i="5" s="1"/>
  <c r="X196" i="5"/>
  <c r="X193" i="5"/>
  <c r="X197" i="5" s="1"/>
  <c r="Z256" i="5"/>
  <c r="Z252" i="5"/>
  <c r="Z254" i="5" s="1"/>
  <c r="AD256" i="5"/>
  <c r="AD252" i="5"/>
  <c r="AD254" i="5" s="1"/>
  <c r="AC196" i="5"/>
  <c r="AC193" i="5"/>
  <c r="AC197" i="5" s="1"/>
  <c r="W268" i="5"/>
  <c r="W260" i="5"/>
  <c r="AA250" i="5"/>
  <c r="AA251" i="5" s="1"/>
  <c r="X256" i="5"/>
  <c r="X252" i="5"/>
  <c r="X254" i="5" s="1"/>
  <c r="AD249" i="5"/>
  <c r="Y256" i="5"/>
  <c r="Y252" i="5"/>
  <c r="Y254" i="5" s="1"/>
  <c r="Z250" i="5"/>
  <c r="Z251" i="5" s="1"/>
  <c r="AA268" i="5"/>
  <c r="AA260" i="5"/>
  <c r="AD250" i="5"/>
  <c r="AD251" i="5" s="1"/>
  <c r="AB268" i="5"/>
  <c r="AB260" i="5"/>
  <c r="Z268" i="5"/>
  <c r="Z260" i="5"/>
  <c r="Y196" i="5"/>
  <c r="Y193" i="5"/>
  <c r="Y197" i="5" s="1"/>
  <c r="W196" i="5"/>
  <c r="W193" i="5"/>
  <c r="W197" i="5" s="1"/>
  <c r="X250" i="5"/>
  <c r="X251" i="5" s="1"/>
  <c r="AD268" i="5"/>
  <c r="AD260" i="5"/>
  <c r="Z196" i="5"/>
  <c r="Z193" i="5"/>
  <c r="Z197" i="5" s="1"/>
  <c r="Y250" i="5"/>
  <c r="Y251" i="5" s="1"/>
  <c r="AB196" i="5"/>
  <c r="AB193" i="5"/>
  <c r="AB197" i="5" s="1"/>
  <c r="X268" i="5"/>
  <c r="X260" i="5"/>
  <c r="AC256" i="5"/>
  <c r="AC252" i="5"/>
  <c r="AC254" i="5" s="1"/>
  <c r="Y268" i="5"/>
  <c r="Y260" i="5"/>
  <c r="W252" i="5"/>
  <c r="W254" i="5" s="1"/>
  <c r="W256" i="5"/>
  <c r="AC250" i="5"/>
  <c r="AC251" i="5" s="1"/>
  <c r="AD196" i="5"/>
  <c r="AD193" i="5"/>
  <c r="AD197" i="5" s="1"/>
  <c r="T249" i="5"/>
  <c r="Q256" i="5"/>
  <c r="Q252" i="5"/>
  <c r="Q254" i="5" s="1"/>
  <c r="U249" i="5"/>
  <c r="Q249" i="5"/>
  <c r="R256" i="5"/>
  <c r="R252" i="5"/>
  <c r="R254" i="5" s="1"/>
  <c r="V256" i="5"/>
  <c r="V252" i="5"/>
  <c r="V254" i="5" s="1"/>
  <c r="U268" i="5"/>
  <c r="U260" i="5"/>
  <c r="R196" i="5"/>
  <c r="R193" i="5"/>
  <c r="R197" i="5" s="1"/>
  <c r="Q250" i="5"/>
  <c r="Q251" i="5" s="1"/>
  <c r="R250" i="5"/>
  <c r="R251" i="5" s="1"/>
  <c r="S256" i="5"/>
  <c r="S252" i="5"/>
  <c r="S254" i="5" s="1"/>
  <c r="S251" i="5"/>
  <c r="V250" i="5"/>
  <c r="V251" i="5" s="1"/>
  <c r="T196" i="5"/>
  <c r="T193" i="5"/>
  <c r="T197" i="5" s="1"/>
  <c r="T268" i="5"/>
  <c r="T260" i="5"/>
  <c r="U256" i="5"/>
  <c r="U252" i="5"/>
  <c r="U254" i="5" s="1"/>
  <c r="U251" i="5"/>
  <c r="Q196" i="5"/>
  <c r="Q193" i="5"/>
  <c r="Q197" i="5" s="1"/>
  <c r="Q268" i="5"/>
  <c r="Q260" i="5"/>
  <c r="T256" i="5"/>
  <c r="T252" i="5"/>
  <c r="T254" i="5" s="1"/>
  <c r="T251" i="5"/>
  <c r="R268" i="5"/>
  <c r="R260" i="5"/>
  <c r="S249" i="5"/>
  <c r="V268" i="5"/>
  <c r="V260" i="5"/>
  <c r="U196" i="5"/>
  <c r="U193" i="5"/>
  <c r="U197" i="5" s="1"/>
  <c r="V194" i="5"/>
  <c r="V198" i="5" s="1"/>
  <c r="S268" i="5"/>
  <c r="S260" i="5"/>
  <c r="S196" i="5"/>
  <c r="S193" i="5"/>
  <c r="S197" i="5" s="1"/>
  <c r="F332" i="5" l="1"/>
  <c r="F324" i="5"/>
  <c r="F330" i="5"/>
  <c r="F333" i="5"/>
  <c r="AC255" i="5"/>
  <c r="Y194" i="5"/>
  <c r="Y198" i="5" s="1"/>
  <c r="AD194" i="5"/>
  <c r="AD198" i="5" s="1"/>
  <c r="W255" i="5"/>
  <c r="Z194" i="5"/>
  <c r="Z198" i="5" s="1"/>
  <c r="AD255" i="5"/>
  <c r="AC194" i="5"/>
  <c r="AC198" i="5" s="1"/>
  <c r="W194" i="5"/>
  <c r="W198" i="5" s="1"/>
  <c r="X194" i="5"/>
  <c r="X198" i="5" s="1"/>
  <c r="AA255" i="5"/>
  <c r="X255" i="5"/>
  <c r="AB194" i="5"/>
  <c r="AB198" i="5" s="1"/>
  <c r="Y255" i="5"/>
  <c r="AA194" i="5"/>
  <c r="AA198" i="5" s="1"/>
  <c r="Z255" i="5"/>
  <c r="AB255" i="5"/>
  <c r="T194" i="5"/>
  <c r="T198" i="5" s="1"/>
  <c r="S194" i="5"/>
  <c r="S198" i="5" s="1"/>
  <c r="U194" i="5"/>
  <c r="U198" i="5" s="1"/>
  <c r="Q255" i="5"/>
  <c r="S255" i="5"/>
  <c r="R255" i="5"/>
  <c r="U255" i="5"/>
  <c r="Q194" i="5"/>
  <c r="Q198" i="5" s="1"/>
  <c r="R194" i="5"/>
  <c r="R198" i="5" s="1"/>
  <c r="V255" i="5"/>
  <c r="T255" i="5"/>
  <c r="G56" i="5"/>
  <c r="G5" i="5" s="1"/>
  <c r="F327" i="5" l="1"/>
  <c r="F328" i="5" s="1"/>
  <c r="F325" i="5"/>
  <c r="G10" i="5"/>
  <c r="F339" i="5" l="1"/>
  <c r="F329" i="5"/>
  <c r="G25" i="5"/>
  <c r="G58" i="5" l="1"/>
  <c r="G60" i="5"/>
  <c r="G6" i="5" l="1"/>
  <c r="G110" i="5"/>
  <c r="G94" i="5"/>
  <c r="G59" i="5"/>
  <c r="G63" i="5"/>
  <c r="G8" i="5" s="1"/>
  <c r="G11" i="5" l="1"/>
  <c r="G121" i="5"/>
  <c r="G122" i="5" s="1"/>
  <c r="G70" i="5"/>
  <c r="G68" i="5"/>
  <c r="G7" i="5" s="1"/>
  <c r="G78" i="5"/>
  <c r="G71" i="5"/>
  <c r="G69" i="5"/>
  <c r="G116" i="5"/>
  <c r="G140" i="5"/>
  <c r="G97" i="5"/>
  <c r="G98" i="5" s="1"/>
  <c r="G96" i="5"/>
  <c r="G113" i="5"/>
  <c r="G101" i="5"/>
  <c r="G105" i="5" s="1"/>
  <c r="G106" i="5"/>
  <c r="G80" i="5" l="1"/>
  <c r="G81" i="5" s="1"/>
  <c r="G79" i="5"/>
  <c r="G126" i="5"/>
  <c r="G127" i="5" s="1"/>
  <c r="G104" i="5"/>
  <c r="G152" i="5"/>
  <c r="G172" i="5"/>
  <c r="G114" i="5"/>
  <c r="G117" i="5"/>
  <c r="G144" i="5"/>
  <c r="G175" i="5" s="1"/>
  <c r="G72" i="5"/>
  <c r="G124" i="5"/>
  <c r="G129" i="5" s="1"/>
  <c r="G12" i="5" s="1"/>
  <c r="G128" i="5"/>
  <c r="G19" i="5" l="1"/>
  <c r="G178" i="5"/>
  <c r="G87" i="5"/>
  <c r="G125" i="5"/>
  <c r="G130" i="5" s="1"/>
  <c r="G13" i="5" s="1"/>
  <c r="G115" i="5"/>
  <c r="G118" i="5"/>
  <c r="G135" i="5"/>
  <c r="G136" i="5" s="1"/>
  <c r="G138" i="5" s="1"/>
  <c r="G164" i="5"/>
  <c r="G155" i="5"/>
  <c r="G156" i="5" s="1"/>
  <c r="G154" i="5"/>
  <c r="G205" i="5"/>
  <c r="G221" i="5"/>
  <c r="G227" i="5" s="1"/>
  <c r="G22" i="5" l="1"/>
  <c r="G233" i="5"/>
  <c r="G88" i="5"/>
  <c r="G89" i="5" s="1"/>
  <c r="G262" i="5"/>
  <c r="G182" i="5"/>
  <c r="G224" i="5" s="1"/>
  <c r="G180" i="5"/>
  <c r="G186" i="5" s="1"/>
  <c r="G20" i="5" s="1"/>
  <c r="G185" i="5"/>
  <c r="G21" i="5" s="1"/>
  <c r="G208" i="5"/>
  <c r="G209" i="5" s="1"/>
  <c r="G217" i="5"/>
  <c r="G207" i="5"/>
  <c r="G159" i="5"/>
  <c r="G163" i="5" s="1"/>
  <c r="G168" i="5"/>
  <c r="G139" i="5"/>
  <c r="G141" i="5"/>
  <c r="G119" i="5"/>
  <c r="G264" i="5" l="1"/>
  <c r="G296" i="5" s="1"/>
  <c r="G183" i="5"/>
  <c r="G142" i="5"/>
  <c r="G143" i="5" s="1"/>
  <c r="G147" i="5" s="1"/>
  <c r="G18" i="5"/>
  <c r="G212" i="5"/>
  <c r="G216" i="5" s="1"/>
  <c r="G170" i="5"/>
  <c r="G174" i="5"/>
  <c r="G162" i="5"/>
  <c r="G229" i="5"/>
  <c r="G259" i="5" s="1"/>
  <c r="G225" i="5"/>
  <c r="G181" i="5"/>
  <c r="G187" i="5" s="1"/>
  <c r="G279" i="5"/>
  <c r="G290" i="5"/>
  <c r="G295" i="5"/>
  <c r="G297" i="5" s="1"/>
  <c r="G300" i="5" s="1"/>
  <c r="G237" i="5"/>
  <c r="G238" i="5" s="1"/>
  <c r="G235" i="5"/>
  <c r="G236" i="5" s="1"/>
  <c r="G241" i="5" s="1"/>
  <c r="G239" i="5"/>
  <c r="G24" i="5" s="1"/>
  <c r="G292" i="5" l="1"/>
  <c r="G293" i="5" s="1"/>
  <c r="G281" i="5"/>
  <c r="G307" i="5"/>
  <c r="G298" i="5"/>
  <c r="G302" i="5"/>
  <c r="G38" i="5"/>
  <c r="G39" i="5"/>
  <c r="G247" i="5"/>
  <c r="G248" i="5" s="1"/>
  <c r="G26" i="5" s="1"/>
  <c r="G301" i="5"/>
  <c r="G284" i="5"/>
  <c r="G285" i="5" s="1"/>
  <c r="G226" i="5"/>
  <c r="G230" i="5"/>
  <c r="G215" i="5"/>
  <c r="G299" i="5"/>
  <c r="G171" i="5"/>
  <c r="G191" i="5"/>
  <c r="G240" i="5" s="1"/>
  <c r="G23" i="5" s="1"/>
  <c r="G173" i="5"/>
  <c r="G286" i="5" l="1"/>
  <c r="G288" i="5"/>
  <c r="G280" i="5"/>
  <c r="G29" i="5" s="1"/>
  <c r="G17" i="5"/>
  <c r="G9" i="5"/>
  <c r="G15" i="5"/>
  <c r="G14" i="5"/>
  <c r="G267" i="5"/>
  <c r="G318" i="5" s="1"/>
  <c r="G263" i="5"/>
  <c r="G306" i="5" s="1"/>
  <c r="G250" i="5"/>
  <c r="G251" i="5" s="1"/>
  <c r="G249" i="5"/>
  <c r="G287" i="5"/>
  <c r="G30" i="5" s="1"/>
  <c r="G31" i="5" s="1"/>
  <c r="G193" i="5"/>
  <c r="G197" i="5" s="1"/>
  <c r="G196" i="5"/>
  <c r="G260" i="5"/>
  <c r="G256" i="5"/>
  <c r="G252" i="5"/>
  <c r="G254" i="5" s="1"/>
  <c r="G276" i="5" l="1"/>
  <c r="G268" i="5"/>
  <c r="G265" i="5"/>
  <c r="G194" i="5"/>
  <c r="G198" i="5" s="1"/>
  <c r="G257" i="5"/>
  <c r="G258" i="5" s="1"/>
  <c r="G255" i="5"/>
  <c r="G27" i="5" l="1"/>
  <c r="G33" i="5" s="1"/>
  <c r="G36" i="5" s="1"/>
  <c r="G309" i="5"/>
  <c r="G316" i="5" s="1"/>
  <c r="G266" i="5"/>
  <c r="G28" i="5" s="1"/>
  <c r="G32" i="5" l="1"/>
  <c r="G354" i="5"/>
  <c r="G355" i="5" s="1"/>
  <c r="G356" i="5" s="1"/>
  <c r="G352" i="5"/>
  <c r="G317" i="5"/>
  <c r="G335" i="5"/>
  <c r="G311" i="5"/>
  <c r="G312" i="5" s="1"/>
  <c r="G313" i="5" s="1"/>
  <c r="G314" i="5"/>
  <c r="G345" i="5" s="1"/>
  <c r="G357" i="5" s="1"/>
  <c r="G34" i="5"/>
  <c r="G346" i="5" l="1"/>
  <c r="G351" i="5" s="1"/>
  <c r="G349" i="5"/>
  <c r="G350" i="5" s="1"/>
  <c r="G315" i="5"/>
  <c r="G321" i="5"/>
  <c r="G336" i="5"/>
  <c r="G337" i="5" s="1"/>
  <c r="G37" i="5"/>
  <c r="G35" i="5"/>
  <c r="G322" i="5" l="1"/>
  <c r="G338" i="5"/>
  <c r="G324" i="5" l="1"/>
  <c r="G330" i="5"/>
  <c r="G332" i="5"/>
  <c r="G333" i="5"/>
  <c r="J35" i="5"/>
  <c r="I35" i="5"/>
  <c r="G327" i="5" l="1"/>
  <c r="G328" i="5" s="1"/>
  <c r="G325" i="5"/>
  <c r="G339" i="5" l="1"/>
  <c r="G329" i="5"/>
  <c r="F351" i="5"/>
  <c r="F35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tc={5BDE6D94-563E-4890-A155-11735B67D450}</author>
    <author>tc={82928ABB-3128-4FDF-9C6A-D38E030C55A4}</author>
    <author>tc={AB86291C-B640-4051-8562-D06C74631E88}</author>
    <author>tc={DD9002E1-F5EC-CF48-AAF2-59FA31B6582B}</author>
  </authors>
  <commentList>
    <comment ref="E47" authorId="0" shapeId="0" xr:uid="{5BDE6D94-563E-4890-A155-11735B67D45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the units to include partial pressure.</t>
      </text>
    </comment>
    <comment ref="F47" authorId="1" shapeId="0" xr:uid="{82928ABB-3128-4FDF-9C6A-D38E030C5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verified.</t>
      </text>
    </comment>
    <comment ref="F50" authorId="2" shapeId="0" xr:uid="{AB86291C-B640-4051-8562-D06C74631E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assumes a maximum O2 inlet composition of 80% and 1 atm total pressure in the bioreactor.</t>
      </text>
    </comment>
    <comment ref="L157" authorId="3" shapeId="0" xr:uid="{DD9002E1-F5EC-CF48-AAF2-59FA31B658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After capture, the downstream is operated once per batch. Stability of the capture step pool is critical for success
</t>
      </text>
    </comment>
  </commentList>
</comments>
</file>

<file path=xl/sharedStrings.xml><?xml version="1.0" encoding="utf-8"?>
<sst xmlns="http://schemas.openxmlformats.org/spreadsheetml/2006/main" count="1778" uniqueCount="469">
  <si>
    <t>Proposed Range</t>
  </si>
  <si>
    <t>Low</t>
  </si>
  <si>
    <t>High</t>
  </si>
  <si>
    <t>Bioreactor</t>
  </si>
  <si>
    <t>Bioreactor Size (L)</t>
  </si>
  <si>
    <t>500-2000</t>
  </si>
  <si>
    <t>Avg cell density (million cells/mL)</t>
  </si>
  <si>
    <t>50-120</t>
  </si>
  <si>
    <t>Qp (pg/cell/day)</t>
  </si>
  <si>
    <t>20-60</t>
  </si>
  <si>
    <t>Permeate Perfusion Rate (bioreactor volumes/day, vvd)</t>
  </si>
  <si>
    <t>NA</t>
  </si>
  <si>
    <t>Batch Duration</t>
  </si>
  <si>
    <t>14-30</t>
  </si>
  <si>
    <t>Media Concentration Factor</t>
  </si>
  <si>
    <t>1-5x (3 assumed)</t>
  </si>
  <si>
    <t>ATF or TFF</t>
  </si>
  <si>
    <t>Cross-flow (LMH)</t>
  </si>
  <si>
    <t>Permeate Flux</t>
  </si>
  <si>
    <t>2-10LMH</t>
  </si>
  <si>
    <t>Cycle Time (ATF)</t>
  </si>
  <si>
    <t>5-20s</t>
  </si>
  <si>
    <t>General Column Data</t>
  </si>
  <si>
    <t>Linear flowrate (cm/hr)</t>
  </si>
  <si>
    <t>Bed Height (cm)</t>
  </si>
  <si>
    <t>Buffer Concentration Factor</t>
  </si>
  <si>
    <t># Columns</t>
  </si>
  <si>
    <t>1-2</t>
  </si>
  <si>
    <t>Chromatography</t>
  </si>
  <si>
    <t>Protein A</t>
  </si>
  <si>
    <t>Capacity (g/L)</t>
  </si>
  <si>
    <t>30-60</t>
  </si>
  <si>
    <t>Buffer Volume (1x) used (Column Volume, CV)</t>
  </si>
  <si>
    <t>Elution Volume collected (CV)</t>
  </si>
  <si>
    <t>1.5-3</t>
  </si>
  <si>
    <t>Yield</t>
  </si>
  <si>
    <t>Flow Through</t>
  </si>
  <si>
    <t>50-150</t>
  </si>
  <si>
    <t>0.2-0.5</t>
  </si>
  <si>
    <t>Bind/Elute</t>
  </si>
  <si>
    <t>1.0-1.5</t>
  </si>
  <si>
    <t>Virus Filtration</t>
  </si>
  <si>
    <t>Capacity (L/m2)</t>
  </si>
  <si>
    <t>700-1400</t>
  </si>
  <si>
    <t>Flux (LMH)</t>
  </si>
  <si>
    <t>UFDF</t>
  </si>
  <si>
    <t>Membrane Capacity (g/m2)</t>
  </si>
  <si>
    <t>800-1500</t>
  </si>
  <si>
    <t>Cross Flow (LMH)</t>
  </si>
  <si>
    <t>300-500</t>
  </si>
  <si>
    <t>Concentration 1 Flux (LMH)</t>
  </si>
  <si>
    <t>Concentration 1 target (g/L)</t>
  </si>
  <si>
    <t># Diavolumes</t>
  </si>
  <si>
    <t>Final DS Conc Target (g/L)</t>
  </si>
  <si>
    <t>Input/Output</t>
  </si>
  <si>
    <t>Paper or Supplement</t>
  </si>
  <si>
    <t>Units</t>
  </si>
  <si>
    <t>Step</t>
  </si>
  <si>
    <t>Parameter</t>
  </si>
  <si>
    <t>Clinial Production</t>
  </si>
  <si>
    <t>2000L, MCC High cellular productivity</t>
  </si>
  <si>
    <t>4x2000L High Productivity</t>
  </si>
  <si>
    <t>Column17</t>
  </si>
  <si>
    <t>Column18</t>
  </si>
  <si>
    <t>Column1</t>
  </si>
  <si>
    <t>Column2</t>
  </si>
  <si>
    <t>Column19</t>
  </si>
  <si>
    <t>Column20</t>
  </si>
  <si>
    <t>Column21</t>
  </si>
  <si>
    <t>Column22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</si>
  <si>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</si>
  <si>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</si>
  <si>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</si>
  <si>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</si>
  <si>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</si>
  <si>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</si>
  <si>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</si>
  <si>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</si>
  <si>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</si>
  <si>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</si>
  <si>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</si>
  <si>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</si>
  <si>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</si>
  <si>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</si>
  <si>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Output</t>
  </si>
  <si>
    <t xml:space="preserve">Supplement </t>
  </si>
  <si>
    <t>Summary</t>
  </si>
  <si>
    <t>Bioreactor Volume</t>
  </si>
  <si>
    <t>Avg cell density (M cells/mL)</t>
  </si>
  <si>
    <t>Qp (ng/cell/day)</t>
  </si>
  <si>
    <t>Productivity (g/L bioreactor/day)</t>
  </si>
  <si>
    <t>Mass/day (kg)</t>
  </si>
  <si>
    <t>Media Volume (L)</t>
  </si>
  <si>
    <t>Total Diluted Media volume (L)</t>
  </si>
  <si>
    <t>Concentrated Media PMI</t>
  </si>
  <si>
    <t>Number of ProA Columns</t>
  </si>
  <si>
    <t>ProA Column Volume (L)</t>
  </si>
  <si>
    <t>ProA Buffer Conc (L)</t>
  </si>
  <si>
    <t>ProA Buffer Diluted</t>
  </si>
  <si>
    <t>ProA Productivity</t>
  </si>
  <si>
    <t>ProA Buffer Productivity (L/kg)</t>
  </si>
  <si>
    <t>ProA diluted buffer productivity (g/L)</t>
  </si>
  <si>
    <t>ProA Water Productivity (L/kg)</t>
  </si>
  <si>
    <t>VI Buffer</t>
  </si>
  <si>
    <t>AEX Column Volume (L)</t>
  </si>
  <si>
    <t>AEX Buffer</t>
  </si>
  <si>
    <t>AEX Diluted Buffers</t>
  </si>
  <si>
    <t>CEX Column Volume (L)</t>
  </si>
  <si>
    <t>CEX Buffer</t>
  </si>
  <si>
    <t>CEX Diluted Buffer</t>
  </si>
  <si>
    <t>Sub Batches VRF &amp; UFDF</t>
  </si>
  <si>
    <t>VRF Membrane Area (L)</t>
  </si>
  <si>
    <t>VRF  Buffer (L)</t>
  </si>
  <si>
    <t>VRF Diluted Solutions (L)</t>
  </si>
  <si>
    <t>UFDF Membrane area (L)</t>
  </si>
  <si>
    <t>UFDF Buffer (L)</t>
  </si>
  <si>
    <t>DF Buffer Productivity (L/kg)</t>
  </si>
  <si>
    <t>Total Buffer Concentrates (L)</t>
  </si>
  <si>
    <t>Total Buffer and media (L)</t>
  </si>
  <si>
    <t>Total Diluted Solutions Downstream (L)</t>
  </si>
  <si>
    <t>Water per Day assuming equal distribution</t>
  </si>
  <si>
    <t>Solution and media PMI</t>
  </si>
  <si>
    <t>PMI</t>
  </si>
  <si>
    <t>Total BDS Mass (g)</t>
  </si>
  <si>
    <t>Total Material Per Year (tons)</t>
  </si>
  <si>
    <t xml:space="preserve">Bioreactor </t>
  </si>
  <si>
    <t>Input</t>
  </si>
  <si>
    <t>Paper</t>
  </si>
  <si>
    <t>Fraction Processed</t>
  </si>
  <si>
    <t>OUR (mM/hour, Approx.)</t>
  </si>
  <si>
    <t>O2 Saturation level (mg/L/atm)</t>
  </si>
  <si>
    <t>DO setpoint</t>
  </si>
  <si>
    <t>Time until hypoxia DO (s)</t>
  </si>
  <si>
    <t>KLa (per hour)</t>
  </si>
  <si>
    <t>O2 (VVM)</t>
  </si>
  <si>
    <t>O2 Flow (L/min)</t>
  </si>
  <si>
    <t>Air (VVM)</t>
  </si>
  <si>
    <t>Air Flow (L/min)</t>
  </si>
  <si>
    <t>Heat Generated (Watts)</t>
  </si>
  <si>
    <t>Perfusion Rate (permeate) vvd</t>
  </si>
  <si>
    <t>Perfusion Volume (L/day)</t>
  </si>
  <si>
    <t>Bleed (mL/min)</t>
  </si>
  <si>
    <t>Mass/day (g/day)</t>
  </si>
  <si>
    <t>Batch Duration (days)</t>
  </si>
  <si>
    <t>Batches per year</t>
  </si>
  <si>
    <t>Total Perfusion Volume (L)</t>
  </si>
  <si>
    <t>Media Concentration Factor, average</t>
  </si>
  <si>
    <t>Media components, liquid</t>
  </si>
  <si>
    <t>Flow rate of 20-fold concentrate (mL/min)</t>
  </si>
  <si>
    <t>Flow rate of 5-fold concentrate (mL/min)</t>
  </si>
  <si>
    <t>Volume Total Concentrated Media (L)</t>
  </si>
  <si>
    <t>Volume of 20-fold concentrate (L)</t>
  </si>
  <si>
    <t>Volume of  12-fold concentrate (L)</t>
  </si>
  <si>
    <t>Volume of 5-fold concentrate (L)</t>
  </si>
  <si>
    <t>Volume Total WFI for media dilution (L)</t>
  </si>
  <si>
    <t>Cell Retention</t>
  </si>
  <si>
    <t>Membrane Capacity (L/m2)</t>
  </si>
  <si>
    <t>Total Membrane Area (m2)</t>
  </si>
  <si>
    <t>Permeate Flux Target (LMH)</t>
  </si>
  <si>
    <t>Membrane Area in process</t>
  </si>
  <si>
    <t>Numbe of ATF 10 units required</t>
  </si>
  <si>
    <t>Hollow fiber diameter (mm)</t>
  </si>
  <si>
    <t>Hollow fiber length (cm)</t>
  </si>
  <si>
    <t>input</t>
  </si>
  <si>
    <t>Number of modules in series</t>
  </si>
  <si>
    <t>Height of modules</t>
  </si>
  <si>
    <t>Shear Required (per s)</t>
  </si>
  <si>
    <t xml:space="preserve">N Fibers required </t>
  </si>
  <si>
    <t>Cross Flow rate (L/min)</t>
  </si>
  <si>
    <t>Cell Residence Time (s)</t>
  </si>
  <si>
    <t>Capture</t>
  </si>
  <si>
    <t>Column Volume (L)</t>
  </si>
  <si>
    <t>Minimum Column Diameter (cm)</t>
  </si>
  <si>
    <t>Max Mass per cycle</t>
  </si>
  <si>
    <t>Column Challenge</t>
  </si>
  <si>
    <t>Total Cycles/Day</t>
  </si>
  <si>
    <t>Residence Time (min)</t>
  </si>
  <si>
    <t>Load Time (min)</t>
  </si>
  <si>
    <t>Non-Load Time (min)</t>
  </si>
  <si>
    <t>Total Cycle Time (min)</t>
  </si>
  <si>
    <t>Column Wet Time per Day (hr)</t>
  </si>
  <si>
    <t>General Process Flowrate (w/out conc) (L/min)</t>
  </si>
  <si>
    <t>Product - Capture</t>
  </si>
  <si>
    <t>Mass Eluted per Day (g/day)</t>
  </si>
  <si>
    <t>Elution Volume per cycle (CV)</t>
  </si>
  <si>
    <t>Inline SPTFF Concentration Factor</t>
  </si>
  <si>
    <t>L</t>
  </si>
  <si>
    <t>Tank Size with 20% Excess</t>
  </si>
  <si>
    <t>g</t>
  </si>
  <si>
    <t>Mass eluted per batch (g)</t>
  </si>
  <si>
    <t>Buffers - Capture</t>
  </si>
  <si>
    <t>Total Buffer Use Volume per cycle (L)</t>
  </si>
  <si>
    <t>Total Buffer Use Volume per Day (L)</t>
  </si>
  <si>
    <t>Concentrated Buffer Volume per Day (L)</t>
  </si>
  <si>
    <t>Volume WFI per Day (L)</t>
  </si>
  <si>
    <t>L/min</t>
  </si>
  <si>
    <t>Process Flowrate for Conc Buffer (L/min)</t>
  </si>
  <si>
    <t>Process Flowrate for WFI (L/min)</t>
  </si>
  <si>
    <t>Total Buffer Use Volume per Batch (L)</t>
  </si>
  <si>
    <t>Concentrated Buffer Volume per Batch (L)</t>
  </si>
  <si>
    <t>Volume WFI per Batch (L)</t>
  </si>
  <si>
    <t>Virus Inactivation</t>
  </si>
  <si>
    <t>Acid Ratio Addition (L acid/L peak pool)</t>
  </si>
  <si>
    <t>Base Ratio Addition (L base/L acid)</t>
  </si>
  <si>
    <t>Acid Volume per Day (L)</t>
  </si>
  <si>
    <t>Base Volume per Day</t>
  </si>
  <si>
    <t>Pool Volume per Day (L)</t>
  </si>
  <si>
    <t>Tank Volume with 20% Excess</t>
  </si>
  <si>
    <t>Product Mass per Day</t>
  </si>
  <si>
    <t>Acid Volume per Batch</t>
  </si>
  <si>
    <t>Base Volume per Batch</t>
  </si>
  <si>
    <t>Volume per Batch</t>
  </si>
  <si>
    <t>Depth Filtration Capacity (L/m2)</t>
  </si>
  <si>
    <t>Depth Filter Changes per batch</t>
  </si>
  <si>
    <t>Depth Filter Area in Process</t>
  </si>
  <si>
    <t>Polishing Flow Thru</t>
  </si>
  <si>
    <t>Polishing Step 1 Flow Thru</t>
  </si>
  <si>
    <t>Column Diameter</t>
  </si>
  <si>
    <t>Cycles per Day</t>
  </si>
  <si>
    <t>min</t>
  </si>
  <si>
    <t>Residence Time</t>
  </si>
  <si>
    <t>Load Time</t>
  </si>
  <si>
    <t>Non-Load Time</t>
  </si>
  <si>
    <t>Total Cycle Time</t>
  </si>
  <si>
    <t>hr</t>
  </si>
  <si>
    <t>Column Wet Time per Day</t>
  </si>
  <si>
    <t>General Process Flowrate (w/out conc)</t>
  </si>
  <si>
    <t>CV</t>
  </si>
  <si>
    <t>Collection Volume Increase per cycle</t>
  </si>
  <si>
    <t>Pool Volume per Day</t>
  </si>
  <si>
    <t>Inline Concentration Factor</t>
  </si>
  <si>
    <t>Concentrated Pool Volume per Day</t>
  </si>
  <si>
    <t>Tank Size With 30% Excess</t>
  </si>
  <si>
    <t>g/L</t>
  </si>
  <si>
    <t>Final Pool Product Concentration</t>
  </si>
  <si>
    <t>Total Collection Pool per Batch</t>
  </si>
  <si>
    <t>Final Pool Product Mass</t>
  </si>
  <si>
    <t>Buffers - Polish 1 Flow Thru</t>
  </si>
  <si>
    <t>Total Buffer Use Volume per Day</t>
  </si>
  <si>
    <t>Concentrated Buffer Volume per Day</t>
  </si>
  <si>
    <t>Volume WFI per Day</t>
  </si>
  <si>
    <t>Process Flowrate for Conc Buffer</t>
  </si>
  <si>
    <t>Process Flowrate for WFI</t>
  </si>
  <si>
    <t xml:space="preserve">supplement </t>
  </si>
  <si>
    <t>Total Buffer Use Volume per Batch</t>
  </si>
  <si>
    <t>Concentrated Buffer Volume per Batch</t>
  </si>
  <si>
    <t>Volume WFI per Batch</t>
  </si>
  <si>
    <t>B/E Load Adjust</t>
  </si>
  <si>
    <t>Bind and Elute Load Adjustment</t>
  </si>
  <si>
    <t>Adjustment Ratio (L/L)</t>
  </si>
  <si>
    <t>Polishing B/E</t>
  </si>
  <si>
    <t>Polishing Step 2 Bind and Elute</t>
  </si>
  <si>
    <t>Column Diameter (cm)</t>
  </si>
  <si>
    <t>Max Mass per cycle (g)</t>
  </si>
  <si>
    <t>Total Cycles per Day</t>
  </si>
  <si>
    <t>Product - Polish 2 Bind and Elute</t>
  </si>
  <si>
    <t>g/day</t>
  </si>
  <si>
    <t>Mass Eluted per Day</t>
  </si>
  <si>
    <t>Elution Volume per cycle (cv)</t>
  </si>
  <si>
    <t>Inline Concentration Factor (optional SPTFF)</t>
  </si>
  <si>
    <t>Total Elution Pool per Day (L)</t>
  </si>
  <si>
    <t>Concentrated Pool Volume per Day (L)</t>
  </si>
  <si>
    <t>Tank Size with 20% Excess (L)</t>
  </si>
  <si>
    <t>Mass Eluted per Batch</t>
  </si>
  <si>
    <t>Total Elution Pool per Batch (L)</t>
  </si>
  <si>
    <t>Buffers - Polish 2 Bind and Elute</t>
  </si>
  <si>
    <t>VRF</t>
  </si>
  <si>
    <t>Number of Sub-batches</t>
  </si>
  <si>
    <t>m2</t>
  </si>
  <si>
    <t>Membrane Area needed per Sub Batch</t>
  </si>
  <si>
    <t>Membrane Area Used for Processing</t>
  </si>
  <si>
    <t>Membrane Challenge</t>
  </si>
  <si>
    <t>hour</t>
  </si>
  <si>
    <t>Product Filtration Time per SubBatch</t>
  </si>
  <si>
    <t>Total Processing Time per SubBatch</t>
  </si>
  <si>
    <t>Buffer Use per Sub Batch</t>
  </si>
  <si>
    <t>Concentrated Buffer Volume per subbatch (L)</t>
  </si>
  <si>
    <t>WFI Use per Subbatch</t>
  </si>
  <si>
    <t>Pool Size per subbatch (L)</t>
  </si>
  <si>
    <t>g/Sub Batch</t>
  </si>
  <si>
    <t>Final Pool Product Mass per Subbatch (g)</t>
  </si>
  <si>
    <t>Final Pool Product Concentration (mg/mL)</t>
  </si>
  <si>
    <t>Total Mass per Batch (g)</t>
  </si>
  <si>
    <t>Total Pool per Batch if pooled</t>
  </si>
  <si>
    <t>Tank Size with 20% Excess if pooled</t>
  </si>
  <si>
    <t>UF/DF</t>
  </si>
  <si>
    <t>Batch UFDF Option</t>
  </si>
  <si>
    <t>Number of SubBatches</t>
  </si>
  <si>
    <t>Duration of  Conc 1 (hours)</t>
  </si>
  <si>
    <t>Conc 1 Cross Flow rate (L/min)</t>
  </si>
  <si>
    <t>Concentration 1 product volume (L)</t>
  </si>
  <si>
    <t>Membrane Area needed per sub batch (m2)</t>
  </si>
  <si>
    <t>UF permeate flow rate (L/min)</t>
  </si>
  <si>
    <t>Duration of DF (hours)</t>
  </si>
  <si>
    <t># Diavolumes (L/L)</t>
  </si>
  <si>
    <t>Diafiltration Buffer Volume Per SubBatch (L)</t>
  </si>
  <si>
    <t>Diafiltration Membrane Area Required (m2)</t>
  </si>
  <si>
    <t>Diafiltration Cross Flow (L/min)</t>
  </si>
  <si>
    <t>Diafiltration Buffer Volume Per Batch (L)</t>
  </si>
  <si>
    <t>Diafiltration Flow Rate (L/min)</t>
  </si>
  <si>
    <t>Final Concentration target (g/L)</t>
  </si>
  <si>
    <t>Final Concentration product volume per subbatch (L)</t>
  </si>
  <si>
    <t>Final Concentration Operation Time (hours)</t>
  </si>
  <si>
    <t>Final  Concentration Membrane Area Required (m2)</t>
  </si>
  <si>
    <t>Flow Rate Final Conc Recirc</t>
  </si>
  <si>
    <t>g/sub batch</t>
  </si>
  <si>
    <t>Product Mass per Sub Batch</t>
  </si>
  <si>
    <t>g/batch</t>
  </si>
  <si>
    <t>Product Mass per batch</t>
  </si>
  <si>
    <t>DS Product Volume per sub batch</t>
  </si>
  <si>
    <t>DS Product volume per batch</t>
  </si>
  <si>
    <t>Dilution Buffer volume (L)</t>
  </si>
  <si>
    <t>Process Flowrate (L/min)</t>
  </si>
  <si>
    <t>Tank Size (Conc1) with 20% Excess (L)</t>
  </si>
  <si>
    <t>Final pooled DS volume (L)</t>
  </si>
  <si>
    <t>SPTFF-UF; CC-DF Cascade</t>
  </si>
  <si>
    <t>SPTFF</t>
  </si>
  <si>
    <t>Feed Product Concentration (g/L)</t>
  </si>
  <si>
    <t>Feed Flow (L/hr)</t>
  </si>
  <si>
    <t>SPTFF UF target</t>
  </si>
  <si>
    <t>Required Volumetric Concentration Factor</t>
  </si>
  <si>
    <t>Filtration Flux (LMH)</t>
  </si>
  <si>
    <t>Feed Flux (LMH)</t>
  </si>
  <si>
    <t>Membrane area required</t>
  </si>
  <si>
    <t>Membrane area used with 20% Excess</t>
  </si>
  <si>
    <t>Retentate Flow (L/H)</t>
  </si>
  <si>
    <t>Surge Tank (L) with 20% Excess if continuous</t>
  </si>
  <si>
    <t>Total Concentrated Pool per Batch if pooled</t>
  </si>
  <si>
    <t>Total Time required (h)</t>
  </si>
  <si>
    <t>ILDF</t>
  </si>
  <si>
    <t>CC-DF Three-stage Cascade after SPTFF</t>
  </si>
  <si>
    <t>Feed Flow (L/H)</t>
  </si>
  <si>
    <t>DF Buffer Flow (L/H)</t>
  </si>
  <si>
    <t>Ratio of DF/Feed flow (dilution factor)</t>
  </si>
  <si>
    <t>Flow for the diluted product stream  (L/H)</t>
  </si>
  <si>
    <t>Product concentration in diluted stream (g/L)</t>
  </si>
  <si>
    <r>
      <t>Membrane area required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</si>
  <si>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Retentate Flow (L/H) at each stage</t>
  </si>
  <si>
    <t>Number of stages</t>
  </si>
  <si>
    <t>Permeate surge tank size with 20% excess</t>
  </si>
  <si>
    <t>Fresh Diafiltration Buffer Volume Per Batch</t>
  </si>
  <si>
    <t>DS Tank Size with 20% Excess</t>
  </si>
  <si>
    <r>
      <t>Total membrane area required for three stages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</si>
  <si>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Number of Pumps required UF+DF</t>
  </si>
  <si>
    <t>CC-Dialysis using hollow fiber dialyzers after SPTFF-UF</t>
  </si>
  <si>
    <t>Dialysis</t>
  </si>
  <si>
    <t>Dialysis Buffer Flow (L/H)</t>
  </si>
  <si>
    <t>Ratio of Dialysis buffer flow/Feed flow</t>
  </si>
  <si>
    <t>output</t>
  </si>
  <si>
    <t>Media</t>
  </si>
  <si>
    <t>ProA Capacity</t>
  </si>
  <si>
    <t>Process Yield</t>
  </si>
  <si>
    <t>Batch size</t>
  </si>
  <si>
    <t>Number of Buffers</t>
  </si>
  <si>
    <t>Total CV based off of ProA coliumn volume</t>
  </si>
  <si>
    <t>Buffer Conc Factor</t>
  </si>
  <si>
    <t>Buffer Mass Index for 5x concentrates (kg buffer/kg BDS)</t>
  </si>
  <si>
    <t>ProA</t>
  </si>
  <si>
    <t>Perfusion Rate</t>
  </si>
  <si>
    <t>Cell Specific Productivity</t>
  </si>
  <si>
    <t>Average Cell Density</t>
  </si>
  <si>
    <t>Bioreactor Productivity</t>
  </si>
  <si>
    <t>Media Concentrate</t>
  </si>
  <si>
    <t>for a 140kg batch</t>
  </si>
  <si>
    <t>Number of 5kL tanks needed for 140kg batch</t>
  </si>
  <si>
    <t>Number of 2kL bioreactors required</t>
  </si>
  <si>
    <t>SU hold cost ($/g)</t>
  </si>
  <si>
    <t>AEX</t>
  </si>
  <si>
    <t>vvd</t>
  </si>
  <si>
    <t>pg/cell/day</t>
  </si>
  <si>
    <t>g/L/day</t>
  </si>
  <si>
    <t>CEX</t>
  </si>
  <si>
    <t>Dynamic Perfusion</t>
  </si>
  <si>
    <t>NaOH Sanitization Multi Use</t>
  </si>
  <si>
    <t>VI/VRF</t>
  </si>
  <si>
    <t>Total*</t>
  </si>
  <si>
    <t>*The number of buffers does not includes the VI/VRF buffers  buffers, as those will not go into large buffer tanks</t>
  </si>
  <si>
    <t>Steady State</t>
  </si>
  <si>
    <t>Each buffer requires 400L/kg/15 volume</t>
  </si>
  <si>
    <t>Each buffer requires about 27L per kg of BDS</t>
  </si>
  <si>
    <t xml:space="preserve">14 tanks </t>
  </si>
  <si>
    <t>L of each buffer needed for a  batch</t>
  </si>
  <si>
    <t>L tank target</t>
  </si>
  <si>
    <t>Tanks needed</t>
  </si>
  <si>
    <t>List price of Thermo 5kL bag: $1870</t>
  </si>
  <si>
    <t>Productivity (g/L/day) of 4x2kL bioreactors</t>
  </si>
  <si>
    <t>Mass per batch (kg)</t>
  </si>
  <si>
    <t>Total Buffer Volume Needed (L)</t>
  </si>
  <si>
    <t>Number of 5kL tanks required</t>
  </si>
  <si>
    <t>Cost of bags ($/g)</t>
  </si>
  <si>
    <t>Total Tanks</t>
  </si>
  <si>
    <t>Volume (L)</t>
  </si>
  <si>
    <t>Days for Prep</t>
  </si>
  <si>
    <t>Water/day (L)</t>
  </si>
  <si>
    <t>Media prep</t>
  </si>
  <si>
    <t>Solution prep</t>
  </si>
  <si>
    <t>Productivity/ Capacity/ DF concentration</t>
  </si>
  <si>
    <t>Volume Used (L/L) (Perfusion, Wash, diafiltraiotn volume)</t>
  </si>
  <si>
    <t>Number of Solutions per Step</t>
  </si>
  <si>
    <t>PMI (L/kg)</t>
  </si>
  <si>
    <t xml:space="preserve"> Concentrate Factor</t>
  </si>
  <si>
    <t>PMI for Concentrates</t>
  </si>
  <si>
    <t>Dilution for media</t>
  </si>
  <si>
    <t>Dilution for solution</t>
  </si>
  <si>
    <t>Total</t>
  </si>
  <si>
    <t>ProA PMI</t>
  </si>
  <si>
    <t>VI</t>
  </si>
  <si>
    <t>Capacity/wash volume/Product (Yield Subsequent Steps</t>
  </si>
  <si>
    <t>700g/m2</t>
  </si>
  <si>
    <t>PMI_i = Capacity_i/Wash Volume_1/Product [from m=i-n](Yield_m)</t>
  </si>
  <si>
    <t>Solution and Media</t>
  </si>
  <si>
    <t>Number of 5kL tanks per kg</t>
  </si>
  <si>
    <t>Cost of 5kL tanks/g</t>
  </si>
  <si>
    <t>from Guenter Jagshies</t>
  </si>
  <si>
    <t>Capex = 3.7 * V_bioreactor (kL) + $73M</t>
  </si>
  <si>
    <t>cost ($M)</t>
  </si>
  <si>
    <t>Amount Prduced (tons/year)</t>
  </si>
  <si>
    <t>COGM from depreciation</t>
  </si>
  <si>
    <t>Non-Load Volume (CV)</t>
  </si>
  <si>
    <t>Non-load volume (CV)</t>
  </si>
  <si>
    <t>Concentrated Pool Size per Day (L)</t>
  </si>
  <si>
    <t>Total Elution Pool per batch (L)</t>
  </si>
  <si>
    <t>Concentrated Pool Size per batch (L)</t>
  </si>
  <si>
    <t>Final Pool Product concentration (L)</t>
  </si>
  <si>
    <t>Product Mass per Batch (g)</t>
  </si>
  <si>
    <t>Number of Membrane Sets Per Run</t>
  </si>
  <si>
    <t>SPTFF-UF Option</t>
  </si>
  <si>
    <t>Membrane area used with 20% Excess (m2)</t>
  </si>
  <si>
    <t>N-1</t>
  </si>
  <si>
    <t>N Brx</t>
  </si>
  <si>
    <t xml:space="preserve">Number of Columns </t>
  </si>
  <si>
    <t> Virus inact.</t>
  </si>
  <si>
    <t>Virus Filter</t>
  </si>
  <si>
    <t>GMP?</t>
  </si>
  <si>
    <t>Amgen</t>
  </si>
  <si>
    <t>?</t>
  </si>
  <si>
    <t>Perf</t>
  </si>
  <si>
    <t>Single</t>
  </si>
  <si>
    <t>Batch</t>
  </si>
  <si>
    <t>Y</t>
  </si>
  <si>
    <t>Sanofi</t>
  </si>
  <si>
    <t>TBD</t>
  </si>
  <si>
    <t>Multi</t>
  </si>
  <si>
    <t>Both</t>
  </si>
  <si>
    <t>Cont.</t>
  </si>
  <si>
    <t>Novartis</t>
  </si>
  <si>
    <t>BMS</t>
  </si>
  <si>
    <t>Merck (MSD)</t>
  </si>
  <si>
    <t>Merck (KgaA)</t>
  </si>
  <si>
    <t>Pfizer/BI</t>
  </si>
  <si>
    <t>N</t>
  </si>
  <si>
    <t>Bayer</t>
  </si>
  <si>
    <t>Janssen</t>
  </si>
  <si>
    <t>AstraZeneca</t>
  </si>
  <si>
    <t>WuXi</t>
  </si>
  <si>
    <t>Biosana</t>
  </si>
  <si>
    <t>Just</t>
  </si>
  <si>
    <t>B</t>
  </si>
  <si>
    <t>Vu = 80,000L + (M2 -500)* 400</t>
  </si>
  <si>
    <t>Volumetric Productivity (g/L/day)</t>
  </si>
  <si>
    <t>Bioreactor Volume (L)</t>
  </si>
  <si>
    <t>Mass Produced Per Batch (kg)</t>
  </si>
  <si>
    <t>Downstream Capture Step Load Rate (L/min)</t>
  </si>
  <si>
    <t>Vb =( 80,000 + (500-M2) * 400)*3/1.5*20</t>
  </si>
  <si>
    <t>TFF</t>
  </si>
  <si>
    <t>1000L/m2</t>
  </si>
  <si>
    <t>ILC Concentration Factor</t>
  </si>
  <si>
    <t>PMI for ILC</t>
  </si>
  <si>
    <t>Fuji Diosynth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</si>
</sst>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&quot;$&quot;* #,##0.0_);_(&quot;$&quot;* \(#,##0.0\);_(&quot;$&quot;* &quot;-&quot;??_);_(@_)"/>
    <numFmt numFmtId="167" formatCode="_(* #,##0.0_);_(* \(#,##0.0\);_(* &quot;-&quot;??_);_(@_)"/>
    <numFmt numFmtId="168" formatCode="0&quot; L&quot;"/>
    <numFmt numFmtId="169" formatCode="0&quot; kg&quot;"/>
    <numFmt numFmtId="170" formatCode="0.0&quot; m2&quot;"/>
    <numFmt numFmtId="171" formatCode="0&quot; L/kg&quot;"/>
    <numFmt numFmtId="172" formatCode="0&quot; g/L/hr&quot;"/>
    <numFmt numFmtId="173" formatCode="0.000"/>
    <numFmt numFmtId="174" formatCode="0.0&quot; g/L/hr&quot;"/>
    <numFmt numFmtId="175" formatCode="0.0&quot; kg&quot;"/>
    <numFmt numFmtId="176" formatCode="0.0&quot; L&quot;"/>
    <numFmt numFmtId="177" formatCode="0.00&quot; kg&quot;"/>
    <numFmt numFmtId="178" formatCode="0.000&quot; kg&quot;"/>
    <numFmt numFmtId="179" formatCode="0.0000"/>
    <numFmt numFmtId="180" formatCode="_(* #,##0.000_);_(* \(#,##0.000\);_(* &quot;-&quot;??_);_(@_)"/>
    <numFmt numFmtId="181" formatCode="0&quot; g/L&quot;"/>
    <numFmt numFmtId="182" formatCode="_(* #,##0.0_);_(* \(#,##0.0\);_(* &quot;-&quot;?_);_(@_)"/>
    <numFmt numFmtId="183" formatCode="_(* #,##0.0000_);_(* \(#,##0.0000\);_(* &quot;-&quot;??_);_(@_)"/>
    <numFmt numFmtId="184" formatCode="_(&quot;$&quot;* #,##0_);_(&quot;$&quot;* \(#,##0\);_(&quot;$&quot;* &quot;-&quot;??_);_(@_)"/>
    <numFmt numFmtId="185" formatCode="_(&quot;$&quot;* #,##0.000_);_(&quot;$&quot;* \(#,##0.000\);_(&quot;$&quot;* &quot;-&quot;??_);_(@_)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 (Body)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8"/>
      <name val="Arial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830051"/>
        <bgColor indexed="64"/>
      </patternFill>
    </fill>
    <fill>
      <patternFill patternType="solid">
        <fgColor rgb="FFD9CBD0"/>
        <bgColor indexed="64"/>
      </patternFill>
    </fill>
    <fill>
      <patternFill patternType="solid">
        <fgColor rgb="FFEDE7E9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42">
    <xf numFmtId="0" fontId="0" fillId="0" borderId="0" xfId="0"/>
    <xf numFmtId="164" fontId="0" fillId="0" borderId="0" xfId="1" applyNumberFormat="1" applyFont="1" applyBorder="1"/>
    <xf numFmtId="168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68" fontId="0" fillId="0" borderId="0" xfId="0" applyNumberFormat="1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1" fontId="0" fillId="0" borderId="0" xfId="0" applyNumberFormat="1" applyFill="1" applyBorder="1" applyAlignment="1">
      <alignment horizontal="left"/>
    </xf>
    <xf numFmtId="9" fontId="0" fillId="0" borderId="0" xfId="3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 applyBorder="1"/>
    <xf numFmtId="0" fontId="0" fillId="0" borderId="0" xfId="0" applyBorder="1"/>
    <xf numFmtId="0" fontId="0" fillId="0" borderId="0" xfId="0" applyFill="1" applyBorder="1"/>
    <xf numFmtId="170" fontId="0" fillId="0" borderId="0" xfId="1" applyNumberFormat="1" applyFont="1" applyBorder="1" applyAlignment="1">
      <alignment horizontal="left"/>
    </xf>
    <xf numFmtId="165" fontId="0" fillId="0" borderId="0" xfId="0" applyNumberFormat="1" applyFill="1" applyBorder="1" applyAlignment="1">
      <alignment horizontal="left" wrapText="1"/>
    </xf>
    <xf numFmtId="0" fontId="7" fillId="0" borderId="0" xfId="0" applyFont="1" applyBorder="1"/>
    <xf numFmtId="1" fontId="0" fillId="0" borderId="0" xfId="0" applyNumberFormat="1" applyFill="1" applyBorder="1"/>
    <xf numFmtId="0" fontId="3" fillId="0" borderId="0" xfId="0" applyFont="1" applyBorder="1"/>
    <xf numFmtId="43" fontId="0" fillId="0" borderId="0" xfId="1" applyFont="1" applyFill="1" applyBorder="1"/>
    <xf numFmtId="166" fontId="0" fillId="0" borderId="0" xfId="2" applyNumberFormat="1" applyFont="1" applyFill="1" applyBorder="1"/>
    <xf numFmtId="0" fontId="4" fillId="0" borderId="0" xfId="0" applyFont="1" applyFill="1" applyBorder="1"/>
    <xf numFmtId="0" fontId="7" fillId="0" borderId="0" xfId="0" applyFont="1" applyFill="1" applyBorder="1"/>
    <xf numFmtId="9" fontId="0" fillId="0" borderId="0" xfId="3" applyFont="1" applyFill="1" applyBorder="1"/>
    <xf numFmtId="0" fontId="0" fillId="0" borderId="0" xfId="0" quotePrefix="1" applyFill="1" applyBorder="1" applyAlignment="1">
      <alignment horizontal="left"/>
    </xf>
    <xf numFmtId="9" fontId="0" fillId="0" borderId="0" xfId="0" applyNumberFormat="1" applyFill="1" applyBorder="1" applyAlignment="1">
      <alignment horizontal="left"/>
    </xf>
    <xf numFmtId="0" fontId="3" fillId="0" borderId="0" xfId="0" applyFont="1" applyFill="1" applyBorder="1"/>
    <xf numFmtId="0" fontId="8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vertical="top" wrapText="1"/>
    </xf>
    <xf numFmtId="0" fontId="6" fillId="0" borderId="0" xfId="0" applyFont="1" applyFill="1" applyBorder="1"/>
    <xf numFmtId="16" fontId="0" fillId="0" borderId="0" xfId="0" quotePrefix="1" applyNumberFormat="1" applyFill="1" applyBorder="1" applyAlignment="1">
      <alignment horizontal="left"/>
    </xf>
    <xf numFmtId="43" fontId="0" fillId="0" borderId="0" xfId="1" quotePrefix="1" applyFont="1" applyFill="1" applyBorder="1"/>
    <xf numFmtId="0" fontId="0" fillId="0" borderId="0" xfId="0" quotePrefix="1" applyFill="1" applyBorder="1"/>
    <xf numFmtId="9" fontId="0" fillId="0" borderId="0" xfId="0" applyNumberFormat="1" applyFill="1" applyBorder="1"/>
    <xf numFmtId="164" fontId="0" fillId="0" borderId="0" xfId="1" applyNumberFormat="1" applyFont="1" applyFill="1" applyBorder="1" applyAlignment="1"/>
    <xf numFmtId="167" fontId="0" fillId="0" borderId="0" xfId="1" applyNumberFormat="1" applyFont="1" applyFill="1" applyBorder="1" applyAlignment="1"/>
    <xf numFmtId="164" fontId="0" fillId="0" borderId="0" xfId="1" applyNumberFormat="1" applyFont="1" applyBorder="1" applyAlignment="1"/>
    <xf numFmtId="0" fontId="0" fillId="0" borderId="0" xfId="0" applyFill="1" applyBorder="1" applyAlignment="1"/>
    <xf numFmtId="9" fontId="0" fillId="0" borderId="0" xfId="0" applyNumberFormat="1" applyFill="1" applyBorder="1" applyAlignment="1"/>
    <xf numFmtId="1" fontId="0" fillId="0" borderId="0" xfId="0" applyNumberFormat="1" applyFill="1" applyBorder="1" applyAlignment="1"/>
    <xf numFmtId="1" fontId="0" fillId="0" borderId="0" xfId="0" applyNumberFormat="1" applyBorder="1" applyAlignment="1"/>
    <xf numFmtId="165" fontId="0" fillId="0" borderId="0" xfId="0" applyNumberFormat="1" applyBorder="1" applyAlignment="1"/>
    <xf numFmtId="0" fontId="0" fillId="0" borderId="0" xfId="0" applyBorder="1" applyAlignment="1"/>
    <xf numFmtId="9" fontId="0" fillId="0" borderId="0" xfId="3" applyFont="1" applyFill="1" applyBorder="1" applyAlignment="1"/>
    <xf numFmtId="165" fontId="0" fillId="0" borderId="0" xfId="0" applyNumberFormat="1" applyFill="1" applyBorder="1" applyAlignment="1"/>
    <xf numFmtId="173" fontId="0" fillId="0" borderId="0" xfId="0" applyNumberFormat="1" applyFill="1" applyBorder="1" applyAlignment="1"/>
    <xf numFmtId="2" fontId="0" fillId="0" borderId="0" xfId="0" applyNumberFormat="1" applyFill="1" applyBorder="1" applyAlignment="1"/>
    <xf numFmtId="165" fontId="0" fillId="0" borderId="0" xfId="0" applyNumberFormat="1" applyFont="1" applyBorder="1" applyAlignment="1"/>
    <xf numFmtId="2" fontId="0" fillId="0" borderId="0" xfId="0" applyNumberFormat="1" applyBorder="1" applyAlignment="1"/>
    <xf numFmtId="9" fontId="0" fillId="0" borderId="0" xfId="3" applyFont="1" applyBorder="1" applyAlignment="1"/>
    <xf numFmtId="165" fontId="3" fillId="0" borderId="0" xfId="0" applyNumberFormat="1" applyFont="1" applyFill="1" applyBorder="1" applyAlignment="1"/>
    <xf numFmtId="164" fontId="0" fillId="0" borderId="0" xfId="0" applyNumberFormat="1" applyFill="1" applyBorder="1" applyAlignment="1"/>
    <xf numFmtId="173" fontId="0" fillId="0" borderId="0" xfId="0" applyNumberFormat="1" applyBorder="1" applyAlignment="1"/>
    <xf numFmtId="0" fontId="0" fillId="0" borderId="1" xfId="0" applyFill="1" applyBorder="1" applyAlignment="1"/>
    <xf numFmtId="1" fontId="0" fillId="0" borderId="1" xfId="0" applyNumberFormat="1" applyFill="1" applyBorder="1" applyAlignment="1"/>
    <xf numFmtId="164" fontId="0" fillId="0" borderId="1" xfId="1" applyNumberFormat="1" applyFont="1" applyFill="1" applyBorder="1" applyAlignment="1"/>
    <xf numFmtId="9" fontId="0" fillId="0" borderId="1" xfId="3" applyFont="1" applyFill="1" applyBorder="1" applyAlignment="1"/>
    <xf numFmtId="165" fontId="0" fillId="0" borderId="1" xfId="0" applyNumberFormat="1" applyFill="1" applyBorder="1" applyAlignment="1"/>
    <xf numFmtId="0" fontId="0" fillId="0" borderId="1" xfId="0" applyFill="1" applyBorder="1" applyAlignment="1">
      <alignment horizontal="left"/>
    </xf>
    <xf numFmtId="0" fontId="0" fillId="0" borderId="0" xfId="0" applyFont="1" applyFill="1" applyBorder="1"/>
    <xf numFmtId="164" fontId="0" fillId="0" borderId="1" xfId="1" applyNumberFormat="1" applyFont="1" applyBorder="1" applyAlignment="1"/>
    <xf numFmtId="1" fontId="0" fillId="0" borderId="1" xfId="0" applyNumberFormat="1" applyBorder="1" applyAlignment="1"/>
    <xf numFmtId="165" fontId="0" fillId="0" borderId="1" xfId="0" applyNumberFormat="1" applyBorder="1" applyAlignment="1"/>
    <xf numFmtId="0" fontId="0" fillId="0" borderId="1" xfId="0" applyBorder="1" applyAlignment="1"/>
    <xf numFmtId="2" fontId="0" fillId="0" borderId="1" xfId="0" applyNumberFormat="1" applyFill="1" applyBorder="1" applyAlignment="1"/>
    <xf numFmtId="2" fontId="0" fillId="0" borderId="1" xfId="0" applyNumberFormat="1" applyBorder="1" applyAlignment="1"/>
    <xf numFmtId="9" fontId="0" fillId="0" borderId="1" xfId="3" applyFont="1" applyBorder="1" applyAlignment="1"/>
    <xf numFmtId="167" fontId="0" fillId="0" borderId="1" xfId="1" applyNumberFormat="1" applyFont="1" applyFill="1" applyBorder="1" applyAlignment="1"/>
    <xf numFmtId="164" fontId="0" fillId="0" borderId="1" xfId="0" applyNumberFormat="1" applyFill="1" applyBorder="1" applyAlignment="1"/>
    <xf numFmtId="0" fontId="3" fillId="0" borderId="0" xfId="0" applyFont="1" applyFill="1" applyBorder="1" applyAlignment="1">
      <alignment horizontal="left"/>
    </xf>
    <xf numFmtId="164" fontId="3" fillId="0" borderId="0" xfId="1" applyNumberFormat="1" applyFont="1" applyFill="1" applyBorder="1"/>
    <xf numFmtId="1" fontId="0" fillId="0" borderId="0" xfId="1" applyNumberFormat="1" applyFont="1" applyFill="1" applyBorder="1" applyAlignment="1">
      <alignment horizontal="left"/>
    </xf>
    <xf numFmtId="0" fontId="10" fillId="0" borderId="2" xfId="0" applyFont="1" applyBorder="1"/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168" fontId="0" fillId="0" borderId="0" xfId="0" applyNumberFormat="1" applyFill="1" applyBorder="1" applyAlignment="1">
      <alignment horizontal="right"/>
    </xf>
    <xf numFmtId="168" fontId="0" fillId="0" borderId="1" xfId="0" applyNumberForma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167" fontId="0" fillId="0" borderId="0" xfId="1" applyNumberFormat="1" applyFont="1" applyFill="1" applyBorder="1" applyAlignment="1">
      <alignment horizontal="right"/>
    </xf>
    <xf numFmtId="178" fontId="0" fillId="0" borderId="0" xfId="0" applyNumberFormat="1" applyFill="1" applyBorder="1" applyAlignment="1">
      <alignment horizontal="right"/>
    </xf>
    <xf numFmtId="177" fontId="0" fillId="0" borderId="0" xfId="0" applyNumberFormat="1" applyFill="1" applyBorder="1" applyAlignment="1">
      <alignment horizontal="right"/>
    </xf>
    <xf numFmtId="177" fontId="0" fillId="0" borderId="1" xfId="0" applyNumberFormat="1" applyFill="1" applyBorder="1" applyAlignment="1">
      <alignment horizontal="right"/>
    </xf>
    <xf numFmtId="175" fontId="0" fillId="0" borderId="0" xfId="0" applyNumberFormat="1" applyFill="1" applyBorder="1" applyAlignment="1">
      <alignment horizontal="right"/>
    </xf>
    <xf numFmtId="176" fontId="0" fillId="0" borderId="0" xfId="0" applyNumberFormat="1" applyFill="1" applyBorder="1" applyAlignment="1">
      <alignment horizontal="right"/>
    </xf>
    <xf numFmtId="176" fontId="0" fillId="0" borderId="1" xfId="0" applyNumberFormat="1" applyFill="1" applyBorder="1" applyAlignment="1">
      <alignment horizontal="right"/>
    </xf>
    <xf numFmtId="174" fontId="0" fillId="0" borderId="0" xfId="1" applyNumberFormat="1" applyFont="1" applyFill="1" applyBorder="1" applyAlignment="1">
      <alignment horizontal="right"/>
    </xf>
    <xf numFmtId="172" fontId="0" fillId="0" borderId="0" xfId="1" applyNumberFormat="1" applyFont="1" applyFill="1" applyBorder="1" applyAlignment="1">
      <alignment horizontal="right"/>
    </xf>
    <xf numFmtId="172" fontId="0" fillId="0" borderId="1" xfId="1" applyNumberFormat="1" applyFont="1" applyFill="1" applyBorder="1" applyAlignment="1">
      <alignment horizontal="right"/>
    </xf>
    <xf numFmtId="171" fontId="0" fillId="0" borderId="0" xfId="1" applyNumberFormat="1" applyFont="1" applyFill="1" applyBorder="1" applyAlignment="1">
      <alignment horizontal="right"/>
    </xf>
    <xf numFmtId="171" fontId="0" fillId="0" borderId="1" xfId="1" applyNumberFormat="1" applyFont="1" applyFill="1" applyBorder="1" applyAlignment="1">
      <alignment horizontal="right"/>
    </xf>
    <xf numFmtId="170" fontId="0" fillId="0" borderId="0" xfId="1" applyNumberFormat="1" applyFont="1" applyFill="1" applyBorder="1" applyAlignment="1">
      <alignment horizontal="right"/>
    </xf>
    <xf numFmtId="170" fontId="0" fillId="0" borderId="1" xfId="1" applyNumberFormat="1" applyFont="1" applyFill="1" applyBorder="1" applyAlignment="1">
      <alignment horizontal="right"/>
    </xf>
    <xf numFmtId="164" fontId="0" fillId="0" borderId="0" xfId="1" applyNumberFormat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169" fontId="0" fillId="0" borderId="0" xfId="1" applyNumberFormat="1" applyFont="1" applyFill="1" applyBorder="1" applyAlignment="1">
      <alignment horizontal="right"/>
    </xf>
    <xf numFmtId="169" fontId="0" fillId="0" borderId="1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" fontId="0" fillId="0" borderId="0" xfId="1" applyNumberFormat="1" applyFont="1" applyFill="1" applyBorder="1" applyAlignment="1">
      <alignment horizontal="right"/>
    </xf>
    <xf numFmtId="173" fontId="0" fillId="0" borderId="0" xfId="1" applyNumberFormat="1" applyFont="1" applyFill="1" applyBorder="1" applyAlignment="1">
      <alignment horizontal="right"/>
    </xf>
    <xf numFmtId="9" fontId="0" fillId="0" borderId="0" xfId="3" applyFont="1" applyFill="1" applyBorder="1" applyAlignment="1">
      <alignment horizontal="right"/>
    </xf>
    <xf numFmtId="43" fontId="0" fillId="0" borderId="0" xfId="1" applyNumberFormat="1" applyFont="1" applyFill="1" applyBorder="1" applyAlignment="1">
      <alignment horizontal="right"/>
    </xf>
    <xf numFmtId="43" fontId="0" fillId="0" borderId="1" xfId="1" applyNumberFormat="1" applyFon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165" fontId="0" fillId="0" borderId="1" xfId="0" applyNumberFormat="1" applyFill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173" fontId="0" fillId="0" borderId="0" xfId="0" applyNumberFormat="1" applyFill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179" fontId="0" fillId="0" borderId="0" xfId="0" applyNumberFormat="1" applyFill="1" applyBorder="1" applyAlignment="1">
      <alignment horizontal="right"/>
    </xf>
    <xf numFmtId="179" fontId="0" fillId="0" borderId="1" xfId="0" applyNumberFormat="1" applyFill="1" applyBorder="1" applyAlignment="1">
      <alignment horizontal="right"/>
    </xf>
    <xf numFmtId="173" fontId="0" fillId="0" borderId="1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43" fontId="0" fillId="0" borderId="0" xfId="1" applyFont="1" applyFill="1" applyBorder="1" applyAlignment="1">
      <alignment horizontal="left"/>
    </xf>
    <xf numFmtId="175" fontId="0" fillId="0" borderId="0" xfId="1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right"/>
    </xf>
    <xf numFmtId="164" fontId="0" fillId="0" borderId="0" xfId="1" applyNumberFormat="1" applyFont="1"/>
    <xf numFmtId="1" fontId="0" fillId="0" borderId="1" xfId="0" applyNumberFormat="1" applyFill="1" applyBorder="1" applyAlignment="1">
      <alignment horizontal="left"/>
    </xf>
    <xf numFmtId="2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180" fontId="0" fillId="0" borderId="0" xfId="1" applyNumberFormat="1" applyFont="1" applyFill="1" applyBorder="1" applyAlignment="1">
      <alignment horizontal="left"/>
    </xf>
    <xf numFmtId="1" fontId="0" fillId="0" borderId="1" xfId="1" applyNumberFormat="1" applyFont="1" applyFill="1" applyBorder="1" applyAlignment="1">
      <alignment horizontal="left"/>
    </xf>
    <xf numFmtId="181" fontId="0" fillId="0" borderId="0" xfId="1" applyNumberFormat="1" applyFont="1" applyFill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43" fontId="0" fillId="0" borderId="0" xfId="0" applyNumberFormat="1" applyBorder="1" applyAlignment="1">
      <alignment horizontal="left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43" fontId="0" fillId="0" borderId="0" xfId="0" applyNumberFormat="1"/>
    <xf numFmtId="43" fontId="0" fillId="0" borderId="0" xfId="0" applyNumberFormat="1" applyAlignment="1">
      <alignment wrapText="1"/>
    </xf>
    <xf numFmtId="2" fontId="0" fillId="0" borderId="0" xfId="0" applyNumberFormat="1"/>
    <xf numFmtId="165" fontId="0" fillId="0" borderId="0" xfId="0" applyNumberFormat="1"/>
    <xf numFmtId="9" fontId="0" fillId="0" borderId="0" xfId="0" applyNumberFormat="1" applyFill="1" applyBorder="1" applyAlignment="1">
      <alignment horizontal="right"/>
    </xf>
    <xf numFmtId="164" fontId="10" fillId="0" borderId="0" xfId="0" applyNumberFormat="1" applyFont="1" applyBorder="1" applyAlignment="1">
      <alignment horizontal="right"/>
    </xf>
    <xf numFmtId="164" fontId="0" fillId="0" borderId="0" xfId="1" applyNumberFormat="1" applyFont="1" applyAlignment="1">
      <alignment wrapText="1"/>
    </xf>
    <xf numFmtId="43" fontId="0" fillId="0" borderId="0" xfId="1" applyFont="1"/>
    <xf numFmtId="43" fontId="0" fillId="0" borderId="0" xfId="1" applyFont="1" applyAlignment="1">
      <alignment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3" applyFont="1"/>
    <xf numFmtId="173" fontId="0" fillId="0" borderId="0" xfId="0" applyNumberFormat="1" applyBorder="1" applyAlignment="1">
      <alignment horizontal="right"/>
    </xf>
    <xf numFmtId="43" fontId="0" fillId="0" borderId="0" xfId="0" applyNumberFormat="1" applyFill="1" applyBorder="1" applyAlignment="1"/>
    <xf numFmtId="9" fontId="0" fillId="0" borderId="0" xfId="3" applyFont="1" applyBorder="1" applyAlignment="1">
      <alignment horizontal="right"/>
    </xf>
    <xf numFmtId="0" fontId="0" fillId="0" borderId="0" xfId="0" applyAlignment="1">
      <alignment horizontal="left"/>
    </xf>
    <xf numFmtId="0" fontId="7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164" fontId="0" fillId="0" borderId="4" xfId="3" applyNumberFormat="1" applyFont="1" applyBorder="1" applyAlignment="1">
      <alignment horizontal="right"/>
    </xf>
    <xf numFmtId="0" fontId="0" fillId="3" borderId="3" xfId="0" applyFill="1" applyBorder="1"/>
    <xf numFmtId="0" fontId="0" fillId="3" borderId="4" xfId="0" applyFill="1" applyBorder="1"/>
    <xf numFmtId="2" fontId="0" fillId="3" borderId="4" xfId="0" applyNumberFormat="1" applyFill="1" applyBorder="1" applyAlignment="1">
      <alignment horizontal="right"/>
    </xf>
    <xf numFmtId="173" fontId="0" fillId="3" borderId="4" xfId="0" applyNumberFormat="1" applyFill="1" applyBorder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2" fontId="0" fillId="3" borderId="4" xfId="0" applyNumberFormat="1" applyFill="1" applyBorder="1"/>
    <xf numFmtId="173" fontId="0" fillId="0" borderId="4" xfId="0" applyNumberFormat="1" applyBorder="1"/>
    <xf numFmtId="0" fontId="0" fillId="3" borderId="4" xfId="0" applyFill="1" applyBorder="1" applyAlignment="1">
      <alignment horizontal="right"/>
    </xf>
    <xf numFmtId="0" fontId="0" fillId="0" borderId="5" xfId="0" applyBorder="1"/>
    <xf numFmtId="0" fontId="0" fillId="3" borderId="6" xfId="0" applyFill="1" applyBorder="1"/>
    <xf numFmtId="164" fontId="0" fillId="0" borderId="0" xfId="0" applyNumberFormat="1"/>
    <xf numFmtId="0" fontId="0" fillId="0" borderId="0" xfId="0" applyFill="1"/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4" xfId="0" applyFill="1" applyBorder="1" applyAlignment="1">
      <alignment horizontal="left"/>
    </xf>
    <xf numFmtId="0" fontId="0" fillId="0" borderId="4" xfId="0" applyFill="1" applyBorder="1"/>
    <xf numFmtId="0" fontId="0" fillId="0" borderId="8" xfId="0" applyFill="1" applyBorder="1"/>
    <xf numFmtId="0" fontId="0" fillId="0" borderId="5" xfId="0" applyFill="1" applyBorder="1"/>
    <xf numFmtId="164" fontId="0" fillId="0" borderId="0" xfId="0" applyNumberFormat="1" applyBorder="1"/>
    <xf numFmtId="164" fontId="0" fillId="0" borderId="0" xfId="0" applyNumberFormat="1" applyAlignment="1">
      <alignment horizontal="right"/>
    </xf>
    <xf numFmtId="0" fontId="11" fillId="0" borderId="9" xfId="0" applyFont="1" applyBorder="1"/>
    <xf numFmtId="0" fontId="0" fillId="4" borderId="4" xfId="0" applyFill="1" applyBorder="1"/>
    <xf numFmtId="0" fontId="0" fillId="5" borderId="4" xfId="0" applyFill="1" applyBorder="1"/>
    <xf numFmtId="167" fontId="0" fillId="0" borderId="4" xfId="0" applyNumberFormat="1" applyBorder="1"/>
    <xf numFmtId="182" fontId="0" fillId="0" borderId="4" xfId="0" applyNumberFormat="1" applyBorder="1" applyAlignment="1">
      <alignment horizontal="right"/>
    </xf>
    <xf numFmtId="0" fontId="1" fillId="2" borderId="4" xfId="4" applyBorder="1"/>
    <xf numFmtId="183" fontId="0" fillId="0" borderId="4" xfId="0" applyNumberFormat="1" applyBorder="1" applyAlignment="1">
      <alignment horizontal="right"/>
    </xf>
    <xf numFmtId="180" fontId="0" fillId="3" borderId="4" xfId="0" applyNumberFormat="1" applyFill="1" applyBorder="1" applyAlignment="1">
      <alignment horizontal="right"/>
    </xf>
    <xf numFmtId="1" fontId="0" fillId="3" borderId="4" xfId="0" applyNumberFormat="1" applyFill="1" applyBorder="1" applyAlignment="1">
      <alignment horizontal="right"/>
    </xf>
    <xf numFmtId="164" fontId="1" fillId="2" borderId="4" xfId="4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65" fontId="0" fillId="3" borderId="4" xfId="0" applyNumberFormat="1" applyFill="1" applyBorder="1" applyAlignment="1">
      <alignment horizontal="right"/>
    </xf>
    <xf numFmtId="0" fontId="0" fillId="4" borderId="0" xfId="0" applyFill="1"/>
    <xf numFmtId="180" fontId="0" fillId="0" borderId="0" xfId="0" applyNumberFormat="1"/>
    <xf numFmtId="1" fontId="0" fillId="0" borderId="0" xfId="0" applyNumberFormat="1" applyAlignment="1">
      <alignment horizontal="left"/>
    </xf>
    <xf numFmtId="1" fontId="0" fillId="0" borderId="4" xfId="3" applyNumberFormat="1" applyFont="1" applyBorder="1" applyAlignment="1">
      <alignment horizontal="left"/>
    </xf>
    <xf numFmtId="1" fontId="0" fillId="3" borderId="4" xfId="0" applyNumberFormat="1" applyFill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1" fillId="2" borderId="4" xfId="4" applyNumberFormat="1" applyBorder="1" applyAlignment="1">
      <alignment horizontal="left"/>
    </xf>
    <xf numFmtId="0" fontId="11" fillId="0" borderId="9" xfId="0" applyFont="1" applyBorder="1" applyAlignment="1">
      <alignment wrapText="1"/>
    </xf>
    <xf numFmtId="0" fontId="1" fillId="2" borderId="3" xfId="4" applyBorder="1"/>
    <xf numFmtId="0" fontId="1" fillId="4" borderId="4" xfId="4" applyFill="1" applyBorder="1"/>
    <xf numFmtId="0" fontId="1" fillId="2" borderId="0" xfId="4" applyBorder="1" applyAlignment="1">
      <alignment horizontal="left"/>
    </xf>
    <xf numFmtId="180" fontId="1" fillId="2" borderId="4" xfId="4" applyNumberFormat="1" applyBorder="1" applyAlignment="1">
      <alignment horizontal="right"/>
    </xf>
    <xf numFmtId="173" fontId="0" fillId="0" borderId="0" xfId="0" applyNumberFormat="1"/>
    <xf numFmtId="173" fontId="1" fillId="2" borderId="4" xfId="4" applyNumberFormat="1" applyBorder="1" applyAlignment="1"/>
    <xf numFmtId="0" fontId="1" fillId="2" borderId="4" xfId="4" applyBorder="1" applyAlignment="1">
      <alignment horizontal="right"/>
    </xf>
    <xf numFmtId="2" fontId="0" fillId="0" borderId="4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165" fontId="0" fillId="0" borderId="4" xfId="0" applyNumberFormat="1" applyBorder="1"/>
    <xf numFmtId="165" fontId="0" fillId="3" borderId="4" xfId="0" applyNumberFormat="1" applyFill="1" applyBorder="1"/>
    <xf numFmtId="164" fontId="1" fillId="2" borderId="7" xfId="4" applyNumberFormat="1" applyBorder="1"/>
    <xf numFmtId="182" fontId="0" fillId="3" borderId="4" xfId="0" applyNumberFormat="1" applyFill="1" applyBorder="1" applyAlignment="1">
      <alignment horizontal="right"/>
    </xf>
    <xf numFmtId="44" fontId="0" fillId="0" borderId="0" xfId="2" applyFont="1"/>
    <xf numFmtId="184" fontId="0" fillId="0" borderId="0" xfId="2" applyNumberFormat="1" applyFont="1"/>
    <xf numFmtId="185" fontId="0" fillId="0" borderId="0" xfId="0" applyNumberFormat="1"/>
    <xf numFmtId="0" fontId="0" fillId="3" borderId="10" xfId="0" applyFill="1" applyBorder="1"/>
    <xf numFmtId="0" fontId="0" fillId="5" borderId="0" xfId="0" applyFill="1" applyBorder="1"/>
    <xf numFmtId="1" fontId="0" fillId="0" borderId="1" xfId="0" applyNumberFormat="1" applyBorder="1" applyAlignment="1">
      <alignment horizontal="left"/>
    </xf>
    <xf numFmtId="0" fontId="10" fillId="0" borderId="2" xfId="0" applyFont="1" applyFill="1" applyBorder="1"/>
    <xf numFmtId="0" fontId="13" fillId="6" borderId="11" xfId="0" applyFont="1" applyFill="1" applyBorder="1" applyAlignment="1">
      <alignment horizontal="center" vertical="top" wrapText="1"/>
    </xf>
    <xf numFmtId="0" fontId="14" fillId="6" borderId="11" xfId="0" applyFont="1" applyFill="1" applyBorder="1" applyAlignment="1">
      <alignment horizontal="center" vertical="center" wrapText="1" readingOrder="1"/>
    </xf>
    <xf numFmtId="0" fontId="15" fillId="7" borderId="12" xfId="0" applyFont="1" applyFill="1" applyBorder="1" applyAlignment="1">
      <alignment horizontal="left" vertical="center" wrapText="1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15" fillId="8" borderId="13" xfId="0" applyFont="1" applyFill="1" applyBorder="1" applyAlignment="1">
      <alignment horizontal="left" vertical="center" wrapText="1" readingOrder="1"/>
    </xf>
    <xf numFmtId="0" fontId="15" fillId="8" borderId="13" xfId="0" applyFont="1" applyFill="1" applyBorder="1" applyAlignment="1">
      <alignment horizontal="center" vertical="center" wrapText="1" readingOrder="1"/>
    </xf>
    <xf numFmtId="0" fontId="15" fillId="7" borderId="13" xfId="0" applyFont="1" applyFill="1" applyBorder="1" applyAlignment="1">
      <alignment horizontal="left" vertical="center" wrapText="1" readingOrder="1"/>
    </xf>
    <xf numFmtId="0" fontId="15" fillId="7" borderId="13" xfId="0" applyFont="1" applyFill="1" applyBorder="1" applyAlignment="1">
      <alignment horizontal="center" vertical="center" wrapText="1" readingOrder="1"/>
    </xf>
    <xf numFmtId="0" fontId="15" fillId="7" borderId="14" xfId="0" applyFont="1" applyFill="1" applyBorder="1" applyAlignment="1">
      <alignment horizontal="left" vertical="center" wrapText="1" readingOrder="1"/>
    </xf>
    <xf numFmtId="0" fontId="15" fillId="7" borderId="14" xfId="0" applyFont="1" applyFill="1" applyBorder="1" applyAlignment="1">
      <alignment horizontal="center" vertical="center" wrapText="1" readingOrder="1"/>
    </xf>
    <xf numFmtId="2" fontId="0" fillId="0" borderId="0" xfId="0" applyNumberFormat="1" applyAlignment="1">
      <alignment horizontal="right"/>
    </xf>
    <xf numFmtId="1" fontId="0" fillId="0" borderId="15" xfId="0" applyNumberFormat="1" applyBorder="1" applyAlignment="1">
      <alignment horizontal="right"/>
    </xf>
    <xf numFmtId="0" fontId="0" fillId="0" borderId="0" xfId="0" applyAlignment="1">
      <alignment horizontal="center" wrapText="1"/>
    </xf>
    <xf numFmtId="43" fontId="0" fillId="0" borderId="0" xfId="1" applyFont="1" applyAlignment="1">
      <alignment horizontal="center" wrapText="1"/>
    </xf>
  </cellXfs>
  <cellStyles count="5">
    <cellStyle name="20% - Accent1" xfId="4" builtinId="30"/>
    <cellStyle name="Comma" xfId="1" builtinId="3"/>
    <cellStyle name="Currency" xfId="2" builtinId="4"/>
    <cellStyle name="Normal" xfId="0" builtinId="0"/>
    <cellStyle name="Percent" xfId="3" builtinId="5"/>
  </cellStyles>
  <dxfs count="2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zcollaboration.sharepoint.com/personal/klqj388_astrazeneca_net/Documents/Meetings/MS&amp;T%20BPD%20meetings/NGM%20Buffer%20Worksheet%20Mass%20Bal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finzi+"/>
      <sheetName val="Batch Purification"/>
      <sheetName val="GPF Scenario"/>
      <sheetName val="FMC MCC"/>
      <sheetName val="FMC Blue Sky Scenario"/>
      <sheetName val="Media use"/>
      <sheetName val="Capacit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>
            <v>120</v>
          </cell>
        </row>
        <row r="2">
          <cell r="E2">
            <v>14</v>
          </cell>
        </row>
        <row r="6">
          <cell r="K6">
            <v>10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n Rose" id="{07BDCE50-86E2-4E11-AA44-249EB51C86DA}" userId="" providerId=""/>
  <person displayName="Coffman, Jon" id="{3FE809A4-D80F-5443-9BB7-546805FF0B71}" userId="S::klqj388@astrazeneca.net::8aef971a-c79f-40b6-92ad-bf1239c9e5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340" totalsRowShown="0" headerRowDxfId="26" dataDxfId="25">
  <autoFilter ref="A1:AD340" xr:uid="{00000000-0009-0000-0100-000001000000}">
    <filterColumn colId="1">
      <customFilters>
        <customFilter operator="notEqual" val=" "/>
      </customFilters>
    </filterColumn>
  </autoFilter>
  <tableColumns count="30">
    <tableColumn id="1" xr3:uid="{00000000-0010-0000-0000-000001000000}" name="Input/Output" dataDxfId="24"/>
    <tableColumn id="27" xr3:uid="{F842C101-A1C6-A545-9235-09D737416732}" name="Paper or Supplement" dataDxfId="23"/>
    <tableColumn id="2" xr3:uid="{00000000-0010-0000-0000-000002000000}" name="Units" dataDxfId="22"/>
    <tableColumn id="26" xr3:uid="{85A1E10B-4437-8747-B0A1-AE33E896D347}" name="Step" dataDxfId="21"/>
    <tableColumn id="3" xr3:uid="{00000000-0010-0000-0000-000003000000}" name="Parameter"/>
    <tableColumn id="30" xr3:uid="{38263AC6-960E-F34A-AF11-1A6A22154150}" name="Clinial Production"/>
    <tableColumn id="29" xr3:uid="{60F28929-E46B-6B42-B5BF-95C22C3500FD}" name="2000L, MCC High cellular productivity"/>
    <tableColumn id="8" xr3:uid="{A6EFBE9A-9AC0-C049-9334-D078967F5B42}" name="4x2000L High Productivity"/>
    <tableColumn id="4" xr3:uid="{00000000-0010-0000-0000-000004000000}" name="Column17" dataDxfId="20"/>
    <tableColumn id="5" xr3:uid="{00000000-0010-0000-0000-000005000000}" name="Column18" dataDxfId="19"/>
    <tableColumn id="28" xr3:uid="{0B166A86-0C24-DB41-8523-03CD1D207F7C}" name="Column1"/>
    <tableColumn id="6" xr3:uid="{00000000-0010-0000-0000-000006000000}" name="Column2" dataDxfId="18"/>
    <tableColumn id="7" xr3:uid="{00000000-0010-0000-0000-000007000000}" name="Column19" dataDxfId="17"/>
    <tableColumn id="9" xr3:uid="{00000000-0010-0000-0000-000009000000}" name="Column20" dataDxfId="16"/>
    <tableColumn id="10" xr3:uid="{00000000-0010-0000-0000-00000A000000}" name="Column21" dataDxfId="15"/>
    <tableColumn id="11" xr3:uid="{00000000-0010-0000-0000-00000B000000}" name="Column22" dataDxfId="14"/>
    <tableColumn id="12" xr3:uid="{00000000-0010-0000-0000-00000C000000}" name="Column3" dataDxfId="13"/>
    <tableColumn id="13" xr3:uid="{00000000-0010-0000-0000-00000D000000}" name="Column4" dataDxfId="12"/>
    <tableColumn id="14" xr3:uid="{00000000-0010-0000-0000-00000E000000}" name="Column5" dataDxfId="11"/>
    <tableColumn id="15" xr3:uid="{00000000-0010-0000-0000-00000F000000}" name="Column6" dataDxfId="10"/>
    <tableColumn id="16" xr3:uid="{00000000-0010-0000-0000-000010000000}" name="Column7" dataDxfId="9"/>
    <tableColumn id="17" xr3:uid="{00000000-0010-0000-0000-000011000000}" name="Column8" dataDxfId="8"/>
    <tableColumn id="18" xr3:uid="{00000000-0010-0000-0000-000012000000}" name="Column9" dataDxfId="7"/>
    <tableColumn id="19" xr3:uid="{00000000-0010-0000-0000-000013000000}" name="Column10" dataDxfId="6"/>
    <tableColumn id="20" xr3:uid="{00000000-0010-0000-0000-000014000000}" name="Column11" dataDxfId="5"/>
    <tableColumn id="21" xr3:uid="{00000000-0010-0000-0000-000015000000}" name="Column12" dataDxfId="4"/>
    <tableColumn id="22" xr3:uid="{00000000-0010-0000-0000-000016000000}" name="Column13" dataDxfId="3"/>
    <tableColumn id="23" xr3:uid="{00000000-0010-0000-0000-000017000000}" name="Column14" dataDxfId="2"/>
    <tableColumn id="24" xr3:uid="{00000000-0010-0000-0000-000018000000}" name="Column15" dataDxfId="1"/>
    <tableColumn id="25" xr3:uid="{00000000-0010-0000-0000-000019000000}" name="Column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7" dT="2020-09-15T15:09:16.18" personId="{07BDCE50-86E2-4E11-AA44-249EB51C86DA}" id="{5BDE6D94-563E-4890-A155-11735B67D450}">
    <text>need to change the units to include partial pressure.</text>
  </threadedComment>
  <threadedComment ref="F47" dT="2020-09-15T15:00:13.87" personId="{07BDCE50-86E2-4E11-AA44-249EB51C86DA}" id="{82928ABB-3128-4FDF-9C6A-D38E030C55A4}">
    <text>verified.</text>
  </threadedComment>
  <threadedComment ref="F50" dT="2020-09-15T15:10:40.62" personId="{07BDCE50-86E2-4E11-AA44-249EB51C86DA}" id="{AB86291C-B640-4051-8562-D06C74631E88}">
    <text>This assumes a maximum O2 inlet composition of 80% and 1 atm total pressure in the bioreactor.</text>
  </threadedComment>
  <threadedComment ref="L157" dT="2020-08-16T14:06:21.69" personId="{3FE809A4-D80F-5443-9BB7-546805FF0B71}" id="{DD9002E1-F5EC-CF48-AAF2-59FA31B6582B}">
    <text xml:space="preserve">After capture, the downstream is operated once per batch. Stability of the capture step pool is critical for success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DW48"/>
  <sheetViews>
    <sheetView topLeftCell="E1" workbookViewId="0"/>
  </sheetViews>
  <sheetFormatPr baseColWidth="10" defaultColWidth="8.83203125" defaultRowHeight="15" x14ac:dyDescent="0.2"/>
  <cols>
    <col min="1" max="1" width="8.83203125" style="13"/>
    <col min="2" max="2" width="36" style="13" bestFit="1" customWidth="1"/>
    <col min="3" max="3" width="11.5" style="10" customWidth="1"/>
    <col min="4" max="4" width="18.6640625" style="10" customWidth="1"/>
    <col min="5" max="5" width="24.5" style="13" customWidth="1"/>
    <col min="6" max="6" width="43.6640625" style="13" customWidth="1"/>
    <col min="7" max="7" width="14.6640625" style="13" customWidth="1"/>
    <col min="8" max="8" width="11.1640625" style="13" customWidth="1"/>
    <col min="9" max="9" width="9.1640625" style="13" bestFit="1" customWidth="1"/>
    <col min="10" max="16384" width="8.83203125" style="13"/>
  </cols>
  <sheetData>
    <row r="2" spans="2:16" ht="26" x14ac:dyDescent="0.3">
      <c r="E2" s="19"/>
      <c r="F2" s="15"/>
      <c r="G2" s="30" t="s">
        <v>0</v>
      </c>
      <c r="H2" s="30" t="s">
        <v>1</v>
      </c>
      <c r="I2" s="30" t="s">
        <v>2</v>
      </c>
    </row>
    <row r="3" spans="2:16" ht="26" x14ac:dyDescent="0.3">
      <c r="E3" s="20"/>
      <c r="F3" s="30" t="s">
        <v>3</v>
      </c>
      <c r="G3" s="7"/>
    </row>
    <row r="4" spans="2:16" x14ac:dyDescent="0.2">
      <c r="E4" s="17"/>
      <c r="F4" s="13" t="s">
        <v>4</v>
      </c>
      <c r="G4" s="10" t="s">
        <v>5</v>
      </c>
      <c r="H4" s="11">
        <v>500</v>
      </c>
      <c r="I4" s="11">
        <v>2000</v>
      </c>
    </row>
    <row r="5" spans="2:16" x14ac:dyDescent="0.2">
      <c r="F5" s="13" t="s">
        <v>6</v>
      </c>
      <c r="G5" s="8" t="s">
        <v>7</v>
      </c>
      <c r="H5" s="13">
        <v>50</v>
      </c>
      <c r="I5" s="13">
        <v>120</v>
      </c>
    </row>
    <row r="6" spans="2:16" x14ac:dyDescent="0.2">
      <c r="E6" s="21"/>
      <c r="F6" s="13" t="s">
        <v>8</v>
      </c>
      <c r="G6" s="10" t="s">
        <v>9</v>
      </c>
      <c r="H6" s="13">
        <v>20</v>
      </c>
      <c r="I6" s="13">
        <v>60</v>
      </c>
    </row>
    <row r="7" spans="2:16" x14ac:dyDescent="0.2">
      <c r="F7" s="13" t="s">
        <v>10</v>
      </c>
      <c r="G7" s="10">
        <v>1.5</v>
      </c>
      <c r="H7" s="13">
        <v>1.5</v>
      </c>
      <c r="I7" s="13" t="s">
        <v>11</v>
      </c>
    </row>
    <row r="8" spans="2:16" ht="15" customHeight="1" x14ac:dyDescent="0.2">
      <c r="D8" s="6"/>
      <c r="F8" s="13" t="s">
        <v>12</v>
      </c>
      <c r="G8" s="10" t="s">
        <v>13</v>
      </c>
      <c r="H8" s="13">
        <v>14</v>
      </c>
      <c r="I8" s="13">
        <v>20</v>
      </c>
    </row>
    <row r="9" spans="2:16" ht="15" customHeight="1" x14ac:dyDescent="0.2">
      <c r="B9" s="6"/>
      <c r="C9" s="6"/>
      <c r="D9" s="6"/>
      <c r="F9" s="6" t="s">
        <v>14</v>
      </c>
      <c r="G9" s="6" t="s">
        <v>15</v>
      </c>
      <c r="H9" s="13">
        <v>3</v>
      </c>
      <c r="I9" s="13" t="s">
        <v>11</v>
      </c>
    </row>
    <row r="10" spans="2:16" ht="26" x14ac:dyDescent="0.3">
      <c r="F10" s="30" t="s">
        <v>16</v>
      </c>
      <c r="K10" s="6"/>
      <c r="L10" s="6"/>
      <c r="M10" s="6"/>
      <c r="N10" s="6"/>
      <c r="O10" s="6"/>
      <c r="P10" s="6"/>
    </row>
    <row r="11" spans="2:16" ht="15" customHeight="1" x14ac:dyDescent="0.2">
      <c r="F11" s="13" t="s">
        <v>17</v>
      </c>
      <c r="K11" s="6"/>
      <c r="L11" s="6"/>
      <c r="M11" s="6"/>
      <c r="N11" s="6"/>
      <c r="O11" s="6"/>
      <c r="P11" s="6"/>
    </row>
    <row r="12" spans="2:16" ht="15" customHeight="1" x14ac:dyDescent="0.2">
      <c r="F12" s="13" t="s">
        <v>18</v>
      </c>
      <c r="G12" s="13" t="s">
        <v>19</v>
      </c>
      <c r="H12" s="13">
        <v>2</v>
      </c>
      <c r="K12" s="6"/>
      <c r="L12" s="6"/>
      <c r="M12" s="6"/>
      <c r="N12" s="6"/>
      <c r="O12" s="6"/>
      <c r="P12" s="6"/>
    </row>
    <row r="13" spans="2:16" ht="15" customHeight="1" x14ac:dyDescent="0.2">
      <c r="F13" s="13" t="s">
        <v>20</v>
      </c>
      <c r="G13" s="13" t="s">
        <v>21</v>
      </c>
      <c r="H13" s="13" t="s">
        <v>11</v>
      </c>
      <c r="K13" s="6"/>
      <c r="L13" s="6"/>
      <c r="M13" s="6"/>
      <c r="N13" s="6"/>
      <c r="O13" s="6"/>
      <c r="P13" s="6"/>
    </row>
    <row r="14" spans="2:16" ht="15" customHeight="1" x14ac:dyDescent="0.2">
      <c r="K14" s="6"/>
      <c r="L14" s="6"/>
      <c r="M14" s="6"/>
      <c r="N14" s="6"/>
      <c r="O14" s="6"/>
      <c r="P14" s="6"/>
    </row>
    <row r="15" spans="2:16" ht="26" x14ac:dyDescent="0.3">
      <c r="F15" s="30" t="s">
        <v>22</v>
      </c>
      <c r="G15" s="6"/>
      <c r="H15" s="6"/>
      <c r="I15" s="6"/>
      <c r="J15" s="6"/>
    </row>
    <row r="16" spans="2:16" x14ac:dyDescent="0.2">
      <c r="B16" s="23"/>
      <c r="C16" s="9"/>
      <c r="D16" s="9"/>
      <c r="F16" s="13" t="s">
        <v>23</v>
      </c>
      <c r="G16" s="10">
        <v>300</v>
      </c>
      <c r="H16" s="6">
        <v>300</v>
      </c>
      <c r="I16" s="6"/>
      <c r="J16" s="6"/>
    </row>
    <row r="17" spans="1:16351" s="23" customFormat="1" x14ac:dyDescent="0.2">
      <c r="B17" s="13"/>
      <c r="C17" s="24"/>
      <c r="D17" s="10"/>
      <c r="F17" s="13" t="s">
        <v>24</v>
      </c>
      <c r="G17" s="10">
        <v>20</v>
      </c>
      <c r="H17" s="6">
        <v>20</v>
      </c>
      <c r="I17" s="6"/>
      <c r="J17" s="6"/>
    </row>
    <row r="18" spans="1:16351" s="11" customFormat="1" ht="26" x14ac:dyDescent="0.3">
      <c r="A18" s="13"/>
      <c r="B18" s="22"/>
      <c r="C18" s="10"/>
      <c r="D18" s="10"/>
      <c r="E18" s="13"/>
      <c r="F18" s="13" t="s">
        <v>25</v>
      </c>
      <c r="G18" s="10">
        <v>5</v>
      </c>
      <c r="H18" s="6">
        <v>5</v>
      </c>
      <c r="I18" s="6"/>
      <c r="J18" s="6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  <c r="AMK18" s="13"/>
      <c r="AML18" s="13"/>
      <c r="AMM18" s="13"/>
      <c r="AMN18" s="13"/>
      <c r="AMO18" s="13"/>
      <c r="AMP18" s="13"/>
      <c r="AMQ18" s="13"/>
      <c r="AMR18" s="13"/>
      <c r="AMS18" s="13"/>
      <c r="AMT18" s="13"/>
      <c r="AMU18" s="13"/>
      <c r="AMV18" s="13"/>
      <c r="AMW18" s="13"/>
      <c r="AMX18" s="13"/>
      <c r="AMY18" s="13"/>
      <c r="AMZ18" s="13"/>
      <c r="ANA18" s="13"/>
      <c r="ANB18" s="13"/>
      <c r="ANC18" s="13"/>
      <c r="AND18" s="13"/>
      <c r="ANE18" s="13"/>
      <c r="ANF18" s="13"/>
      <c r="ANG18" s="13"/>
      <c r="ANH18" s="13"/>
      <c r="ANI18" s="13"/>
      <c r="ANJ18" s="13"/>
      <c r="ANK18" s="13"/>
      <c r="ANL18" s="13"/>
      <c r="ANM18" s="13"/>
      <c r="ANN18" s="13"/>
      <c r="ANO18" s="13"/>
      <c r="ANP18" s="13"/>
      <c r="ANQ18" s="13"/>
      <c r="ANR18" s="13"/>
      <c r="ANS18" s="13"/>
      <c r="ANT18" s="13"/>
      <c r="ANU18" s="13"/>
      <c r="ANV18" s="13"/>
      <c r="ANW18" s="13"/>
      <c r="ANX18" s="13"/>
      <c r="ANY18" s="13"/>
      <c r="ANZ18" s="13"/>
      <c r="AOA18" s="13"/>
      <c r="AOB18" s="13"/>
      <c r="AOC18" s="13"/>
      <c r="AOD18" s="13"/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  <c r="ATF18" s="13"/>
      <c r="ATG18" s="13"/>
      <c r="ATH18" s="13"/>
      <c r="ATI18" s="13"/>
      <c r="ATJ18" s="13"/>
      <c r="ATK18" s="13"/>
      <c r="ATL18" s="13"/>
      <c r="ATM18" s="13"/>
      <c r="ATN18" s="13"/>
      <c r="ATO18" s="13"/>
      <c r="ATP18" s="13"/>
      <c r="ATQ18" s="13"/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  <c r="BBE18" s="13"/>
      <c r="BBF18" s="13"/>
      <c r="BBG18" s="13"/>
      <c r="BBH18" s="13"/>
      <c r="BBI18" s="13"/>
      <c r="BBJ18" s="13"/>
      <c r="BBK18" s="13"/>
      <c r="BBL18" s="13"/>
      <c r="BBM18" s="13"/>
      <c r="BBN18" s="13"/>
      <c r="BBO18" s="13"/>
      <c r="BBP18" s="13"/>
      <c r="BBQ18" s="13"/>
      <c r="BBR18" s="13"/>
      <c r="BBS18" s="13"/>
      <c r="BBT18" s="13"/>
      <c r="BBU18" s="13"/>
      <c r="BBV18" s="13"/>
      <c r="BBW18" s="13"/>
      <c r="BBX18" s="13"/>
      <c r="BBY18" s="13"/>
      <c r="BBZ18" s="13"/>
      <c r="BCA18" s="13"/>
      <c r="BCB18" s="13"/>
      <c r="BCC18" s="13"/>
      <c r="BCD18" s="13"/>
      <c r="BCE18" s="13"/>
      <c r="BCF18" s="13"/>
      <c r="BCG18" s="13"/>
      <c r="BCH18" s="13"/>
      <c r="BCI18" s="13"/>
      <c r="BCJ18" s="13"/>
      <c r="BCK18" s="13"/>
      <c r="BCL18" s="13"/>
      <c r="BCM18" s="13"/>
      <c r="BCN18" s="13"/>
      <c r="BCO18" s="13"/>
      <c r="BCP18" s="13"/>
      <c r="BCQ18" s="13"/>
      <c r="BCR18" s="13"/>
      <c r="BCS18" s="13"/>
      <c r="BCT18" s="13"/>
      <c r="BCU18" s="13"/>
      <c r="BCV18" s="13"/>
      <c r="BCW18" s="13"/>
      <c r="BCX18" s="13"/>
      <c r="BCY18" s="13"/>
      <c r="BCZ18" s="13"/>
      <c r="BDA18" s="13"/>
      <c r="BDB18" s="13"/>
      <c r="BDC18" s="13"/>
      <c r="BDD18" s="13"/>
      <c r="BDE18" s="13"/>
      <c r="BDF18" s="13"/>
      <c r="BDG18" s="13"/>
      <c r="BDH18" s="13"/>
      <c r="BDI18" s="13"/>
      <c r="BDJ18" s="13"/>
      <c r="BDK18" s="13"/>
      <c r="BDL18" s="13"/>
      <c r="BDM18" s="13"/>
      <c r="BDN18" s="13"/>
      <c r="BDO18" s="13"/>
      <c r="BDP18" s="13"/>
      <c r="BDQ18" s="13"/>
      <c r="BDR18" s="13"/>
      <c r="BDS18" s="13"/>
      <c r="BDT18" s="13"/>
      <c r="BDU18" s="13"/>
      <c r="BDV18" s="13"/>
      <c r="BDW18" s="13"/>
      <c r="BDX18" s="13"/>
      <c r="BDY18" s="13"/>
      <c r="BDZ18" s="13"/>
      <c r="BEA18" s="13"/>
      <c r="BEB18" s="13"/>
      <c r="BEC18" s="13"/>
      <c r="BED18" s="13"/>
      <c r="BEE18" s="13"/>
      <c r="BEF18" s="13"/>
      <c r="BEG18" s="13"/>
      <c r="BEH18" s="13"/>
      <c r="BEI18" s="13"/>
      <c r="BEJ18" s="13"/>
      <c r="BEK18" s="13"/>
      <c r="BEL18" s="13"/>
      <c r="BEM18" s="13"/>
      <c r="BEN18" s="13"/>
      <c r="BEO18" s="13"/>
      <c r="BEP18" s="13"/>
      <c r="BEQ18" s="13"/>
      <c r="BER18" s="13"/>
      <c r="BES18" s="13"/>
      <c r="BET18" s="13"/>
      <c r="BEU18" s="13"/>
      <c r="BEV18" s="13"/>
      <c r="BEW18" s="13"/>
      <c r="BEX18" s="13"/>
      <c r="BEY18" s="13"/>
      <c r="BEZ18" s="13"/>
      <c r="BFA18" s="13"/>
      <c r="BFB18" s="13"/>
      <c r="BFC18" s="13"/>
      <c r="BFD18" s="13"/>
      <c r="BFE18" s="13"/>
      <c r="BFF18" s="13"/>
      <c r="BFG18" s="13"/>
      <c r="BFH18" s="13"/>
      <c r="BFI18" s="13"/>
      <c r="BFJ18" s="13"/>
      <c r="BFK18" s="13"/>
      <c r="BFL18" s="13"/>
      <c r="BFM18" s="13"/>
      <c r="BFN18" s="13"/>
      <c r="BFO18" s="13"/>
      <c r="BFP18" s="13"/>
      <c r="BFQ18" s="13"/>
      <c r="BFR18" s="13"/>
      <c r="BFS18" s="13"/>
      <c r="BFT18" s="13"/>
      <c r="BFU18" s="13"/>
      <c r="BFV18" s="13"/>
      <c r="BFW18" s="13"/>
      <c r="BFX18" s="13"/>
      <c r="BFY18" s="13"/>
      <c r="BFZ18" s="13"/>
      <c r="BGA18" s="13"/>
      <c r="BGB18" s="13"/>
      <c r="BGC18" s="13"/>
      <c r="BGD18" s="13"/>
      <c r="BGE18" s="13"/>
      <c r="BGF18" s="13"/>
      <c r="BGG18" s="13"/>
      <c r="BGH18" s="13"/>
      <c r="BGI18" s="13"/>
      <c r="BGJ18" s="13"/>
      <c r="BGK18" s="13"/>
      <c r="BGL18" s="13"/>
      <c r="BGM18" s="13"/>
      <c r="BGN18" s="13"/>
      <c r="BGO18" s="13"/>
      <c r="BGP18" s="13"/>
      <c r="BGQ18" s="13"/>
      <c r="BGR18" s="13"/>
      <c r="BGS18" s="13"/>
      <c r="BGT18" s="13"/>
      <c r="BGU18" s="13"/>
      <c r="BGV18" s="13"/>
      <c r="BGW18" s="13"/>
      <c r="BGX18" s="13"/>
      <c r="BGY18" s="13"/>
      <c r="BGZ18" s="13"/>
      <c r="BHA18" s="13"/>
      <c r="BHB18" s="13"/>
      <c r="BHC18" s="13"/>
      <c r="BHD18" s="13"/>
      <c r="BHE18" s="13"/>
      <c r="BHF18" s="13"/>
      <c r="BHG18" s="13"/>
      <c r="BHH18" s="13"/>
      <c r="BHI18" s="13"/>
      <c r="BHJ18" s="13"/>
      <c r="BHK18" s="13"/>
      <c r="BHL18" s="13"/>
      <c r="BHM18" s="13"/>
      <c r="BHN18" s="13"/>
      <c r="BHO18" s="13"/>
      <c r="BHP18" s="13"/>
      <c r="BHQ18" s="13"/>
      <c r="BHR18" s="13"/>
      <c r="BHS18" s="13"/>
      <c r="BHT18" s="13"/>
      <c r="BHU18" s="13"/>
      <c r="BHV18" s="13"/>
      <c r="BHW18" s="13"/>
      <c r="BHX18" s="13"/>
      <c r="BHY18" s="13"/>
      <c r="BHZ18" s="13"/>
      <c r="BIA18" s="13"/>
      <c r="BIB18" s="13"/>
      <c r="BIC18" s="13"/>
      <c r="BID18" s="13"/>
      <c r="BIE18" s="13"/>
      <c r="BIF18" s="13"/>
      <c r="BIG18" s="13"/>
      <c r="BIH18" s="13"/>
      <c r="BII18" s="13"/>
      <c r="BIJ18" s="13"/>
      <c r="BIK18" s="13"/>
      <c r="BIL18" s="13"/>
      <c r="BIM18" s="13"/>
      <c r="BIN18" s="13"/>
      <c r="BIO18" s="13"/>
      <c r="BIP18" s="13"/>
      <c r="BIQ18" s="13"/>
      <c r="BIR18" s="13"/>
      <c r="BIS18" s="13"/>
      <c r="BIT18" s="13"/>
      <c r="BIU18" s="13"/>
      <c r="BIV18" s="13"/>
      <c r="BIW18" s="13"/>
      <c r="BIX18" s="13"/>
      <c r="BIY18" s="13"/>
      <c r="BIZ18" s="13"/>
      <c r="BJA18" s="13"/>
      <c r="BJB18" s="13"/>
      <c r="BJC18" s="13"/>
      <c r="BJD18" s="13"/>
      <c r="BJE18" s="13"/>
      <c r="BJF18" s="13"/>
      <c r="BJG18" s="13"/>
      <c r="BJH18" s="13"/>
      <c r="BJI18" s="13"/>
      <c r="BJJ18" s="13"/>
      <c r="BJK18" s="13"/>
      <c r="BJL18" s="13"/>
      <c r="BJM18" s="13"/>
      <c r="BJN18" s="13"/>
      <c r="BJO18" s="13"/>
      <c r="BJP18" s="13"/>
      <c r="BJQ18" s="13"/>
      <c r="BJR18" s="13"/>
      <c r="BJS18" s="13"/>
      <c r="BJT18" s="13"/>
      <c r="BJU18" s="13"/>
      <c r="BJV18" s="13"/>
      <c r="BJW18" s="13"/>
      <c r="BJX18" s="13"/>
      <c r="BJY18" s="13"/>
      <c r="BJZ18" s="13"/>
      <c r="BKA18" s="13"/>
      <c r="BKB18" s="13"/>
      <c r="BKC18" s="13"/>
      <c r="BKD18" s="13"/>
      <c r="BKE18" s="13"/>
      <c r="BKF18" s="13"/>
      <c r="BKG18" s="13"/>
      <c r="BKH18" s="13"/>
      <c r="BKI18" s="13"/>
      <c r="BKJ18" s="13"/>
      <c r="BKK18" s="13"/>
      <c r="BKL18" s="13"/>
      <c r="BKM18" s="13"/>
      <c r="BKN18" s="13"/>
      <c r="BKO18" s="13"/>
      <c r="BKP18" s="13"/>
      <c r="BKQ18" s="13"/>
      <c r="BKR18" s="13"/>
      <c r="BKS18" s="13"/>
      <c r="BKT18" s="13"/>
      <c r="BKU18" s="13"/>
      <c r="BKV18" s="13"/>
      <c r="BKW18" s="13"/>
      <c r="BKX18" s="13"/>
      <c r="BKY18" s="13"/>
      <c r="BKZ18" s="13"/>
      <c r="BLA18" s="13"/>
      <c r="BLB18" s="13"/>
      <c r="BLC18" s="13"/>
      <c r="BLD18" s="13"/>
      <c r="BLE18" s="13"/>
      <c r="BLF18" s="13"/>
      <c r="BLG18" s="13"/>
      <c r="BLH18" s="13"/>
      <c r="BLI18" s="13"/>
      <c r="BLJ18" s="13"/>
      <c r="BLK18" s="13"/>
      <c r="BLL18" s="13"/>
      <c r="BLM18" s="13"/>
      <c r="BLN18" s="13"/>
      <c r="BLO18" s="13"/>
      <c r="BLP18" s="13"/>
      <c r="BLQ18" s="13"/>
      <c r="BLR18" s="13"/>
      <c r="BLS18" s="13"/>
      <c r="BLT18" s="13"/>
      <c r="BLU18" s="13"/>
      <c r="BLV18" s="13"/>
      <c r="BLW18" s="13"/>
      <c r="BLX18" s="13"/>
      <c r="BLY18" s="13"/>
      <c r="BLZ18" s="13"/>
      <c r="BMA18" s="13"/>
      <c r="BMB18" s="13"/>
      <c r="BMC18" s="13"/>
      <c r="BMD18" s="13"/>
      <c r="BME18" s="13"/>
      <c r="BMF18" s="13"/>
      <c r="BMG18" s="13"/>
      <c r="BMH18" s="13"/>
      <c r="BMI18" s="13"/>
      <c r="BMJ18" s="13"/>
      <c r="BMK18" s="13"/>
      <c r="BML18" s="13"/>
      <c r="BMM18" s="13"/>
      <c r="BMN18" s="13"/>
      <c r="BMO18" s="13"/>
      <c r="BMP18" s="13"/>
      <c r="BMQ18" s="13"/>
      <c r="BMR18" s="13"/>
      <c r="BMS18" s="13"/>
      <c r="BMT18" s="13"/>
      <c r="BMU18" s="13"/>
      <c r="BMV18" s="13"/>
      <c r="BMW18" s="13"/>
      <c r="BMX18" s="13"/>
      <c r="BMY18" s="13"/>
      <c r="BMZ18" s="13"/>
      <c r="BNA18" s="13"/>
      <c r="BNB18" s="13"/>
      <c r="BNC18" s="13"/>
      <c r="BND18" s="13"/>
      <c r="BNE18" s="13"/>
      <c r="BNF18" s="13"/>
      <c r="BNG18" s="13"/>
      <c r="BNH18" s="13"/>
      <c r="BNI18" s="13"/>
      <c r="BNJ18" s="13"/>
      <c r="BNK18" s="13"/>
      <c r="BNL18" s="13"/>
      <c r="BNM18" s="13"/>
      <c r="BNN18" s="13"/>
      <c r="BNO18" s="13"/>
      <c r="BNP18" s="13"/>
      <c r="BNQ18" s="13"/>
      <c r="BNR18" s="13"/>
      <c r="BNS18" s="13"/>
      <c r="BNT18" s="13"/>
      <c r="BNU18" s="13"/>
      <c r="BNV18" s="13"/>
      <c r="BNW18" s="13"/>
      <c r="BNX18" s="13"/>
      <c r="BNY18" s="13"/>
      <c r="BNZ18" s="13"/>
      <c r="BOA18" s="13"/>
      <c r="BOB18" s="13"/>
      <c r="BOC18" s="13"/>
      <c r="BOD18" s="13"/>
      <c r="BOE18" s="13"/>
      <c r="BOF18" s="13"/>
      <c r="BOG18" s="13"/>
      <c r="BOH18" s="13"/>
      <c r="BOI18" s="13"/>
      <c r="BOJ18" s="13"/>
      <c r="BOK18" s="13"/>
      <c r="BOL18" s="13"/>
      <c r="BOM18" s="13"/>
      <c r="BON18" s="13"/>
      <c r="BOO18" s="13"/>
      <c r="BOP18" s="13"/>
      <c r="BOQ18" s="13"/>
      <c r="BOR18" s="13"/>
      <c r="BOS18" s="13"/>
      <c r="BOT18" s="13"/>
      <c r="BOU18" s="13"/>
      <c r="BOV18" s="13"/>
      <c r="BOW18" s="13"/>
      <c r="BOX18" s="13"/>
      <c r="BOY18" s="13"/>
      <c r="BOZ18" s="13"/>
      <c r="BPA18" s="13"/>
      <c r="BPB18" s="13"/>
      <c r="BPC18" s="13"/>
      <c r="BPD18" s="13"/>
      <c r="BPE18" s="13"/>
      <c r="BPF18" s="13"/>
      <c r="BPG18" s="13"/>
      <c r="BPH18" s="13"/>
      <c r="BPI18" s="13"/>
      <c r="BPJ18" s="13"/>
      <c r="BPK18" s="13"/>
      <c r="BPL18" s="13"/>
      <c r="BPM18" s="13"/>
      <c r="BPN18" s="13"/>
      <c r="BPO18" s="13"/>
      <c r="BPP18" s="13"/>
      <c r="BPQ18" s="13"/>
      <c r="BPR18" s="13"/>
      <c r="BPS18" s="13"/>
      <c r="BPT18" s="13"/>
      <c r="BPU18" s="13"/>
      <c r="BPV18" s="13"/>
      <c r="BPW18" s="13"/>
      <c r="BPX18" s="13"/>
      <c r="BPY18" s="13"/>
      <c r="BPZ18" s="13"/>
      <c r="BQA18" s="13"/>
      <c r="BQB18" s="13"/>
      <c r="BQC18" s="13"/>
      <c r="BQD18" s="13"/>
      <c r="BQE18" s="13"/>
      <c r="BQF18" s="13"/>
      <c r="BQG18" s="13"/>
      <c r="BQH18" s="13"/>
      <c r="BQI18" s="13"/>
      <c r="BQJ18" s="13"/>
      <c r="BQK18" s="13"/>
      <c r="BQL18" s="13"/>
      <c r="BQM18" s="13"/>
      <c r="BQN18" s="13"/>
      <c r="BQO18" s="13"/>
      <c r="BQP18" s="13"/>
      <c r="BQQ18" s="13"/>
      <c r="BQR18" s="13"/>
      <c r="BQS18" s="13"/>
      <c r="BQT18" s="13"/>
      <c r="BQU18" s="13"/>
      <c r="BQV18" s="13"/>
      <c r="BQW18" s="13"/>
      <c r="BQX18" s="13"/>
      <c r="BQY18" s="13"/>
      <c r="BQZ18" s="13"/>
      <c r="BRA18" s="13"/>
      <c r="BRB18" s="13"/>
      <c r="BRC18" s="13"/>
      <c r="BRD18" s="13"/>
      <c r="BRE18" s="13"/>
      <c r="BRF18" s="13"/>
      <c r="BRG18" s="13"/>
      <c r="BRH18" s="13"/>
      <c r="BRI18" s="13"/>
      <c r="BRJ18" s="13"/>
      <c r="BRK18" s="13"/>
      <c r="BRL18" s="13"/>
      <c r="BRM18" s="13"/>
      <c r="BRN18" s="13"/>
      <c r="BRO18" s="13"/>
      <c r="BRP18" s="13"/>
      <c r="BRQ18" s="13"/>
      <c r="BRR18" s="13"/>
      <c r="BRS18" s="13"/>
      <c r="BRT18" s="13"/>
      <c r="BRU18" s="13"/>
      <c r="BRV18" s="13"/>
      <c r="BRW18" s="13"/>
      <c r="BRX18" s="13"/>
      <c r="BRY18" s="13"/>
      <c r="BRZ18" s="13"/>
      <c r="BSA18" s="13"/>
      <c r="BSB18" s="13"/>
      <c r="BSC18" s="13"/>
      <c r="BSD18" s="13"/>
      <c r="BSE18" s="13"/>
      <c r="BSF18" s="13"/>
      <c r="BSG18" s="13"/>
      <c r="BSH18" s="13"/>
      <c r="BSI18" s="13"/>
      <c r="BSJ18" s="13"/>
      <c r="BSK18" s="13"/>
      <c r="BSL18" s="13"/>
      <c r="BSM18" s="13"/>
      <c r="BSN18" s="13"/>
      <c r="BSO18" s="13"/>
      <c r="BSP18" s="13"/>
      <c r="BSQ18" s="13"/>
      <c r="BSR18" s="13"/>
      <c r="BSS18" s="13"/>
      <c r="BST18" s="13"/>
      <c r="BSU18" s="13"/>
      <c r="BSV18" s="13"/>
      <c r="BSW18" s="13"/>
      <c r="BSX18" s="13"/>
      <c r="BSY18" s="13"/>
      <c r="BSZ18" s="13"/>
      <c r="BTA18" s="13"/>
      <c r="BTB18" s="13"/>
      <c r="BTC18" s="13"/>
      <c r="BTD18" s="13"/>
      <c r="BTE18" s="13"/>
      <c r="BTF18" s="13"/>
      <c r="BTG18" s="13"/>
      <c r="BTH18" s="13"/>
      <c r="BTI18" s="13"/>
      <c r="BTJ18" s="13"/>
      <c r="BTK18" s="13"/>
      <c r="BTL18" s="13"/>
      <c r="BTM18" s="13"/>
      <c r="BTN18" s="13"/>
      <c r="BTO18" s="13"/>
      <c r="BTP18" s="13"/>
      <c r="BTQ18" s="13"/>
      <c r="BTR18" s="13"/>
      <c r="BTS18" s="13"/>
      <c r="BTT18" s="13"/>
      <c r="BTU18" s="13"/>
      <c r="BTV18" s="13"/>
      <c r="BTW18" s="13"/>
      <c r="BTX18" s="13"/>
      <c r="BTY18" s="13"/>
      <c r="BTZ18" s="13"/>
      <c r="BUA18" s="13"/>
      <c r="BUB18" s="13"/>
      <c r="BUC18" s="13"/>
      <c r="BUD18" s="13"/>
      <c r="BUE18" s="13"/>
      <c r="BUF18" s="13"/>
      <c r="BUG18" s="13"/>
      <c r="BUH18" s="13"/>
      <c r="BUI18" s="13"/>
      <c r="BUJ18" s="13"/>
      <c r="BUK18" s="13"/>
      <c r="BUL18" s="13"/>
      <c r="BUM18" s="13"/>
      <c r="BUN18" s="13"/>
      <c r="BUO18" s="13"/>
      <c r="BUP18" s="13"/>
      <c r="BUQ18" s="13"/>
      <c r="BUR18" s="13"/>
      <c r="BUS18" s="13"/>
      <c r="BUT18" s="13"/>
      <c r="BUU18" s="13"/>
      <c r="BUV18" s="13"/>
      <c r="BUW18" s="13"/>
      <c r="BUX18" s="13"/>
      <c r="BUY18" s="13"/>
      <c r="BUZ18" s="13"/>
      <c r="BVA18" s="13"/>
      <c r="BVB18" s="13"/>
      <c r="BVC18" s="13"/>
      <c r="BVD18" s="13"/>
      <c r="BVE18" s="13"/>
      <c r="BVF18" s="13"/>
      <c r="BVG18" s="13"/>
      <c r="BVH18" s="13"/>
      <c r="BVI18" s="13"/>
      <c r="BVJ18" s="13"/>
      <c r="BVK18" s="13"/>
      <c r="BVL18" s="13"/>
      <c r="BVM18" s="13"/>
      <c r="BVN18" s="13"/>
      <c r="BVO18" s="13"/>
      <c r="BVP18" s="13"/>
      <c r="BVQ18" s="13"/>
      <c r="BVR18" s="13"/>
      <c r="BVS18" s="13"/>
      <c r="BVT18" s="13"/>
      <c r="BVU18" s="13"/>
      <c r="BVV18" s="13"/>
      <c r="BVW18" s="13"/>
      <c r="BVX18" s="13"/>
      <c r="BVY18" s="13"/>
      <c r="BVZ18" s="13"/>
      <c r="BWA18" s="13"/>
      <c r="BWB18" s="13"/>
      <c r="BWC18" s="13"/>
      <c r="BWD18" s="13"/>
      <c r="BWE18" s="13"/>
      <c r="BWF18" s="13"/>
      <c r="BWG18" s="13"/>
      <c r="BWH18" s="13"/>
      <c r="BWI18" s="13"/>
      <c r="BWJ18" s="13"/>
      <c r="BWK18" s="13"/>
      <c r="BWL18" s="13"/>
      <c r="BWM18" s="13"/>
      <c r="BWN18" s="13"/>
      <c r="BWO18" s="13"/>
      <c r="BWP18" s="13"/>
      <c r="BWQ18" s="13"/>
      <c r="BWR18" s="13"/>
      <c r="BWS18" s="13"/>
      <c r="BWT18" s="13"/>
      <c r="BWU18" s="13"/>
      <c r="BWV18" s="13"/>
      <c r="BWW18" s="13"/>
      <c r="BWX18" s="13"/>
      <c r="BWY18" s="13"/>
      <c r="BWZ18" s="13"/>
      <c r="BXA18" s="13"/>
      <c r="BXB18" s="13"/>
      <c r="BXC18" s="13"/>
      <c r="BXD18" s="13"/>
      <c r="BXE18" s="13"/>
      <c r="BXF18" s="13"/>
      <c r="BXG18" s="13"/>
      <c r="BXH18" s="13"/>
      <c r="BXI18" s="13"/>
      <c r="BXJ18" s="13"/>
      <c r="BXK18" s="13"/>
      <c r="BXL18" s="13"/>
      <c r="BXM18" s="13"/>
      <c r="BXN18" s="13"/>
      <c r="BXO18" s="13"/>
      <c r="BXP18" s="13"/>
      <c r="BXQ18" s="13"/>
      <c r="BXR18" s="13"/>
      <c r="BXS18" s="13"/>
      <c r="BXT18" s="13"/>
      <c r="BXU18" s="13"/>
      <c r="BXV18" s="13"/>
      <c r="BXW18" s="13"/>
      <c r="BXX18" s="13"/>
      <c r="BXY18" s="13"/>
      <c r="BXZ18" s="13"/>
      <c r="BYA18" s="13"/>
      <c r="BYB18" s="13"/>
      <c r="BYC18" s="13"/>
      <c r="BYD18" s="13"/>
      <c r="BYE18" s="13"/>
      <c r="BYF18" s="13"/>
      <c r="BYG18" s="13"/>
      <c r="BYH18" s="13"/>
      <c r="BYI18" s="13"/>
      <c r="BYJ18" s="13"/>
      <c r="BYK18" s="13"/>
      <c r="BYL18" s="13"/>
      <c r="BYM18" s="13"/>
      <c r="BYN18" s="13"/>
      <c r="BYO18" s="13"/>
      <c r="BYP18" s="13"/>
      <c r="BYQ18" s="13"/>
      <c r="BYR18" s="13"/>
      <c r="BYS18" s="13"/>
      <c r="BYT18" s="13"/>
      <c r="BYU18" s="13"/>
      <c r="BYV18" s="13"/>
      <c r="BYW18" s="13"/>
      <c r="BYX18" s="13"/>
      <c r="BYY18" s="13"/>
      <c r="BYZ18" s="13"/>
      <c r="BZA18" s="13"/>
      <c r="BZB18" s="13"/>
      <c r="BZC18" s="13"/>
      <c r="BZD18" s="13"/>
      <c r="BZE18" s="13"/>
      <c r="BZF18" s="13"/>
      <c r="BZG18" s="13"/>
      <c r="BZH18" s="13"/>
      <c r="BZI18" s="13"/>
      <c r="BZJ18" s="13"/>
      <c r="BZK18" s="13"/>
      <c r="BZL18" s="13"/>
      <c r="BZM18" s="13"/>
      <c r="BZN18" s="13"/>
      <c r="BZO18" s="13"/>
      <c r="BZP18" s="13"/>
      <c r="BZQ18" s="13"/>
      <c r="BZR18" s="13"/>
      <c r="BZS18" s="13"/>
      <c r="BZT18" s="13"/>
      <c r="BZU18" s="13"/>
      <c r="BZV18" s="13"/>
      <c r="BZW18" s="13"/>
      <c r="BZX18" s="13"/>
      <c r="BZY18" s="13"/>
      <c r="BZZ18" s="13"/>
      <c r="CAA18" s="13"/>
      <c r="CAB18" s="13"/>
      <c r="CAC18" s="13"/>
      <c r="CAD18" s="13"/>
      <c r="CAE18" s="13"/>
      <c r="CAF18" s="13"/>
      <c r="CAG18" s="13"/>
      <c r="CAH18" s="13"/>
      <c r="CAI18" s="13"/>
      <c r="CAJ18" s="13"/>
      <c r="CAK18" s="13"/>
      <c r="CAL18" s="13"/>
      <c r="CAM18" s="13"/>
      <c r="CAN18" s="13"/>
      <c r="CAO18" s="13"/>
      <c r="CAP18" s="13"/>
      <c r="CAQ18" s="13"/>
      <c r="CAR18" s="13"/>
      <c r="CAS18" s="13"/>
      <c r="CAT18" s="13"/>
      <c r="CAU18" s="13"/>
      <c r="CAV18" s="13"/>
      <c r="CAW18" s="13"/>
      <c r="CAX18" s="13"/>
      <c r="CAY18" s="13"/>
      <c r="CAZ18" s="13"/>
      <c r="CBA18" s="13"/>
      <c r="CBB18" s="13"/>
      <c r="CBC18" s="13"/>
      <c r="CBD18" s="13"/>
      <c r="CBE18" s="13"/>
      <c r="CBF18" s="13"/>
      <c r="CBG18" s="13"/>
      <c r="CBH18" s="13"/>
      <c r="CBI18" s="13"/>
      <c r="CBJ18" s="13"/>
      <c r="CBK18" s="13"/>
      <c r="CBL18" s="13"/>
      <c r="CBM18" s="13"/>
      <c r="CBN18" s="13"/>
      <c r="CBO18" s="13"/>
      <c r="CBP18" s="13"/>
      <c r="CBQ18" s="13"/>
      <c r="CBR18" s="13"/>
      <c r="CBS18" s="13"/>
      <c r="CBT18" s="13"/>
      <c r="CBU18" s="13"/>
      <c r="CBV18" s="13"/>
      <c r="CBW18" s="13"/>
      <c r="CBX18" s="13"/>
      <c r="CBY18" s="13"/>
      <c r="CBZ18" s="13"/>
      <c r="CCA18" s="13"/>
      <c r="CCB18" s="13"/>
      <c r="CCC18" s="13"/>
      <c r="CCD18" s="13"/>
      <c r="CCE18" s="13"/>
      <c r="CCF18" s="13"/>
      <c r="CCG18" s="13"/>
      <c r="CCH18" s="13"/>
      <c r="CCI18" s="13"/>
      <c r="CCJ18" s="13"/>
      <c r="CCK18" s="13"/>
      <c r="CCL18" s="13"/>
      <c r="CCM18" s="13"/>
      <c r="CCN18" s="13"/>
      <c r="CCO18" s="13"/>
      <c r="CCP18" s="13"/>
      <c r="CCQ18" s="13"/>
      <c r="CCR18" s="13"/>
      <c r="CCS18" s="13"/>
      <c r="CCT18" s="13"/>
      <c r="CCU18" s="13"/>
      <c r="CCV18" s="13"/>
      <c r="CCW18" s="13"/>
      <c r="CCX18" s="13"/>
      <c r="CCY18" s="13"/>
      <c r="CCZ18" s="13"/>
      <c r="CDA18" s="13"/>
      <c r="CDB18" s="13"/>
      <c r="CDC18" s="13"/>
      <c r="CDD18" s="13"/>
      <c r="CDE18" s="13"/>
      <c r="CDF18" s="13"/>
      <c r="CDG18" s="13"/>
      <c r="CDH18" s="13"/>
      <c r="CDI18" s="13"/>
      <c r="CDJ18" s="13"/>
      <c r="CDK18" s="13"/>
      <c r="CDL18" s="13"/>
      <c r="CDM18" s="13"/>
      <c r="CDN18" s="13"/>
      <c r="CDO18" s="13"/>
      <c r="CDP18" s="13"/>
      <c r="CDQ18" s="13"/>
      <c r="CDR18" s="13"/>
      <c r="CDS18" s="13"/>
      <c r="CDT18" s="13"/>
      <c r="CDU18" s="13"/>
      <c r="CDV18" s="13"/>
      <c r="CDW18" s="13"/>
      <c r="CDX18" s="13"/>
      <c r="CDY18" s="13"/>
      <c r="CDZ18" s="13"/>
      <c r="CEA18" s="13"/>
      <c r="CEB18" s="13"/>
      <c r="CEC18" s="13"/>
      <c r="CED18" s="13"/>
      <c r="CEE18" s="13"/>
      <c r="CEF18" s="13"/>
      <c r="CEG18" s="13"/>
      <c r="CEH18" s="13"/>
      <c r="CEI18" s="13"/>
      <c r="CEJ18" s="13"/>
      <c r="CEK18" s="13"/>
      <c r="CEL18" s="13"/>
      <c r="CEM18" s="13"/>
      <c r="CEN18" s="13"/>
      <c r="CEO18" s="13"/>
      <c r="CEP18" s="13"/>
      <c r="CEQ18" s="13"/>
      <c r="CER18" s="13"/>
      <c r="CES18" s="13"/>
      <c r="CET18" s="13"/>
      <c r="CEU18" s="13"/>
      <c r="CEV18" s="13"/>
      <c r="CEW18" s="13"/>
      <c r="CEX18" s="13"/>
      <c r="CEY18" s="13"/>
      <c r="CEZ18" s="13"/>
      <c r="CFA18" s="13"/>
      <c r="CFB18" s="13"/>
      <c r="CFC18" s="13"/>
      <c r="CFD18" s="13"/>
      <c r="CFE18" s="13"/>
      <c r="CFF18" s="13"/>
      <c r="CFG18" s="13"/>
      <c r="CFH18" s="13"/>
      <c r="CFI18" s="13"/>
      <c r="CFJ18" s="13"/>
      <c r="CFK18" s="13"/>
      <c r="CFL18" s="13"/>
      <c r="CFM18" s="13"/>
      <c r="CFN18" s="13"/>
      <c r="CFO18" s="13"/>
      <c r="CFP18" s="13"/>
      <c r="CFQ18" s="13"/>
      <c r="CFR18" s="13"/>
      <c r="CFS18" s="13"/>
      <c r="CFT18" s="13"/>
      <c r="CFU18" s="13"/>
      <c r="CFV18" s="13"/>
      <c r="CFW18" s="13"/>
      <c r="CFX18" s="13"/>
      <c r="CFY18" s="13"/>
      <c r="CFZ18" s="13"/>
      <c r="CGA18" s="13"/>
      <c r="CGB18" s="13"/>
      <c r="CGC18" s="13"/>
      <c r="CGD18" s="13"/>
      <c r="CGE18" s="13"/>
      <c r="CGF18" s="13"/>
      <c r="CGG18" s="13"/>
      <c r="CGH18" s="13"/>
      <c r="CGI18" s="13"/>
      <c r="CGJ18" s="13"/>
      <c r="CGK18" s="13"/>
      <c r="CGL18" s="13"/>
      <c r="CGM18" s="13"/>
      <c r="CGN18" s="13"/>
      <c r="CGO18" s="13"/>
      <c r="CGP18" s="13"/>
      <c r="CGQ18" s="13"/>
      <c r="CGR18" s="13"/>
      <c r="CGS18" s="13"/>
      <c r="CGT18" s="13"/>
      <c r="CGU18" s="13"/>
      <c r="CGV18" s="13"/>
      <c r="CGW18" s="13"/>
      <c r="CGX18" s="13"/>
      <c r="CGY18" s="13"/>
      <c r="CGZ18" s="13"/>
      <c r="CHA18" s="13"/>
      <c r="CHB18" s="13"/>
      <c r="CHC18" s="13"/>
      <c r="CHD18" s="13"/>
      <c r="CHE18" s="13"/>
      <c r="CHF18" s="13"/>
      <c r="CHG18" s="13"/>
      <c r="CHH18" s="13"/>
      <c r="CHI18" s="13"/>
      <c r="CHJ18" s="13"/>
      <c r="CHK18" s="13"/>
      <c r="CHL18" s="13"/>
      <c r="CHM18" s="13"/>
      <c r="CHN18" s="13"/>
      <c r="CHO18" s="13"/>
      <c r="CHP18" s="13"/>
      <c r="CHQ18" s="13"/>
      <c r="CHR18" s="13"/>
      <c r="CHS18" s="13"/>
      <c r="CHT18" s="13"/>
      <c r="CHU18" s="13"/>
      <c r="CHV18" s="13"/>
      <c r="CHW18" s="13"/>
      <c r="CHX18" s="13"/>
      <c r="CHY18" s="13"/>
      <c r="CHZ18" s="13"/>
      <c r="CIA18" s="13"/>
      <c r="CIB18" s="13"/>
      <c r="CIC18" s="13"/>
      <c r="CID18" s="13"/>
      <c r="CIE18" s="13"/>
      <c r="CIF18" s="13"/>
      <c r="CIG18" s="13"/>
      <c r="CIH18" s="13"/>
      <c r="CII18" s="13"/>
      <c r="CIJ18" s="13"/>
      <c r="CIK18" s="13"/>
      <c r="CIL18" s="13"/>
      <c r="CIM18" s="13"/>
      <c r="CIN18" s="13"/>
      <c r="CIO18" s="13"/>
      <c r="CIP18" s="13"/>
      <c r="CIQ18" s="13"/>
      <c r="CIR18" s="13"/>
      <c r="CIS18" s="13"/>
      <c r="CIT18" s="13"/>
      <c r="CIU18" s="13"/>
      <c r="CIV18" s="13"/>
      <c r="CIW18" s="13"/>
      <c r="CIX18" s="13"/>
      <c r="CIY18" s="13"/>
      <c r="CIZ18" s="13"/>
      <c r="CJA18" s="13"/>
      <c r="CJB18" s="13"/>
      <c r="CJC18" s="13"/>
      <c r="CJD18" s="13"/>
      <c r="CJE18" s="13"/>
      <c r="CJF18" s="13"/>
      <c r="CJG18" s="13"/>
      <c r="CJH18" s="13"/>
      <c r="CJI18" s="13"/>
      <c r="CJJ18" s="13"/>
      <c r="CJK18" s="13"/>
      <c r="CJL18" s="13"/>
      <c r="CJM18" s="13"/>
      <c r="CJN18" s="13"/>
      <c r="CJO18" s="13"/>
      <c r="CJP18" s="13"/>
      <c r="CJQ18" s="13"/>
      <c r="CJR18" s="13"/>
      <c r="CJS18" s="13"/>
      <c r="CJT18" s="13"/>
      <c r="CJU18" s="13"/>
      <c r="CJV18" s="13"/>
      <c r="CJW18" s="13"/>
      <c r="CJX18" s="13"/>
      <c r="CJY18" s="13"/>
      <c r="CJZ18" s="13"/>
      <c r="CKA18" s="13"/>
      <c r="CKB18" s="13"/>
      <c r="CKC18" s="13"/>
      <c r="CKD18" s="13"/>
      <c r="CKE18" s="13"/>
      <c r="CKF18" s="13"/>
      <c r="CKG18" s="13"/>
      <c r="CKH18" s="13"/>
      <c r="CKI18" s="13"/>
      <c r="CKJ18" s="13"/>
      <c r="CKK18" s="13"/>
      <c r="CKL18" s="13"/>
      <c r="CKM18" s="13"/>
      <c r="CKN18" s="13"/>
      <c r="CKO18" s="13"/>
      <c r="CKP18" s="13"/>
      <c r="CKQ18" s="13"/>
      <c r="CKR18" s="13"/>
      <c r="CKS18" s="13"/>
      <c r="CKT18" s="13"/>
      <c r="CKU18" s="13"/>
      <c r="CKV18" s="13"/>
      <c r="CKW18" s="13"/>
      <c r="CKX18" s="13"/>
      <c r="CKY18" s="13"/>
      <c r="CKZ18" s="13"/>
      <c r="CLA18" s="13"/>
      <c r="CLB18" s="13"/>
      <c r="CLC18" s="13"/>
      <c r="CLD18" s="13"/>
      <c r="CLE18" s="13"/>
      <c r="CLF18" s="13"/>
      <c r="CLG18" s="13"/>
      <c r="CLH18" s="13"/>
      <c r="CLI18" s="13"/>
      <c r="CLJ18" s="13"/>
      <c r="CLK18" s="13"/>
      <c r="CLL18" s="13"/>
      <c r="CLM18" s="13"/>
      <c r="CLN18" s="13"/>
      <c r="CLO18" s="13"/>
      <c r="CLP18" s="13"/>
      <c r="CLQ18" s="13"/>
      <c r="CLR18" s="13"/>
      <c r="CLS18" s="13"/>
      <c r="CLT18" s="13"/>
      <c r="CLU18" s="13"/>
      <c r="CLV18" s="13"/>
      <c r="CLW18" s="13"/>
      <c r="CLX18" s="13"/>
      <c r="CLY18" s="13"/>
      <c r="CLZ18" s="13"/>
      <c r="CMA18" s="13"/>
      <c r="CMB18" s="13"/>
      <c r="CMC18" s="13"/>
      <c r="CMD18" s="13"/>
      <c r="CME18" s="13"/>
      <c r="CMF18" s="13"/>
      <c r="CMG18" s="13"/>
      <c r="CMH18" s="13"/>
      <c r="CMI18" s="13"/>
      <c r="CMJ18" s="13"/>
      <c r="CMK18" s="13"/>
      <c r="CML18" s="13"/>
      <c r="CMM18" s="13"/>
      <c r="CMN18" s="13"/>
      <c r="CMO18" s="13"/>
      <c r="CMP18" s="13"/>
      <c r="CMQ18" s="13"/>
      <c r="CMR18" s="13"/>
      <c r="CMS18" s="13"/>
      <c r="CMT18" s="13"/>
      <c r="CMU18" s="13"/>
      <c r="CMV18" s="13"/>
      <c r="CMW18" s="13"/>
      <c r="CMX18" s="13"/>
      <c r="CMY18" s="13"/>
      <c r="CMZ18" s="13"/>
      <c r="CNA18" s="13"/>
      <c r="CNB18" s="13"/>
      <c r="CNC18" s="13"/>
      <c r="CND18" s="13"/>
      <c r="CNE18" s="13"/>
      <c r="CNF18" s="13"/>
      <c r="CNG18" s="13"/>
      <c r="CNH18" s="13"/>
      <c r="CNI18" s="13"/>
      <c r="CNJ18" s="13"/>
      <c r="CNK18" s="13"/>
      <c r="CNL18" s="13"/>
      <c r="CNM18" s="13"/>
      <c r="CNN18" s="13"/>
      <c r="CNO18" s="13"/>
      <c r="CNP18" s="13"/>
      <c r="CNQ18" s="13"/>
      <c r="CNR18" s="13"/>
      <c r="CNS18" s="13"/>
      <c r="CNT18" s="13"/>
      <c r="CNU18" s="13"/>
      <c r="CNV18" s="13"/>
      <c r="CNW18" s="13"/>
      <c r="CNX18" s="13"/>
      <c r="CNY18" s="13"/>
      <c r="CNZ18" s="13"/>
      <c r="COA18" s="13"/>
      <c r="COB18" s="13"/>
      <c r="COC18" s="13"/>
      <c r="COD18" s="13"/>
      <c r="COE18" s="13"/>
      <c r="COF18" s="13"/>
      <c r="COG18" s="13"/>
      <c r="COH18" s="13"/>
      <c r="COI18" s="13"/>
      <c r="COJ18" s="13"/>
      <c r="COK18" s="13"/>
      <c r="COL18" s="13"/>
      <c r="COM18" s="13"/>
      <c r="CON18" s="13"/>
      <c r="COO18" s="13"/>
      <c r="COP18" s="13"/>
      <c r="COQ18" s="13"/>
      <c r="COR18" s="13"/>
      <c r="COS18" s="13"/>
      <c r="COT18" s="13"/>
      <c r="COU18" s="13"/>
      <c r="COV18" s="13"/>
      <c r="COW18" s="13"/>
      <c r="COX18" s="13"/>
      <c r="COY18" s="13"/>
      <c r="COZ18" s="13"/>
      <c r="CPA18" s="13"/>
      <c r="CPB18" s="13"/>
      <c r="CPC18" s="13"/>
      <c r="CPD18" s="13"/>
      <c r="CPE18" s="13"/>
      <c r="CPF18" s="13"/>
      <c r="CPG18" s="13"/>
      <c r="CPH18" s="13"/>
      <c r="CPI18" s="13"/>
      <c r="CPJ18" s="13"/>
      <c r="CPK18" s="13"/>
      <c r="CPL18" s="13"/>
      <c r="CPM18" s="13"/>
      <c r="CPN18" s="13"/>
      <c r="CPO18" s="13"/>
      <c r="CPP18" s="13"/>
      <c r="CPQ18" s="13"/>
      <c r="CPR18" s="13"/>
      <c r="CPS18" s="13"/>
      <c r="CPT18" s="13"/>
      <c r="CPU18" s="13"/>
      <c r="CPV18" s="13"/>
      <c r="CPW18" s="13"/>
      <c r="CPX18" s="13"/>
      <c r="CPY18" s="13"/>
      <c r="CPZ18" s="13"/>
      <c r="CQA18" s="13"/>
      <c r="CQB18" s="13"/>
      <c r="CQC18" s="13"/>
      <c r="CQD18" s="13"/>
      <c r="CQE18" s="13"/>
      <c r="CQF18" s="13"/>
      <c r="CQG18" s="13"/>
      <c r="CQH18" s="13"/>
      <c r="CQI18" s="13"/>
      <c r="CQJ18" s="13"/>
      <c r="CQK18" s="13"/>
      <c r="CQL18" s="13"/>
      <c r="CQM18" s="13"/>
      <c r="CQN18" s="13"/>
      <c r="CQO18" s="13"/>
      <c r="CQP18" s="13"/>
      <c r="CQQ18" s="13"/>
      <c r="CQR18" s="13"/>
      <c r="CQS18" s="13"/>
      <c r="CQT18" s="13"/>
      <c r="CQU18" s="13"/>
      <c r="CQV18" s="13"/>
      <c r="CQW18" s="13"/>
      <c r="CQX18" s="13"/>
      <c r="CQY18" s="13"/>
      <c r="CQZ18" s="13"/>
      <c r="CRA18" s="13"/>
      <c r="CRB18" s="13"/>
      <c r="CRC18" s="13"/>
      <c r="CRD18" s="13"/>
      <c r="CRE18" s="13"/>
      <c r="CRF18" s="13"/>
      <c r="CRG18" s="13"/>
      <c r="CRH18" s="13"/>
      <c r="CRI18" s="13"/>
      <c r="CRJ18" s="13"/>
      <c r="CRK18" s="13"/>
      <c r="CRL18" s="13"/>
      <c r="CRM18" s="13"/>
      <c r="CRN18" s="13"/>
      <c r="CRO18" s="13"/>
      <c r="CRP18" s="13"/>
      <c r="CRQ18" s="13"/>
      <c r="CRR18" s="13"/>
      <c r="CRS18" s="13"/>
      <c r="CRT18" s="13"/>
      <c r="CRU18" s="13"/>
      <c r="CRV18" s="13"/>
      <c r="CRW18" s="13"/>
      <c r="CRX18" s="13"/>
      <c r="CRY18" s="13"/>
      <c r="CRZ18" s="13"/>
      <c r="CSA18" s="13"/>
      <c r="CSB18" s="13"/>
      <c r="CSC18" s="13"/>
      <c r="CSD18" s="13"/>
      <c r="CSE18" s="13"/>
      <c r="CSF18" s="13"/>
      <c r="CSG18" s="13"/>
      <c r="CSH18" s="13"/>
      <c r="CSI18" s="13"/>
      <c r="CSJ18" s="13"/>
      <c r="CSK18" s="13"/>
      <c r="CSL18" s="13"/>
      <c r="CSM18" s="13"/>
      <c r="CSN18" s="13"/>
      <c r="CSO18" s="13"/>
      <c r="CSP18" s="13"/>
      <c r="CSQ18" s="13"/>
      <c r="CSR18" s="13"/>
      <c r="CSS18" s="13"/>
      <c r="CST18" s="13"/>
      <c r="CSU18" s="13"/>
      <c r="CSV18" s="13"/>
      <c r="CSW18" s="13"/>
      <c r="CSX18" s="13"/>
      <c r="CSY18" s="13"/>
      <c r="CSZ18" s="13"/>
      <c r="CTA18" s="13"/>
      <c r="CTB18" s="13"/>
      <c r="CTC18" s="13"/>
      <c r="CTD18" s="13"/>
      <c r="CTE18" s="13"/>
      <c r="CTF18" s="13"/>
      <c r="CTG18" s="13"/>
      <c r="CTH18" s="13"/>
      <c r="CTI18" s="13"/>
      <c r="CTJ18" s="13"/>
      <c r="CTK18" s="13"/>
      <c r="CTL18" s="13"/>
      <c r="CTM18" s="13"/>
      <c r="CTN18" s="13"/>
      <c r="CTO18" s="13"/>
      <c r="CTP18" s="13"/>
      <c r="CTQ18" s="13"/>
      <c r="CTR18" s="13"/>
      <c r="CTS18" s="13"/>
      <c r="CTT18" s="13"/>
      <c r="CTU18" s="13"/>
      <c r="CTV18" s="13"/>
      <c r="CTW18" s="13"/>
      <c r="CTX18" s="13"/>
      <c r="CTY18" s="13"/>
      <c r="CTZ18" s="13"/>
      <c r="CUA18" s="13"/>
      <c r="CUB18" s="13"/>
      <c r="CUC18" s="13"/>
      <c r="CUD18" s="13"/>
      <c r="CUE18" s="13"/>
      <c r="CUF18" s="13"/>
      <c r="CUG18" s="13"/>
      <c r="CUH18" s="13"/>
      <c r="CUI18" s="13"/>
      <c r="CUJ18" s="13"/>
      <c r="CUK18" s="13"/>
      <c r="CUL18" s="13"/>
      <c r="CUM18" s="13"/>
      <c r="CUN18" s="13"/>
      <c r="CUO18" s="13"/>
      <c r="CUP18" s="13"/>
      <c r="CUQ18" s="13"/>
      <c r="CUR18" s="13"/>
      <c r="CUS18" s="13"/>
      <c r="CUT18" s="13"/>
      <c r="CUU18" s="13"/>
      <c r="CUV18" s="13"/>
      <c r="CUW18" s="13"/>
      <c r="CUX18" s="13"/>
      <c r="CUY18" s="13"/>
      <c r="CUZ18" s="13"/>
      <c r="CVA18" s="13"/>
      <c r="CVB18" s="13"/>
      <c r="CVC18" s="13"/>
      <c r="CVD18" s="13"/>
      <c r="CVE18" s="13"/>
      <c r="CVF18" s="13"/>
      <c r="CVG18" s="13"/>
      <c r="CVH18" s="13"/>
      <c r="CVI18" s="13"/>
      <c r="CVJ18" s="13"/>
      <c r="CVK18" s="13"/>
      <c r="CVL18" s="13"/>
      <c r="CVM18" s="13"/>
      <c r="CVN18" s="13"/>
      <c r="CVO18" s="13"/>
      <c r="CVP18" s="13"/>
      <c r="CVQ18" s="13"/>
      <c r="CVR18" s="13"/>
      <c r="CVS18" s="13"/>
      <c r="CVT18" s="13"/>
      <c r="CVU18" s="13"/>
      <c r="CVV18" s="13"/>
      <c r="CVW18" s="13"/>
      <c r="CVX18" s="13"/>
      <c r="CVY18" s="13"/>
      <c r="CVZ18" s="13"/>
      <c r="CWA18" s="13"/>
      <c r="CWB18" s="13"/>
      <c r="CWC18" s="13"/>
      <c r="CWD18" s="13"/>
      <c r="CWE18" s="13"/>
      <c r="CWF18" s="13"/>
      <c r="CWG18" s="13"/>
      <c r="CWH18" s="13"/>
      <c r="CWI18" s="13"/>
      <c r="CWJ18" s="13"/>
      <c r="CWK18" s="13"/>
      <c r="CWL18" s="13"/>
      <c r="CWM18" s="13"/>
      <c r="CWN18" s="13"/>
      <c r="CWO18" s="13"/>
      <c r="CWP18" s="13"/>
      <c r="CWQ18" s="13"/>
      <c r="CWR18" s="13"/>
      <c r="CWS18" s="13"/>
      <c r="CWT18" s="13"/>
      <c r="CWU18" s="13"/>
      <c r="CWV18" s="13"/>
      <c r="CWW18" s="13"/>
      <c r="CWX18" s="13"/>
      <c r="CWY18" s="13"/>
      <c r="CWZ18" s="13"/>
      <c r="CXA18" s="13"/>
      <c r="CXB18" s="13"/>
      <c r="CXC18" s="13"/>
      <c r="CXD18" s="13"/>
      <c r="CXE18" s="13"/>
      <c r="CXF18" s="13"/>
      <c r="CXG18" s="13"/>
      <c r="CXH18" s="13"/>
      <c r="CXI18" s="13"/>
      <c r="CXJ18" s="13"/>
      <c r="CXK18" s="13"/>
      <c r="CXL18" s="13"/>
      <c r="CXM18" s="13"/>
      <c r="CXN18" s="13"/>
      <c r="CXO18" s="13"/>
      <c r="CXP18" s="13"/>
      <c r="CXQ18" s="13"/>
      <c r="CXR18" s="13"/>
      <c r="CXS18" s="13"/>
      <c r="CXT18" s="13"/>
      <c r="CXU18" s="13"/>
      <c r="CXV18" s="13"/>
      <c r="CXW18" s="13"/>
      <c r="CXX18" s="13"/>
      <c r="CXY18" s="13"/>
      <c r="CXZ18" s="13"/>
      <c r="CYA18" s="13"/>
      <c r="CYB18" s="13"/>
      <c r="CYC18" s="13"/>
      <c r="CYD18" s="13"/>
      <c r="CYE18" s="13"/>
      <c r="CYF18" s="13"/>
      <c r="CYG18" s="13"/>
      <c r="CYH18" s="13"/>
      <c r="CYI18" s="13"/>
      <c r="CYJ18" s="13"/>
      <c r="CYK18" s="13"/>
      <c r="CYL18" s="13"/>
      <c r="CYM18" s="13"/>
      <c r="CYN18" s="13"/>
      <c r="CYO18" s="13"/>
      <c r="CYP18" s="13"/>
      <c r="CYQ18" s="13"/>
      <c r="CYR18" s="13"/>
      <c r="CYS18" s="13"/>
      <c r="CYT18" s="13"/>
      <c r="CYU18" s="13"/>
      <c r="CYV18" s="13"/>
      <c r="CYW18" s="13"/>
      <c r="CYX18" s="13"/>
      <c r="CYY18" s="13"/>
      <c r="CYZ18" s="13"/>
      <c r="CZA18" s="13"/>
      <c r="CZB18" s="13"/>
      <c r="CZC18" s="13"/>
      <c r="CZD18" s="13"/>
      <c r="CZE18" s="13"/>
      <c r="CZF18" s="13"/>
      <c r="CZG18" s="13"/>
      <c r="CZH18" s="13"/>
      <c r="CZI18" s="13"/>
      <c r="CZJ18" s="13"/>
      <c r="CZK18" s="13"/>
      <c r="CZL18" s="13"/>
      <c r="CZM18" s="13"/>
      <c r="CZN18" s="13"/>
      <c r="CZO18" s="13"/>
      <c r="CZP18" s="13"/>
      <c r="CZQ18" s="13"/>
      <c r="CZR18" s="13"/>
      <c r="CZS18" s="13"/>
      <c r="CZT18" s="13"/>
      <c r="CZU18" s="13"/>
      <c r="CZV18" s="13"/>
      <c r="CZW18" s="13"/>
      <c r="CZX18" s="13"/>
      <c r="CZY18" s="13"/>
      <c r="CZZ18" s="13"/>
      <c r="DAA18" s="13"/>
      <c r="DAB18" s="13"/>
      <c r="DAC18" s="13"/>
      <c r="DAD18" s="13"/>
      <c r="DAE18" s="13"/>
      <c r="DAF18" s="13"/>
      <c r="DAG18" s="13"/>
      <c r="DAH18" s="13"/>
      <c r="DAI18" s="13"/>
      <c r="DAJ18" s="13"/>
      <c r="DAK18" s="13"/>
      <c r="DAL18" s="13"/>
      <c r="DAM18" s="13"/>
      <c r="DAN18" s="13"/>
      <c r="DAO18" s="13"/>
      <c r="DAP18" s="13"/>
      <c r="DAQ18" s="13"/>
      <c r="DAR18" s="13"/>
      <c r="DAS18" s="13"/>
      <c r="DAT18" s="13"/>
      <c r="DAU18" s="13"/>
      <c r="DAV18" s="13"/>
      <c r="DAW18" s="13"/>
      <c r="DAX18" s="13"/>
      <c r="DAY18" s="13"/>
      <c r="DAZ18" s="13"/>
      <c r="DBA18" s="13"/>
      <c r="DBB18" s="13"/>
      <c r="DBC18" s="13"/>
      <c r="DBD18" s="13"/>
      <c r="DBE18" s="13"/>
      <c r="DBF18" s="13"/>
      <c r="DBG18" s="13"/>
      <c r="DBH18" s="13"/>
      <c r="DBI18" s="13"/>
      <c r="DBJ18" s="13"/>
      <c r="DBK18" s="13"/>
      <c r="DBL18" s="13"/>
      <c r="DBM18" s="13"/>
      <c r="DBN18" s="13"/>
      <c r="DBO18" s="13"/>
      <c r="DBP18" s="13"/>
      <c r="DBQ18" s="13"/>
      <c r="DBR18" s="13"/>
      <c r="DBS18" s="13"/>
      <c r="DBT18" s="13"/>
      <c r="DBU18" s="13"/>
      <c r="DBV18" s="13"/>
      <c r="DBW18" s="13"/>
      <c r="DBX18" s="13"/>
      <c r="DBY18" s="13"/>
      <c r="DBZ18" s="13"/>
      <c r="DCA18" s="13"/>
      <c r="DCB18" s="13"/>
      <c r="DCC18" s="13"/>
      <c r="DCD18" s="13"/>
      <c r="DCE18" s="13"/>
      <c r="DCF18" s="13"/>
      <c r="DCG18" s="13"/>
      <c r="DCH18" s="13"/>
      <c r="DCI18" s="13"/>
      <c r="DCJ18" s="13"/>
      <c r="DCK18" s="13"/>
      <c r="DCL18" s="13"/>
      <c r="DCM18" s="13"/>
      <c r="DCN18" s="13"/>
      <c r="DCO18" s="13"/>
      <c r="DCP18" s="13"/>
      <c r="DCQ18" s="13"/>
      <c r="DCR18" s="13"/>
      <c r="DCS18" s="13"/>
      <c r="DCT18" s="13"/>
      <c r="DCU18" s="13"/>
      <c r="DCV18" s="13"/>
      <c r="DCW18" s="13"/>
      <c r="DCX18" s="13"/>
      <c r="DCY18" s="13"/>
      <c r="DCZ18" s="13"/>
      <c r="DDA18" s="13"/>
      <c r="DDB18" s="13"/>
      <c r="DDC18" s="13"/>
      <c r="DDD18" s="13"/>
      <c r="DDE18" s="13"/>
      <c r="DDF18" s="13"/>
      <c r="DDG18" s="13"/>
      <c r="DDH18" s="13"/>
      <c r="DDI18" s="13"/>
      <c r="DDJ18" s="13"/>
      <c r="DDK18" s="13"/>
      <c r="DDL18" s="13"/>
      <c r="DDM18" s="13"/>
      <c r="DDN18" s="13"/>
      <c r="DDO18" s="13"/>
      <c r="DDP18" s="13"/>
      <c r="DDQ18" s="13"/>
      <c r="DDR18" s="13"/>
      <c r="DDS18" s="13"/>
      <c r="DDT18" s="13"/>
      <c r="DDU18" s="13"/>
      <c r="DDV18" s="13"/>
      <c r="DDW18" s="13"/>
      <c r="DDX18" s="13"/>
      <c r="DDY18" s="13"/>
      <c r="DDZ18" s="13"/>
      <c r="DEA18" s="13"/>
      <c r="DEB18" s="13"/>
      <c r="DEC18" s="13"/>
      <c r="DED18" s="13"/>
      <c r="DEE18" s="13"/>
      <c r="DEF18" s="13"/>
      <c r="DEG18" s="13"/>
      <c r="DEH18" s="13"/>
      <c r="DEI18" s="13"/>
      <c r="DEJ18" s="13"/>
      <c r="DEK18" s="13"/>
      <c r="DEL18" s="13"/>
      <c r="DEM18" s="13"/>
      <c r="DEN18" s="13"/>
      <c r="DEO18" s="13"/>
      <c r="DEP18" s="13"/>
      <c r="DEQ18" s="13"/>
      <c r="DER18" s="13"/>
      <c r="DES18" s="13"/>
      <c r="DET18" s="13"/>
      <c r="DEU18" s="13"/>
      <c r="DEV18" s="13"/>
      <c r="DEW18" s="13"/>
      <c r="DEX18" s="13"/>
      <c r="DEY18" s="13"/>
      <c r="DEZ18" s="13"/>
      <c r="DFA18" s="13"/>
      <c r="DFB18" s="13"/>
      <c r="DFC18" s="13"/>
      <c r="DFD18" s="13"/>
      <c r="DFE18" s="13"/>
      <c r="DFF18" s="13"/>
      <c r="DFG18" s="13"/>
      <c r="DFH18" s="13"/>
      <c r="DFI18" s="13"/>
      <c r="DFJ18" s="13"/>
      <c r="DFK18" s="13"/>
      <c r="DFL18" s="13"/>
      <c r="DFM18" s="13"/>
      <c r="DFN18" s="13"/>
      <c r="DFO18" s="13"/>
      <c r="DFP18" s="13"/>
      <c r="DFQ18" s="13"/>
      <c r="DFR18" s="13"/>
      <c r="DFS18" s="13"/>
      <c r="DFT18" s="13"/>
      <c r="DFU18" s="13"/>
      <c r="DFV18" s="13"/>
      <c r="DFW18" s="13"/>
      <c r="DFX18" s="13"/>
      <c r="DFY18" s="13"/>
      <c r="DFZ18" s="13"/>
      <c r="DGA18" s="13"/>
      <c r="DGB18" s="13"/>
      <c r="DGC18" s="13"/>
      <c r="DGD18" s="13"/>
      <c r="DGE18" s="13"/>
      <c r="DGF18" s="13"/>
      <c r="DGG18" s="13"/>
      <c r="DGH18" s="13"/>
      <c r="DGI18" s="13"/>
      <c r="DGJ18" s="13"/>
      <c r="DGK18" s="13"/>
      <c r="DGL18" s="13"/>
      <c r="DGM18" s="13"/>
      <c r="DGN18" s="13"/>
      <c r="DGO18" s="13"/>
      <c r="DGP18" s="13"/>
      <c r="DGQ18" s="13"/>
      <c r="DGR18" s="13"/>
      <c r="DGS18" s="13"/>
      <c r="DGT18" s="13"/>
      <c r="DGU18" s="13"/>
      <c r="DGV18" s="13"/>
      <c r="DGW18" s="13"/>
      <c r="DGX18" s="13"/>
      <c r="DGY18" s="13"/>
      <c r="DGZ18" s="13"/>
      <c r="DHA18" s="13"/>
      <c r="DHB18" s="13"/>
      <c r="DHC18" s="13"/>
      <c r="DHD18" s="13"/>
      <c r="DHE18" s="13"/>
      <c r="DHF18" s="13"/>
      <c r="DHG18" s="13"/>
      <c r="DHH18" s="13"/>
      <c r="DHI18" s="13"/>
      <c r="DHJ18" s="13"/>
      <c r="DHK18" s="13"/>
      <c r="DHL18" s="13"/>
      <c r="DHM18" s="13"/>
      <c r="DHN18" s="13"/>
      <c r="DHO18" s="13"/>
      <c r="DHP18" s="13"/>
      <c r="DHQ18" s="13"/>
      <c r="DHR18" s="13"/>
      <c r="DHS18" s="13"/>
      <c r="DHT18" s="13"/>
      <c r="DHU18" s="13"/>
      <c r="DHV18" s="13"/>
      <c r="DHW18" s="13"/>
      <c r="DHX18" s="13"/>
      <c r="DHY18" s="13"/>
      <c r="DHZ18" s="13"/>
      <c r="DIA18" s="13"/>
      <c r="DIB18" s="13"/>
      <c r="DIC18" s="13"/>
      <c r="DID18" s="13"/>
      <c r="DIE18" s="13"/>
      <c r="DIF18" s="13"/>
      <c r="DIG18" s="13"/>
      <c r="DIH18" s="13"/>
      <c r="DII18" s="13"/>
      <c r="DIJ18" s="13"/>
      <c r="DIK18" s="13"/>
      <c r="DIL18" s="13"/>
      <c r="DIM18" s="13"/>
      <c r="DIN18" s="13"/>
      <c r="DIO18" s="13"/>
      <c r="DIP18" s="13"/>
      <c r="DIQ18" s="13"/>
      <c r="DIR18" s="13"/>
      <c r="DIS18" s="13"/>
      <c r="DIT18" s="13"/>
      <c r="DIU18" s="13"/>
      <c r="DIV18" s="13"/>
      <c r="DIW18" s="13"/>
      <c r="DIX18" s="13"/>
      <c r="DIY18" s="13"/>
      <c r="DIZ18" s="13"/>
      <c r="DJA18" s="13"/>
      <c r="DJB18" s="13"/>
      <c r="DJC18" s="13"/>
      <c r="DJD18" s="13"/>
      <c r="DJE18" s="13"/>
      <c r="DJF18" s="13"/>
      <c r="DJG18" s="13"/>
      <c r="DJH18" s="13"/>
      <c r="DJI18" s="13"/>
      <c r="DJJ18" s="13"/>
      <c r="DJK18" s="13"/>
      <c r="DJL18" s="13"/>
      <c r="DJM18" s="13"/>
      <c r="DJN18" s="13"/>
      <c r="DJO18" s="13"/>
      <c r="DJP18" s="13"/>
      <c r="DJQ18" s="13"/>
      <c r="DJR18" s="13"/>
      <c r="DJS18" s="13"/>
      <c r="DJT18" s="13"/>
      <c r="DJU18" s="13"/>
      <c r="DJV18" s="13"/>
      <c r="DJW18" s="13"/>
      <c r="DJX18" s="13"/>
      <c r="DJY18" s="13"/>
      <c r="DJZ18" s="13"/>
      <c r="DKA18" s="13"/>
      <c r="DKB18" s="13"/>
      <c r="DKC18" s="13"/>
      <c r="DKD18" s="13"/>
      <c r="DKE18" s="13"/>
      <c r="DKF18" s="13"/>
      <c r="DKG18" s="13"/>
      <c r="DKH18" s="13"/>
      <c r="DKI18" s="13"/>
      <c r="DKJ18" s="13"/>
      <c r="DKK18" s="13"/>
      <c r="DKL18" s="13"/>
      <c r="DKM18" s="13"/>
      <c r="DKN18" s="13"/>
      <c r="DKO18" s="13"/>
      <c r="DKP18" s="13"/>
      <c r="DKQ18" s="13"/>
      <c r="DKR18" s="13"/>
      <c r="DKS18" s="13"/>
      <c r="DKT18" s="13"/>
      <c r="DKU18" s="13"/>
      <c r="DKV18" s="13"/>
      <c r="DKW18" s="13"/>
      <c r="DKX18" s="13"/>
      <c r="DKY18" s="13"/>
      <c r="DKZ18" s="13"/>
      <c r="DLA18" s="13"/>
      <c r="DLB18" s="13"/>
      <c r="DLC18" s="13"/>
      <c r="DLD18" s="13"/>
      <c r="DLE18" s="13"/>
      <c r="DLF18" s="13"/>
      <c r="DLG18" s="13"/>
      <c r="DLH18" s="13"/>
      <c r="DLI18" s="13"/>
      <c r="DLJ18" s="13"/>
      <c r="DLK18" s="13"/>
      <c r="DLL18" s="13"/>
      <c r="DLM18" s="13"/>
      <c r="DLN18" s="13"/>
      <c r="DLO18" s="13"/>
      <c r="DLP18" s="13"/>
      <c r="DLQ18" s="13"/>
      <c r="DLR18" s="13"/>
      <c r="DLS18" s="13"/>
      <c r="DLT18" s="13"/>
      <c r="DLU18" s="13"/>
      <c r="DLV18" s="13"/>
      <c r="DLW18" s="13"/>
      <c r="DLX18" s="13"/>
      <c r="DLY18" s="13"/>
      <c r="DLZ18" s="13"/>
      <c r="DMA18" s="13"/>
      <c r="DMB18" s="13"/>
      <c r="DMC18" s="13"/>
      <c r="DMD18" s="13"/>
      <c r="DME18" s="13"/>
      <c r="DMF18" s="13"/>
      <c r="DMG18" s="13"/>
      <c r="DMH18" s="13"/>
      <c r="DMI18" s="13"/>
      <c r="DMJ18" s="13"/>
      <c r="DMK18" s="13"/>
      <c r="DML18" s="13"/>
      <c r="DMM18" s="13"/>
      <c r="DMN18" s="13"/>
      <c r="DMO18" s="13"/>
      <c r="DMP18" s="13"/>
      <c r="DMQ18" s="13"/>
      <c r="DMR18" s="13"/>
      <c r="DMS18" s="13"/>
      <c r="DMT18" s="13"/>
      <c r="DMU18" s="13"/>
      <c r="DMV18" s="13"/>
      <c r="DMW18" s="13"/>
      <c r="DMX18" s="13"/>
      <c r="DMY18" s="13"/>
      <c r="DMZ18" s="13"/>
      <c r="DNA18" s="13"/>
      <c r="DNB18" s="13"/>
      <c r="DNC18" s="13"/>
      <c r="DND18" s="13"/>
      <c r="DNE18" s="13"/>
      <c r="DNF18" s="13"/>
      <c r="DNG18" s="13"/>
      <c r="DNH18" s="13"/>
      <c r="DNI18" s="13"/>
      <c r="DNJ18" s="13"/>
      <c r="DNK18" s="13"/>
      <c r="DNL18" s="13"/>
      <c r="DNM18" s="13"/>
      <c r="DNN18" s="13"/>
      <c r="DNO18" s="13"/>
      <c r="DNP18" s="13"/>
      <c r="DNQ18" s="13"/>
      <c r="DNR18" s="13"/>
      <c r="DNS18" s="13"/>
      <c r="DNT18" s="13"/>
      <c r="DNU18" s="13"/>
      <c r="DNV18" s="13"/>
      <c r="DNW18" s="13"/>
      <c r="DNX18" s="13"/>
      <c r="DNY18" s="13"/>
      <c r="DNZ18" s="13"/>
      <c r="DOA18" s="13"/>
      <c r="DOB18" s="13"/>
      <c r="DOC18" s="13"/>
      <c r="DOD18" s="13"/>
      <c r="DOE18" s="13"/>
      <c r="DOF18" s="13"/>
      <c r="DOG18" s="13"/>
      <c r="DOH18" s="13"/>
      <c r="DOI18" s="13"/>
      <c r="DOJ18" s="13"/>
      <c r="DOK18" s="13"/>
      <c r="DOL18" s="13"/>
      <c r="DOM18" s="13"/>
      <c r="DON18" s="13"/>
      <c r="DOO18" s="13"/>
      <c r="DOP18" s="13"/>
      <c r="DOQ18" s="13"/>
      <c r="DOR18" s="13"/>
      <c r="DOS18" s="13"/>
      <c r="DOT18" s="13"/>
      <c r="DOU18" s="13"/>
      <c r="DOV18" s="13"/>
      <c r="DOW18" s="13"/>
      <c r="DOX18" s="13"/>
      <c r="DOY18" s="13"/>
      <c r="DOZ18" s="13"/>
      <c r="DPA18" s="13"/>
      <c r="DPB18" s="13"/>
      <c r="DPC18" s="13"/>
      <c r="DPD18" s="13"/>
      <c r="DPE18" s="13"/>
      <c r="DPF18" s="13"/>
      <c r="DPG18" s="13"/>
      <c r="DPH18" s="13"/>
      <c r="DPI18" s="13"/>
      <c r="DPJ18" s="13"/>
      <c r="DPK18" s="13"/>
      <c r="DPL18" s="13"/>
      <c r="DPM18" s="13"/>
      <c r="DPN18" s="13"/>
      <c r="DPO18" s="13"/>
      <c r="DPP18" s="13"/>
      <c r="DPQ18" s="13"/>
      <c r="DPR18" s="13"/>
      <c r="DPS18" s="13"/>
      <c r="DPT18" s="13"/>
      <c r="DPU18" s="13"/>
      <c r="DPV18" s="13"/>
      <c r="DPW18" s="13"/>
      <c r="DPX18" s="13"/>
      <c r="DPY18" s="13"/>
      <c r="DPZ18" s="13"/>
      <c r="DQA18" s="13"/>
      <c r="DQB18" s="13"/>
      <c r="DQC18" s="13"/>
      <c r="DQD18" s="13"/>
      <c r="DQE18" s="13"/>
      <c r="DQF18" s="13"/>
      <c r="DQG18" s="13"/>
      <c r="DQH18" s="13"/>
      <c r="DQI18" s="13"/>
      <c r="DQJ18" s="13"/>
      <c r="DQK18" s="13"/>
      <c r="DQL18" s="13"/>
      <c r="DQM18" s="13"/>
      <c r="DQN18" s="13"/>
      <c r="DQO18" s="13"/>
      <c r="DQP18" s="13"/>
      <c r="DQQ18" s="13"/>
      <c r="DQR18" s="13"/>
      <c r="DQS18" s="13"/>
      <c r="DQT18" s="13"/>
      <c r="DQU18" s="13"/>
      <c r="DQV18" s="13"/>
      <c r="DQW18" s="13"/>
      <c r="DQX18" s="13"/>
      <c r="DQY18" s="13"/>
      <c r="DQZ18" s="13"/>
      <c r="DRA18" s="13"/>
      <c r="DRB18" s="13"/>
      <c r="DRC18" s="13"/>
      <c r="DRD18" s="13"/>
      <c r="DRE18" s="13"/>
      <c r="DRF18" s="13"/>
      <c r="DRG18" s="13"/>
      <c r="DRH18" s="13"/>
      <c r="DRI18" s="13"/>
      <c r="DRJ18" s="13"/>
      <c r="DRK18" s="13"/>
      <c r="DRL18" s="13"/>
      <c r="DRM18" s="13"/>
      <c r="DRN18" s="13"/>
      <c r="DRO18" s="13"/>
      <c r="DRP18" s="13"/>
      <c r="DRQ18" s="13"/>
      <c r="DRR18" s="13"/>
      <c r="DRS18" s="13"/>
      <c r="DRT18" s="13"/>
      <c r="DRU18" s="13"/>
      <c r="DRV18" s="13"/>
      <c r="DRW18" s="13"/>
      <c r="DRX18" s="13"/>
      <c r="DRY18" s="13"/>
      <c r="DRZ18" s="13"/>
      <c r="DSA18" s="13"/>
      <c r="DSB18" s="13"/>
      <c r="DSC18" s="13"/>
      <c r="DSD18" s="13"/>
      <c r="DSE18" s="13"/>
      <c r="DSF18" s="13"/>
      <c r="DSG18" s="13"/>
      <c r="DSH18" s="13"/>
      <c r="DSI18" s="13"/>
      <c r="DSJ18" s="13"/>
      <c r="DSK18" s="13"/>
      <c r="DSL18" s="13"/>
      <c r="DSM18" s="13"/>
      <c r="DSN18" s="13"/>
      <c r="DSO18" s="13"/>
      <c r="DSP18" s="13"/>
      <c r="DSQ18" s="13"/>
      <c r="DSR18" s="13"/>
      <c r="DSS18" s="13"/>
      <c r="DST18" s="13"/>
      <c r="DSU18" s="13"/>
      <c r="DSV18" s="13"/>
      <c r="DSW18" s="13"/>
      <c r="DSX18" s="13"/>
      <c r="DSY18" s="13"/>
      <c r="DSZ18" s="13"/>
      <c r="DTA18" s="13"/>
      <c r="DTB18" s="13"/>
      <c r="DTC18" s="13"/>
      <c r="DTD18" s="13"/>
      <c r="DTE18" s="13"/>
      <c r="DTF18" s="13"/>
      <c r="DTG18" s="13"/>
      <c r="DTH18" s="13"/>
      <c r="DTI18" s="13"/>
      <c r="DTJ18" s="13"/>
      <c r="DTK18" s="13"/>
      <c r="DTL18" s="13"/>
      <c r="DTM18" s="13"/>
      <c r="DTN18" s="13"/>
      <c r="DTO18" s="13"/>
      <c r="DTP18" s="13"/>
      <c r="DTQ18" s="13"/>
      <c r="DTR18" s="13"/>
      <c r="DTS18" s="13"/>
      <c r="DTT18" s="13"/>
      <c r="DTU18" s="13"/>
      <c r="DTV18" s="13"/>
      <c r="DTW18" s="13"/>
      <c r="DTX18" s="13"/>
      <c r="DTY18" s="13"/>
      <c r="DTZ18" s="13"/>
      <c r="DUA18" s="13"/>
      <c r="DUB18" s="13"/>
      <c r="DUC18" s="13"/>
      <c r="DUD18" s="13"/>
      <c r="DUE18" s="13"/>
      <c r="DUF18" s="13"/>
      <c r="DUG18" s="13"/>
      <c r="DUH18" s="13"/>
      <c r="DUI18" s="13"/>
      <c r="DUJ18" s="13"/>
      <c r="DUK18" s="13"/>
      <c r="DUL18" s="13"/>
      <c r="DUM18" s="13"/>
      <c r="DUN18" s="13"/>
      <c r="DUO18" s="13"/>
      <c r="DUP18" s="13"/>
      <c r="DUQ18" s="13"/>
      <c r="DUR18" s="13"/>
      <c r="DUS18" s="13"/>
      <c r="DUT18" s="13"/>
      <c r="DUU18" s="13"/>
      <c r="DUV18" s="13"/>
      <c r="DUW18" s="13"/>
      <c r="DUX18" s="13"/>
      <c r="DUY18" s="13"/>
      <c r="DUZ18" s="13"/>
      <c r="DVA18" s="13"/>
      <c r="DVB18" s="13"/>
      <c r="DVC18" s="13"/>
      <c r="DVD18" s="13"/>
      <c r="DVE18" s="13"/>
      <c r="DVF18" s="13"/>
      <c r="DVG18" s="13"/>
      <c r="DVH18" s="13"/>
      <c r="DVI18" s="13"/>
      <c r="DVJ18" s="13"/>
      <c r="DVK18" s="13"/>
      <c r="DVL18" s="13"/>
      <c r="DVM18" s="13"/>
      <c r="DVN18" s="13"/>
      <c r="DVO18" s="13"/>
      <c r="DVP18" s="13"/>
      <c r="DVQ18" s="13"/>
      <c r="DVR18" s="13"/>
      <c r="DVS18" s="13"/>
      <c r="DVT18" s="13"/>
      <c r="DVU18" s="13"/>
      <c r="DVV18" s="13"/>
      <c r="DVW18" s="13"/>
      <c r="DVX18" s="13"/>
      <c r="DVY18" s="13"/>
      <c r="DVZ18" s="13"/>
      <c r="DWA18" s="13"/>
      <c r="DWB18" s="13"/>
      <c r="DWC18" s="13"/>
      <c r="DWD18" s="13"/>
      <c r="DWE18" s="13"/>
      <c r="DWF18" s="13"/>
      <c r="DWG18" s="13"/>
      <c r="DWH18" s="13"/>
      <c r="DWI18" s="13"/>
      <c r="DWJ18" s="13"/>
      <c r="DWK18" s="13"/>
      <c r="DWL18" s="13"/>
      <c r="DWM18" s="13"/>
      <c r="DWN18" s="13"/>
      <c r="DWO18" s="13"/>
      <c r="DWP18" s="13"/>
      <c r="DWQ18" s="13"/>
      <c r="DWR18" s="13"/>
      <c r="DWS18" s="13"/>
      <c r="DWT18" s="13"/>
      <c r="DWU18" s="13"/>
      <c r="DWV18" s="13"/>
      <c r="DWW18" s="13"/>
      <c r="DWX18" s="13"/>
      <c r="DWY18" s="13"/>
      <c r="DWZ18" s="13"/>
      <c r="DXA18" s="13"/>
      <c r="DXB18" s="13"/>
      <c r="DXC18" s="13"/>
      <c r="DXD18" s="13"/>
      <c r="DXE18" s="13"/>
      <c r="DXF18" s="13"/>
      <c r="DXG18" s="13"/>
      <c r="DXH18" s="13"/>
      <c r="DXI18" s="13"/>
      <c r="DXJ18" s="13"/>
      <c r="DXK18" s="13"/>
      <c r="DXL18" s="13"/>
      <c r="DXM18" s="13"/>
      <c r="DXN18" s="13"/>
      <c r="DXO18" s="13"/>
      <c r="DXP18" s="13"/>
      <c r="DXQ18" s="13"/>
      <c r="DXR18" s="13"/>
      <c r="DXS18" s="13"/>
      <c r="DXT18" s="13"/>
      <c r="DXU18" s="13"/>
      <c r="DXV18" s="13"/>
      <c r="DXW18" s="13"/>
      <c r="DXX18" s="13"/>
      <c r="DXY18" s="13"/>
      <c r="DXZ18" s="13"/>
      <c r="DYA18" s="13"/>
      <c r="DYB18" s="13"/>
      <c r="DYC18" s="13"/>
      <c r="DYD18" s="13"/>
      <c r="DYE18" s="13"/>
      <c r="DYF18" s="13"/>
      <c r="DYG18" s="13"/>
      <c r="DYH18" s="13"/>
      <c r="DYI18" s="13"/>
      <c r="DYJ18" s="13"/>
      <c r="DYK18" s="13"/>
      <c r="DYL18" s="13"/>
      <c r="DYM18" s="13"/>
      <c r="DYN18" s="13"/>
      <c r="DYO18" s="13"/>
      <c r="DYP18" s="13"/>
      <c r="DYQ18" s="13"/>
      <c r="DYR18" s="13"/>
      <c r="DYS18" s="13"/>
      <c r="DYT18" s="13"/>
      <c r="DYU18" s="13"/>
      <c r="DYV18" s="13"/>
      <c r="DYW18" s="13"/>
      <c r="DYX18" s="13"/>
      <c r="DYY18" s="13"/>
      <c r="DYZ18" s="13"/>
      <c r="DZA18" s="13"/>
      <c r="DZB18" s="13"/>
      <c r="DZC18" s="13"/>
      <c r="DZD18" s="13"/>
      <c r="DZE18" s="13"/>
      <c r="DZF18" s="13"/>
      <c r="DZG18" s="13"/>
      <c r="DZH18" s="13"/>
      <c r="DZI18" s="13"/>
      <c r="DZJ18" s="13"/>
      <c r="DZK18" s="13"/>
      <c r="DZL18" s="13"/>
      <c r="DZM18" s="13"/>
      <c r="DZN18" s="13"/>
      <c r="DZO18" s="13"/>
      <c r="DZP18" s="13"/>
      <c r="DZQ18" s="13"/>
      <c r="DZR18" s="13"/>
      <c r="DZS18" s="13"/>
      <c r="DZT18" s="13"/>
      <c r="DZU18" s="13"/>
      <c r="DZV18" s="13"/>
      <c r="DZW18" s="13"/>
      <c r="DZX18" s="13"/>
      <c r="DZY18" s="13"/>
      <c r="DZZ18" s="13"/>
      <c r="EAA18" s="13"/>
      <c r="EAB18" s="13"/>
      <c r="EAC18" s="13"/>
      <c r="EAD18" s="13"/>
      <c r="EAE18" s="13"/>
      <c r="EAF18" s="13"/>
      <c r="EAG18" s="13"/>
      <c r="EAH18" s="13"/>
      <c r="EAI18" s="13"/>
      <c r="EAJ18" s="13"/>
      <c r="EAK18" s="13"/>
      <c r="EAL18" s="13"/>
      <c r="EAM18" s="13"/>
      <c r="EAN18" s="13"/>
      <c r="EAO18" s="13"/>
      <c r="EAP18" s="13"/>
      <c r="EAQ18" s="13"/>
      <c r="EAR18" s="13"/>
      <c r="EAS18" s="13"/>
      <c r="EAT18" s="13"/>
      <c r="EAU18" s="13"/>
      <c r="EAV18" s="13"/>
      <c r="EAW18" s="13"/>
      <c r="EAX18" s="13"/>
      <c r="EAY18" s="13"/>
      <c r="EAZ18" s="13"/>
      <c r="EBA18" s="13"/>
      <c r="EBB18" s="13"/>
      <c r="EBC18" s="13"/>
      <c r="EBD18" s="13"/>
      <c r="EBE18" s="13"/>
      <c r="EBF18" s="13"/>
      <c r="EBG18" s="13"/>
      <c r="EBH18" s="13"/>
      <c r="EBI18" s="13"/>
      <c r="EBJ18" s="13"/>
      <c r="EBK18" s="13"/>
      <c r="EBL18" s="13"/>
      <c r="EBM18" s="13"/>
      <c r="EBN18" s="13"/>
      <c r="EBO18" s="13"/>
      <c r="EBP18" s="13"/>
      <c r="EBQ18" s="13"/>
      <c r="EBR18" s="13"/>
      <c r="EBS18" s="13"/>
      <c r="EBT18" s="13"/>
      <c r="EBU18" s="13"/>
      <c r="EBV18" s="13"/>
      <c r="EBW18" s="13"/>
      <c r="EBX18" s="13"/>
      <c r="EBY18" s="13"/>
      <c r="EBZ18" s="13"/>
      <c r="ECA18" s="13"/>
      <c r="ECB18" s="13"/>
      <c r="ECC18" s="13"/>
      <c r="ECD18" s="13"/>
      <c r="ECE18" s="13"/>
      <c r="ECF18" s="13"/>
      <c r="ECG18" s="13"/>
      <c r="ECH18" s="13"/>
      <c r="ECI18" s="13"/>
      <c r="ECJ18" s="13"/>
      <c r="ECK18" s="13"/>
      <c r="ECL18" s="13"/>
      <c r="ECM18" s="13"/>
      <c r="ECN18" s="13"/>
      <c r="ECO18" s="13"/>
      <c r="ECP18" s="13"/>
      <c r="ECQ18" s="13"/>
      <c r="ECR18" s="13"/>
      <c r="ECS18" s="13"/>
      <c r="ECT18" s="13"/>
      <c r="ECU18" s="13"/>
      <c r="ECV18" s="13"/>
      <c r="ECW18" s="13"/>
      <c r="ECX18" s="13"/>
      <c r="ECY18" s="13"/>
      <c r="ECZ18" s="13"/>
      <c r="EDA18" s="13"/>
      <c r="EDB18" s="13"/>
      <c r="EDC18" s="13"/>
      <c r="EDD18" s="13"/>
      <c r="EDE18" s="13"/>
      <c r="EDF18" s="13"/>
      <c r="EDG18" s="13"/>
      <c r="EDH18" s="13"/>
      <c r="EDI18" s="13"/>
      <c r="EDJ18" s="13"/>
      <c r="EDK18" s="13"/>
      <c r="EDL18" s="13"/>
      <c r="EDM18" s="13"/>
      <c r="EDN18" s="13"/>
      <c r="EDO18" s="13"/>
      <c r="EDP18" s="13"/>
      <c r="EDQ18" s="13"/>
      <c r="EDR18" s="13"/>
      <c r="EDS18" s="13"/>
      <c r="EDT18" s="13"/>
      <c r="EDU18" s="13"/>
      <c r="EDV18" s="13"/>
      <c r="EDW18" s="13"/>
      <c r="EDX18" s="13"/>
      <c r="EDY18" s="13"/>
      <c r="EDZ18" s="13"/>
      <c r="EEA18" s="13"/>
      <c r="EEB18" s="13"/>
      <c r="EEC18" s="13"/>
      <c r="EED18" s="13"/>
      <c r="EEE18" s="13"/>
      <c r="EEF18" s="13"/>
      <c r="EEG18" s="13"/>
      <c r="EEH18" s="13"/>
      <c r="EEI18" s="13"/>
      <c r="EEJ18" s="13"/>
      <c r="EEK18" s="13"/>
      <c r="EEL18" s="13"/>
      <c r="EEM18" s="13"/>
      <c r="EEN18" s="13"/>
      <c r="EEO18" s="13"/>
      <c r="EEP18" s="13"/>
      <c r="EEQ18" s="13"/>
      <c r="EER18" s="13"/>
      <c r="EES18" s="13"/>
      <c r="EET18" s="13"/>
      <c r="EEU18" s="13"/>
      <c r="EEV18" s="13"/>
      <c r="EEW18" s="13"/>
      <c r="EEX18" s="13"/>
      <c r="EEY18" s="13"/>
      <c r="EEZ18" s="13"/>
      <c r="EFA18" s="13"/>
      <c r="EFB18" s="13"/>
      <c r="EFC18" s="13"/>
      <c r="EFD18" s="13"/>
      <c r="EFE18" s="13"/>
      <c r="EFF18" s="13"/>
      <c r="EFG18" s="13"/>
      <c r="EFH18" s="13"/>
      <c r="EFI18" s="13"/>
      <c r="EFJ18" s="13"/>
      <c r="EFK18" s="13"/>
      <c r="EFL18" s="13"/>
      <c r="EFM18" s="13"/>
      <c r="EFN18" s="13"/>
      <c r="EFO18" s="13"/>
      <c r="EFP18" s="13"/>
      <c r="EFQ18" s="13"/>
      <c r="EFR18" s="13"/>
      <c r="EFS18" s="13"/>
      <c r="EFT18" s="13"/>
      <c r="EFU18" s="13"/>
      <c r="EFV18" s="13"/>
      <c r="EFW18" s="13"/>
      <c r="EFX18" s="13"/>
      <c r="EFY18" s="13"/>
      <c r="EFZ18" s="13"/>
      <c r="EGA18" s="13"/>
      <c r="EGB18" s="13"/>
      <c r="EGC18" s="13"/>
      <c r="EGD18" s="13"/>
      <c r="EGE18" s="13"/>
      <c r="EGF18" s="13"/>
      <c r="EGG18" s="13"/>
      <c r="EGH18" s="13"/>
      <c r="EGI18" s="13"/>
      <c r="EGJ18" s="13"/>
      <c r="EGK18" s="13"/>
      <c r="EGL18" s="13"/>
      <c r="EGM18" s="13"/>
      <c r="EGN18" s="13"/>
      <c r="EGO18" s="13"/>
      <c r="EGP18" s="13"/>
      <c r="EGQ18" s="13"/>
      <c r="EGR18" s="13"/>
      <c r="EGS18" s="13"/>
      <c r="EGT18" s="13"/>
      <c r="EGU18" s="13"/>
      <c r="EGV18" s="13"/>
      <c r="EGW18" s="13"/>
      <c r="EGX18" s="13"/>
      <c r="EGY18" s="13"/>
      <c r="EGZ18" s="13"/>
      <c r="EHA18" s="13"/>
      <c r="EHB18" s="13"/>
      <c r="EHC18" s="13"/>
      <c r="EHD18" s="13"/>
      <c r="EHE18" s="13"/>
      <c r="EHF18" s="13"/>
      <c r="EHG18" s="13"/>
      <c r="EHH18" s="13"/>
      <c r="EHI18" s="13"/>
      <c r="EHJ18" s="13"/>
      <c r="EHK18" s="13"/>
      <c r="EHL18" s="13"/>
      <c r="EHM18" s="13"/>
      <c r="EHN18" s="13"/>
      <c r="EHO18" s="13"/>
      <c r="EHP18" s="13"/>
      <c r="EHQ18" s="13"/>
      <c r="EHR18" s="13"/>
      <c r="EHS18" s="13"/>
      <c r="EHT18" s="13"/>
      <c r="EHU18" s="13"/>
      <c r="EHV18" s="13"/>
      <c r="EHW18" s="13"/>
      <c r="EHX18" s="13"/>
      <c r="EHY18" s="13"/>
      <c r="EHZ18" s="13"/>
      <c r="EIA18" s="13"/>
      <c r="EIB18" s="13"/>
      <c r="EIC18" s="13"/>
      <c r="EID18" s="13"/>
      <c r="EIE18" s="13"/>
      <c r="EIF18" s="13"/>
      <c r="EIG18" s="13"/>
      <c r="EIH18" s="13"/>
      <c r="EII18" s="13"/>
      <c r="EIJ18" s="13"/>
      <c r="EIK18" s="13"/>
      <c r="EIL18" s="13"/>
      <c r="EIM18" s="13"/>
      <c r="EIN18" s="13"/>
      <c r="EIO18" s="13"/>
      <c r="EIP18" s="13"/>
      <c r="EIQ18" s="13"/>
      <c r="EIR18" s="13"/>
      <c r="EIS18" s="13"/>
      <c r="EIT18" s="13"/>
      <c r="EIU18" s="13"/>
      <c r="EIV18" s="13"/>
      <c r="EIW18" s="13"/>
      <c r="EIX18" s="13"/>
      <c r="EIY18" s="13"/>
      <c r="EIZ18" s="13"/>
      <c r="EJA18" s="13"/>
      <c r="EJB18" s="13"/>
      <c r="EJC18" s="13"/>
      <c r="EJD18" s="13"/>
      <c r="EJE18" s="13"/>
      <c r="EJF18" s="13"/>
      <c r="EJG18" s="13"/>
      <c r="EJH18" s="13"/>
      <c r="EJI18" s="13"/>
      <c r="EJJ18" s="13"/>
      <c r="EJK18" s="13"/>
      <c r="EJL18" s="13"/>
      <c r="EJM18" s="13"/>
      <c r="EJN18" s="13"/>
      <c r="EJO18" s="13"/>
      <c r="EJP18" s="13"/>
      <c r="EJQ18" s="13"/>
      <c r="EJR18" s="13"/>
      <c r="EJS18" s="13"/>
      <c r="EJT18" s="13"/>
      <c r="EJU18" s="13"/>
      <c r="EJV18" s="13"/>
      <c r="EJW18" s="13"/>
      <c r="EJX18" s="13"/>
      <c r="EJY18" s="13"/>
      <c r="EJZ18" s="13"/>
      <c r="EKA18" s="13"/>
      <c r="EKB18" s="13"/>
      <c r="EKC18" s="13"/>
      <c r="EKD18" s="13"/>
      <c r="EKE18" s="13"/>
      <c r="EKF18" s="13"/>
      <c r="EKG18" s="13"/>
      <c r="EKH18" s="13"/>
      <c r="EKI18" s="13"/>
      <c r="EKJ18" s="13"/>
      <c r="EKK18" s="13"/>
      <c r="EKL18" s="13"/>
      <c r="EKM18" s="13"/>
      <c r="EKN18" s="13"/>
      <c r="EKO18" s="13"/>
      <c r="EKP18" s="13"/>
      <c r="EKQ18" s="13"/>
      <c r="EKR18" s="13"/>
      <c r="EKS18" s="13"/>
      <c r="EKT18" s="13"/>
      <c r="EKU18" s="13"/>
      <c r="EKV18" s="13"/>
      <c r="EKW18" s="13"/>
      <c r="EKX18" s="13"/>
      <c r="EKY18" s="13"/>
      <c r="EKZ18" s="13"/>
      <c r="ELA18" s="13"/>
      <c r="ELB18" s="13"/>
      <c r="ELC18" s="13"/>
      <c r="ELD18" s="13"/>
      <c r="ELE18" s="13"/>
      <c r="ELF18" s="13"/>
      <c r="ELG18" s="13"/>
      <c r="ELH18" s="13"/>
      <c r="ELI18" s="13"/>
      <c r="ELJ18" s="13"/>
      <c r="ELK18" s="13"/>
      <c r="ELL18" s="13"/>
      <c r="ELM18" s="13"/>
      <c r="ELN18" s="13"/>
      <c r="ELO18" s="13"/>
      <c r="ELP18" s="13"/>
      <c r="ELQ18" s="13"/>
      <c r="ELR18" s="13"/>
      <c r="ELS18" s="13"/>
      <c r="ELT18" s="13"/>
      <c r="ELU18" s="13"/>
      <c r="ELV18" s="13"/>
      <c r="ELW18" s="13"/>
      <c r="ELX18" s="13"/>
      <c r="ELY18" s="13"/>
      <c r="ELZ18" s="13"/>
      <c r="EMA18" s="13"/>
      <c r="EMB18" s="13"/>
      <c r="EMC18" s="13"/>
      <c r="EMD18" s="13"/>
      <c r="EME18" s="13"/>
      <c r="EMF18" s="13"/>
      <c r="EMG18" s="13"/>
      <c r="EMH18" s="13"/>
      <c r="EMI18" s="13"/>
      <c r="EMJ18" s="13"/>
      <c r="EMK18" s="13"/>
      <c r="EML18" s="13"/>
      <c r="EMM18" s="13"/>
      <c r="EMN18" s="13"/>
      <c r="EMO18" s="13"/>
      <c r="EMP18" s="13"/>
      <c r="EMQ18" s="13"/>
      <c r="EMR18" s="13"/>
      <c r="EMS18" s="13"/>
      <c r="EMT18" s="13"/>
      <c r="EMU18" s="13"/>
      <c r="EMV18" s="13"/>
      <c r="EMW18" s="13"/>
      <c r="EMX18" s="13"/>
      <c r="EMY18" s="13"/>
      <c r="EMZ18" s="13"/>
      <c r="ENA18" s="13"/>
      <c r="ENB18" s="13"/>
      <c r="ENC18" s="13"/>
      <c r="END18" s="13"/>
      <c r="ENE18" s="13"/>
      <c r="ENF18" s="13"/>
      <c r="ENG18" s="13"/>
      <c r="ENH18" s="13"/>
      <c r="ENI18" s="13"/>
      <c r="ENJ18" s="13"/>
      <c r="ENK18" s="13"/>
      <c r="ENL18" s="13"/>
      <c r="ENM18" s="13"/>
      <c r="ENN18" s="13"/>
      <c r="ENO18" s="13"/>
      <c r="ENP18" s="13"/>
      <c r="ENQ18" s="13"/>
      <c r="ENR18" s="13"/>
      <c r="ENS18" s="13"/>
      <c r="ENT18" s="13"/>
      <c r="ENU18" s="13"/>
      <c r="ENV18" s="13"/>
      <c r="ENW18" s="13"/>
      <c r="ENX18" s="13"/>
      <c r="ENY18" s="13"/>
      <c r="ENZ18" s="13"/>
      <c r="EOA18" s="13"/>
      <c r="EOB18" s="13"/>
      <c r="EOC18" s="13"/>
      <c r="EOD18" s="13"/>
      <c r="EOE18" s="13"/>
      <c r="EOF18" s="13"/>
      <c r="EOG18" s="13"/>
      <c r="EOH18" s="13"/>
      <c r="EOI18" s="13"/>
      <c r="EOJ18" s="13"/>
      <c r="EOK18" s="13"/>
      <c r="EOL18" s="13"/>
      <c r="EOM18" s="13"/>
      <c r="EON18" s="13"/>
      <c r="EOO18" s="13"/>
      <c r="EOP18" s="13"/>
      <c r="EOQ18" s="13"/>
      <c r="EOR18" s="13"/>
      <c r="EOS18" s="13"/>
      <c r="EOT18" s="13"/>
      <c r="EOU18" s="13"/>
      <c r="EOV18" s="13"/>
      <c r="EOW18" s="13"/>
      <c r="EOX18" s="13"/>
      <c r="EOY18" s="13"/>
      <c r="EOZ18" s="13"/>
      <c r="EPA18" s="13"/>
      <c r="EPB18" s="13"/>
      <c r="EPC18" s="13"/>
      <c r="EPD18" s="13"/>
      <c r="EPE18" s="13"/>
      <c r="EPF18" s="13"/>
      <c r="EPG18" s="13"/>
      <c r="EPH18" s="13"/>
      <c r="EPI18" s="13"/>
      <c r="EPJ18" s="13"/>
      <c r="EPK18" s="13"/>
      <c r="EPL18" s="13"/>
      <c r="EPM18" s="13"/>
      <c r="EPN18" s="13"/>
      <c r="EPO18" s="13"/>
      <c r="EPP18" s="13"/>
      <c r="EPQ18" s="13"/>
      <c r="EPR18" s="13"/>
      <c r="EPS18" s="13"/>
      <c r="EPT18" s="13"/>
      <c r="EPU18" s="13"/>
      <c r="EPV18" s="13"/>
      <c r="EPW18" s="13"/>
      <c r="EPX18" s="13"/>
      <c r="EPY18" s="13"/>
      <c r="EPZ18" s="13"/>
      <c r="EQA18" s="13"/>
      <c r="EQB18" s="13"/>
      <c r="EQC18" s="13"/>
      <c r="EQD18" s="13"/>
      <c r="EQE18" s="13"/>
      <c r="EQF18" s="13"/>
      <c r="EQG18" s="13"/>
      <c r="EQH18" s="13"/>
      <c r="EQI18" s="13"/>
      <c r="EQJ18" s="13"/>
      <c r="EQK18" s="13"/>
      <c r="EQL18" s="13"/>
      <c r="EQM18" s="13"/>
      <c r="EQN18" s="13"/>
      <c r="EQO18" s="13"/>
      <c r="EQP18" s="13"/>
      <c r="EQQ18" s="13"/>
      <c r="EQR18" s="13"/>
      <c r="EQS18" s="13"/>
      <c r="EQT18" s="13"/>
      <c r="EQU18" s="13"/>
      <c r="EQV18" s="13"/>
      <c r="EQW18" s="13"/>
      <c r="EQX18" s="13"/>
      <c r="EQY18" s="13"/>
      <c r="EQZ18" s="13"/>
      <c r="ERA18" s="13"/>
      <c r="ERB18" s="13"/>
      <c r="ERC18" s="13"/>
      <c r="ERD18" s="13"/>
      <c r="ERE18" s="13"/>
      <c r="ERF18" s="13"/>
      <c r="ERG18" s="13"/>
      <c r="ERH18" s="13"/>
      <c r="ERI18" s="13"/>
      <c r="ERJ18" s="13"/>
      <c r="ERK18" s="13"/>
      <c r="ERL18" s="13"/>
      <c r="ERM18" s="13"/>
      <c r="ERN18" s="13"/>
      <c r="ERO18" s="13"/>
      <c r="ERP18" s="13"/>
      <c r="ERQ18" s="13"/>
      <c r="ERR18" s="13"/>
      <c r="ERS18" s="13"/>
      <c r="ERT18" s="13"/>
      <c r="ERU18" s="13"/>
      <c r="ERV18" s="13"/>
      <c r="ERW18" s="13"/>
      <c r="ERX18" s="13"/>
      <c r="ERY18" s="13"/>
      <c r="ERZ18" s="13"/>
      <c r="ESA18" s="13"/>
      <c r="ESB18" s="13"/>
      <c r="ESC18" s="13"/>
      <c r="ESD18" s="13"/>
      <c r="ESE18" s="13"/>
      <c r="ESF18" s="13"/>
      <c r="ESG18" s="13"/>
      <c r="ESH18" s="13"/>
      <c r="ESI18" s="13"/>
      <c r="ESJ18" s="13"/>
      <c r="ESK18" s="13"/>
      <c r="ESL18" s="13"/>
      <c r="ESM18" s="13"/>
      <c r="ESN18" s="13"/>
      <c r="ESO18" s="13"/>
      <c r="ESP18" s="13"/>
      <c r="ESQ18" s="13"/>
      <c r="ESR18" s="13"/>
      <c r="ESS18" s="13"/>
      <c r="EST18" s="13"/>
      <c r="ESU18" s="13"/>
      <c r="ESV18" s="13"/>
      <c r="ESW18" s="13"/>
      <c r="ESX18" s="13"/>
      <c r="ESY18" s="13"/>
      <c r="ESZ18" s="13"/>
      <c r="ETA18" s="13"/>
      <c r="ETB18" s="13"/>
      <c r="ETC18" s="13"/>
      <c r="ETD18" s="13"/>
      <c r="ETE18" s="13"/>
      <c r="ETF18" s="13"/>
      <c r="ETG18" s="13"/>
      <c r="ETH18" s="13"/>
      <c r="ETI18" s="13"/>
      <c r="ETJ18" s="13"/>
      <c r="ETK18" s="13"/>
      <c r="ETL18" s="13"/>
      <c r="ETM18" s="13"/>
      <c r="ETN18" s="13"/>
      <c r="ETO18" s="13"/>
      <c r="ETP18" s="13"/>
      <c r="ETQ18" s="13"/>
      <c r="ETR18" s="13"/>
      <c r="ETS18" s="13"/>
      <c r="ETT18" s="13"/>
      <c r="ETU18" s="13"/>
      <c r="ETV18" s="13"/>
      <c r="ETW18" s="13"/>
      <c r="ETX18" s="13"/>
      <c r="ETY18" s="13"/>
      <c r="ETZ18" s="13"/>
      <c r="EUA18" s="13"/>
      <c r="EUB18" s="13"/>
      <c r="EUC18" s="13"/>
      <c r="EUD18" s="13"/>
      <c r="EUE18" s="13"/>
      <c r="EUF18" s="13"/>
      <c r="EUG18" s="13"/>
      <c r="EUH18" s="13"/>
      <c r="EUI18" s="13"/>
      <c r="EUJ18" s="13"/>
      <c r="EUK18" s="13"/>
      <c r="EUL18" s="13"/>
      <c r="EUM18" s="13"/>
      <c r="EUN18" s="13"/>
      <c r="EUO18" s="13"/>
      <c r="EUP18" s="13"/>
      <c r="EUQ18" s="13"/>
      <c r="EUR18" s="13"/>
      <c r="EUS18" s="13"/>
      <c r="EUT18" s="13"/>
      <c r="EUU18" s="13"/>
      <c r="EUV18" s="13"/>
      <c r="EUW18" s="13"/>
      <c r="EUX18" s="13"/>
      <c r="EUY18" s="13"/>
      <c r="EUZ18" s="13"/>
      <c r="EVA18" s="13"/>
      <c r="EVB18" s="13"/>
      <c r="EVC18" s="13"/>
      <c r="EVD18" s="13"/>
      <c r="EVE18" s="13"/>
      <c r="EVF18" s="13"/>
      <c r="EVG18" s="13"/>
      <c r="EVH18" s="13"/>
      <c r="EVI18" s="13"/>
      <c r="EVJ18" s="13"/>
      <c r="EVK18" s="13"/>
      <c r="EVL18" s="13"/>
      <c r="EVM18" s="13"/>
      <c r="EVN18" s="13"/>
      <c r="EVO18" s="13"/>
      <c r="EVP18" s="13"/>
      <c r="EVQ18" s="13"/>
      <c r="EVR18" s="13"/>
      <c r="EVS18" s="13"/>
      <c r="EVT18" s="13"/>
      <c r="EVU18" s="13"/>
      <c r="EVV18" s="13"/>
      <c r="EVW18" s="13"/>
      <c r="EVX18" s="13"/>
      <c r="EVY18" s="13"/>
      <c r="EVZ18" s="13"/>
      <c r="EWA18" s="13"/>
      <c r="EWB18" s="13"/>
      <c r="EWC18" s="13"/>
      <c r="EWD18" s="13"/>
      <c r="EWE18" s="13"/>
      <c r="EWF18" s="13"/>
      <c r="EWG18" s="13"/>
      <c r="EWH18" s="13"/>
      <c r="EWI18" s="13"/>
      <c r="EWJ18" s="13"/>
      <c r="EWK18" s="13"/>
      <c r="EWL18" s="13"/>
      <c r="EWM18" s="13"/>
      <c r="EWN18" s="13"/>
      <c r="EWO18" s="13"/>
      <c r="EWP18" s="13"/>
      <c r="EWQ18" s="13"/>
      <c r="EWR18" s="13"/>
      <c r="EWS18" s="13"/>
      <c r="EWT18" s="13"/>
      <c r="EWU18" s="13"/>
      <c r="EWV18" s="13"/>
      <c r="EWW18" s="13"/>
      <c r="EWX18" s="13"/>
      <c r="EWY18" s="13"/>
      <c r="EWZ18" s="13"/>
      <c r="EXA18" s="13"/>
      <c r="EXB18" s="13"/>
      <c r="EXC18" s="13"/>
      <c r="EXD18" s="13"/>
      <c r="EXE18" s="13"/>
      <c r="EXF18" s="13"/>
      <c r="EXG18" s="13"/>
      <c r="EXH18" s="13"/>
      <c r="EXI18" s="13"/>
      <c r="EXJ18" s="13"/>
      <c r="EXK18" s="13"/>
      <c r="EXL18" s="13"/>
      <c r="EXM18" s="13"/>
      <c r="EXN18" s="13"/>
      <c r="EXO18" s="13"/>
      <c r="EXP18" s="13"/>
      <c r="EXQ18" s="13"/>
      <c r="EXR18" s="13"/>
      <c r="EXS18" s="13"/>
      <c r="EXT18" s="13"/>
      <c r="EXU18" s="13"/>
      <c r="EXV18" s="13"/>
      <c r="EXW18" s="13"/>
      <c r="EXX18" s="13"/>
      <c r="EXY18" s="13"/>
      <c r="EXZ18" s="13"/>
      <c r="EYA18" s="13"/>
      <c r="EYB18" s="13"/>
      <c r="EYC18" s="13"/>
      <c r="EYD18" s="13"/>
      <c r="EYE18" s="13"/>
      <c r="EYF18" s="13"/>
      <c r="EYG18" s="13"/>
      <c r="EYH18" s="13"/>
      <c r="EYI18" s="13"/>
      <c r="EYJ18" s="13"/>
      <c r="EYK18" s="13"/>
      <c r="EYL18" s="13"/>
      <c r="EYM18" s="13"/>
      <c r="EYN18" s="13"/>
      <c r="EYO18" s="13"/>
      <c r="EYP18" s="13"/>
      <c r="EYQ18" s="13"/>
      <c r="EYR18" s="13"/>
      <c r="EYS18" s="13"/>
      <c r="EYT18" s="13"/>
      <c r="EYU18" s="13"/>
      <c r="EYV18" s="13"/>
      <c r="EYW18" s="13"/>
      <c r="EYX18" s="13"/>
      <c r="EYY18" s="13"/>
      <c r="EYZ18" s="13"/>
      <c r="EZA18" s="13"/>
      <c r="EZB18" s="13"/>
      <c r="EZC18" s="13"/>
      <c r="EZD18" s="13"/>
      <c r="EZE18" s="13"/>
      <c r="EZF18" s="13"/>
      <c r="EZG18" s="13"/>
      <c r="EZH18" s="13"/>
      <c r="EZI18" s="13"/>
      <c r="EZJ18" s="13"/>
      <c r="EZK18" s="13"/>
      <c r="EZL18" s="13"/>
      <c r="EZM18" s="13"/>
      <c r="EZN18" s="13"/>
      <c r="EZO18" s="13"/>
      <c r="EZP18" s="13"/>
      <c r="EZQ18" s="13"/>
      <c r="EZR18" s="13"/>
      <c r="EZS18" s="13"/>
      <c r="EZT18" s="13"/>
      <c r="EZU18" s="13"/>
      <c r="EZV18" s="13"/>
      <c r="EZW18" s="13"/>
      <c r="EZX18" s="13"/>
      <c r="EZY18" s="13"/>
      <c r="EZZ18" s="13"/>
      <c r="FAA18" s="13"/>
      <c r="FAB18" s="13"/>
      <c r="FAC18" s="13"/>
      <c r="FAD18" s="13"/>
      <c r="FAE18" s="13"/>
      <c r="FAF18" s="13"/>
      <c r="FAG18" s="13"/>
      <c r="FAH18" s="13"/>
      <c r="FAI18" s="13"/>
      <c r="FAJ18" s="13"/>
      <c r="FAK18" s="13"/>
      <c r="FAL18" s="13"/>
      <c r="FAM18" s="13"/>
      <c r="FAN18" s="13"/>
      <c r="FAO18" s="13"/>
      <c r="FAP18" s="13"/>
      <c r="FAQ18" s="13"/>
      <c r="FAR18" s="13"/>
      <c r="FAS18" s="13"/>
      <c r="FAT18" s="13"/>
      <c r="FAU18" s="13"/>
      <c r="FAV18" s="13"/>
      <c r="FAW18" s="13"/>
      <c r="FAX18" s="13"/>
      <c r="FAY18" s="13"/>
      <c r="FAZ18" s="13"/>
      <c r="FBA18" s="13"/>
      <c r="FBB18" s="13"/>
      <c r="FBC18" s="13"/>
      <c r="FBD18" s="13"/>
      <c r="FBE18" s="13"/>
      <c r="FBF18" s="13"/>
      <c r="FBG18" s="13"/>
      <c r="FBH18" s="13"/>
      <c r="FBI18" s="13"/>
      <c r="FBJ18" s="13"/>
      <c r="FBK18" s="13"/>
      <c r="FBL18" s="13"/>
      <c r="FBM18" s="13"/>
      <c r="FBN18" s="13"/>
      <c r="FBO18" s="13"/>
      <c r="FBP18" s="13"/>
      <c r="FBQ18" s="13"/>
      <c r="FBR18" s="13"/>
      <c r="FBS18" s="13"/>
      <c r="FBT18" s="13"/>
      <c r="FBU18" s="13"/>
      <c r="FBV18" s="13"/>
      <c r="FBW18" s="13"/>
      <c r="FBX18" s="13"/>
      <c r="FBY18" s="13"/>
      <c r="FBZ18" s="13"/>
      <c r="FCA18" s="13"/>
      <c r="FCB18" s="13"/>
      <c r="FCC18" s="13"/>
      <c r="FCD18" s="13"/>
      <c r="FCE18" s="13"/>
      <c r="FCF18" s="13"/>
      <c r="FCG18" s="13"/>
      <c r="FCH18" s="13"/>
      <c r="FCI18" s="13"/>
      <c r="FCJ18" s="13"/>
      <c r="FCK18" s="13"/>
      <c r="FCL18" s="13"/>
      <c r="FCM18" s="13"/>
      <c r="FCN18" s="13"/>
      <c r="FCO18" s="13"/>
      <c r="FCP18" s="13"/>
      <c r="FCQ18" s="13"/>
      <c r="FCR18" s="13"/>
      <c r="FCS18" s="13"/>
      <c r="FCT18" s="13"/>
      <c r="FCU18" s="13"/>
      <c r="FCV18" s="13"/>
      <c r="FCW18" s="13"/>
      <c r="FCX18" s="13"/>
      <c r="FCY18" s="13"/>
      <c r="FCZ18" s="13"/>
      <c r="FDA18" s="13"/>
      <c r="FDB18" s="13"/>
      <c r="FDC18" s="13"/>
      <c r="FDD18" s="13"/>
      <c r="FDE18" s="13"/>
      <c r="FDF18" s="13"/>
      <c r="FDG18" s="13"/>
      <c r="FDH18" s="13"/>
      <c r="FDI18" s="13"/>
      <c r="FDJ18" s="13"/>
      <c r="FDK18" s="13"/>
      <c r="FDL18" s="13"/>
      <c r="FDM18" s="13"/>
      <c r="FDN18" s="13"/>
      <c r="FDO18" s="13"/>
      <c r="FDP18" s="13"/>
      <c r="FDQ18" s="13"/>
      <c r="FDR18" s="13"/>
      <c r="FDS18" s="13"/>
      <c r="FDT18" s="13"/>
      <c r="FDU18" s="13"/>
      <c r="FDV18" s="13"/>
      <c r="FDW18" s="13"/>
      <c r="FDX18" s="13"/>
      <c r="FDY18" s="13"/>
      <c r="FDZ18" s="13"/>
      <c r="FEA18" s="13"/>
      <c r="FEB18" s="13"/>
      <c r="FEC18" s="13"/>
      <c r="FED18" s="13"/>
      <c r="FEE18" s="13"/>
      <c r="FEF18" s="13"/>
      <c r="FEG18" s="13"/>
      <c r="FEH18" s="13"/>
      <c r="FEI18" s="13"/>
      <c r="FEJ18" s="13"/>
      <c r="FEK18" s="13"/>
      <c r="FEL18" s="13"/>
      <c r="FEM18" s="13"/>
      <c r="FEN18" s="13"/>
      <c r="FEO18" s="13"/>
      <c r="FEP18" s="13"/>
      <c r="FEQ18" s="13"/>
      <c r="FER18" s="13"/>
      <c r="FES18" s="13"/>
      <c r="FET18" s="13"/>
      <c r="FEU18" s="13"/>
      <c r="FEV18" s="13"/>
      <c r="FEW18" s="13"/>
      <c r="FEX18" s="13"/>
      <c r="FEY18" s="13"/>
      <c r="FEZ18" s="13"/>
      <c r="FFA18" s="13"/>
      <c r="FFB18" s="13"/>
      <c r="FFC18" s="13"/>
      <c r="FFD18" s="13"/>
      <c r="FFE18" s="13"/>
      <c r="FFF18" s="13"/>
      <c r="FFG18" s="13"/>
      <c r="FFH18" s="13"/>
      <c r="FFI18" s="13"/>
      <c r="FFJ18" s="13"/>
      <c r="FFK18" s="13"/>
      <c r="FFL18" s="13"/>
      <c r="FFM18" s="13"/>
      <c r="FFN18" s="13"/>
      <c r="FFO18" s="13"/>
      <c r="FFP18" s="13"/>
      <c r="FFQ18" s="13"/>
      <c r="FFR18" s="13"/>
      <c r="FFS18" s="13"/>
      <c r="FFT18" s="13"/>
      <c r="FFU18" s="13"/>
      <c r="FFV18" s="13"/>
      <c r="FFW18" s="13"/>
      <c r="FFX18" s="13"/>
      <c r="FFY18" s="13"/>
      <c r="FFZ18" s="13"/>
      <c r="FGA18" s="13"/>
      <c r="FGB18" s="13"/>
      <c r="FGC18" s="13"/>
      <c r="FGD18" s="13"/>
      <c r="FGE18" s="13"/>
      <c r="FGF18" s="13"/>
      <c r="FGG18" s="13"/>
      <c r="FGH18" s="13"/>
      <c r="FGI18" s="13"/>
      <c r="FGJ18" s="13"/>
      <c r="FGK18" s="13"/>
      <c r="FGL18" s="13"/>
      <c r="FGM18" s="13"/>
      <c r="FGN18" s="13"/>
      <c r="FGO18" s="13"/>
      <c r="FGP18" s="13"/>
      <c r="FGQ18" s="13"/>
      <c r="FGR18" s="13"/>
      <c r="FGS18" s="13"/>
      <c r="FGT18" s="13"/>
      <c r="FGU18" s="13"/>
      <c r="FGV18" s="13"/>
      <c r="FGW18" s="13"/>
      <c r="FGX18" s="13"/>
      <c r="FGY18" s="13"/>
      <c r="FGZ18" s="13"/>
      <c r="FHA18" s="13"/>
      <c r="FHB18" s="13"/>
      <c r="FHC18" s="13"/>
      <c r="FHD18" s="13"/>
      <c r="FHE18" s="13"/>
      <c r="FHF18" s="13"/>
      <c r="FHG18" s="13"/>
      <c r="FHH18" s="13"/>
      <c r="FHI18" s="13"/>
      <c r="FHJ18" s="13"/>
      <c r="FHK18" s="13"/>
      <c r="FHL18" s="13"/>
      <c r="FHM18" s="13"/>
      <c r="FHN18" s="13"/>
      <c r="FHO18" s="13"/>
      <c r="FHP18" s="13"/>
      <c r="FHQ18" s="13"/>
      <c r="FHR18" s="13"/>
      <c r="FHS18" s="13"/>
      <c r="FHT18" s="13"/>
      <c r="FHU18" s="13"/>
      <c r="FHV18" s="13"/>
      <c r="FHW18" s="13"/>
      <c r="FHX18" s="13"/>
      <c r="FHY18" s="13"/>
      <c r="FHZ18" s="13"/>
      <c r="FIA18" s="13"/>
      <c r="FIB18" s="13"/>
      <c r="FIC18" s="13"/>
      <c r="FID18" s="13"/>
      <c r="FIE18" s="13"/>
      <c r="FIF18" s="13"/>
      <c r="FIG18" s="13"/>
      <c r="FIH18" s="13"/>
      <c r="FII18" s="13"/>
      <c r="FIJ18" s="13"/>
      <c r="FIK18" s="13"/>
      <c r="FIL18" s="13"/>
      <c r="FIM18" s="13"/>
      <c r="FIN18" s="13"/>
      <c r="FIO18" s="13"/>
      <c r="FIP18" s="13"/>
      <c r="FIQ18" s="13"/>
      <c r="FIR18" s="13"/>
      <c r="FIS18" s="13"/>
      <c r="FIT18" s="13"/>
      <c r="FIU18" s="13"/>
      <c r="FIV18" s="13"/>
      <c r="FIW18" s="13"/>
      <c r="FIX18" s="13"/>
      <c r="FIY18" s="13"/>
      <c r="FIZ18" s="13"/>
      <c r="FJA18" s="13"/>
      <c r="FJB18" s="13"/>
      <c r="FJC18" s="13"/>
      <c r="FJD18" s="13"/>
      <c r="FJE18" s="13"/>
      <c r="FJF18" s="13"/>
      <c r="FJG18" s="13"/>
      <c r="FJH18" s="13"/>
      <c r="FJI18" s="13"/>
      <c r="FJJ18" s="13"/>
      <c r="FJK18" s="13"/>
      <c r="FJL18" s="13"/>
      <c r="FJM18" s="13"/>
      <c r="FJN18" s="13"/>
      <c r="FJO18" s="13"/>
      <c r="FJP18" s="13"/>
      <c r="FJQ18" s="13"/>
      <c r="FJR18" s="13"/>
      <c r="FJS18" s="13"/>
      <c r="FJT18" s="13"/>
      <c r="FJU18" s="13"/>
      <c r="FJV18" s="13"/>
      <c r="FJW18" s="13"/>
      <c r="FJX18" s="13"/>
      <c r="FJY18" s="13"/>
      <c r="FJZ18" s="13"/>
      <c r="FKA18" s="13"/>
      <c r="FKB18" s="13"/>
      <c r="FKC18" s="13"/>
      <c r="FKD18" s="13"/>
      <c r="FKE18" s="13"/>
      <c r="FKF18" s="13"/>
      <c r="FKG18" s="13"/>
      <c r="FKH18" s="13"/>
      <c r="FKI18" s="13"/>
      <c r="FKJ18" s="13"/>
      <c r="FKK18" s="13"/>
      <c r="FKL18" s="13"/>
      <c r="FKM18" s="13"/>
      <c r="FKN18" s="13"/>
      <c r="FKO18" s="13"/>
      <c r="FKP18" s="13"/>
      <c r="FKQ18" s="13"/>
      <c r="FKR18" s="13"/>
      <c r="FKS18" s="13"/>
      <c r="FKT18" s="13"/>
      <c r="FKU18" s="13"/>
      <c r="FKV18" s="13"/>
      <c r="FKW18" s="13"/>
      <c r="FKX18" s="13"/>
      <c r="FKY18" s="13"/>
      <c r="FKZ18" s="13"/>
      <c r="FLA18" s="13"/>
      <c r="FLB18" s="13"/>
      <c r="FLC18" s="13"/>
      <c r="FLD18" s="13"/>
      <c r="FLE18" s="13"/>
      <c r="FLF18" s="13"/>
      <c r="FLG18" s="13"/>
      <c r="FLH18" s="13"/>
      <c r="FLI18" s="13"/>
      <c r="FLJ18" s="13"/>
      <c r="FLK18" s="13"/>
      <c r="FLL18" s="13"/>
      <c r="FLM18" s="13"/>
      <c r="FLN18" s="13"/>
      <c r="FLO18" s="13"/>
      <c r="FLP18" s="13"/>
      <c r="FLQ18" s="13"/>
      <c r="FLR18" s="13"/>
      <c r="FLS18" s="13"/>
      <c r="FLT18" s="13"/>
      <c r="FLU18" s="13"/>
      <c r="FLV18" s="13"/>
      <c r="FLW18" s="13"/>
      <c r="FLX18" s="13"/>
      <c r="FLY18" s="13"/>
      <c r="FLZ18" s="13"/>
      <c r="FMA18" s="13"/>
      <c r="FMB18" s="13"/>
      <c r="FMC18" s="13"/>
      <c r="FMD18" s="13"/>
      <c r="FME18" s="13"/>
      <c r="FMF18" s="13"/>
      <c r="FMG18" s="13"/>
      <c r="FMH18" s="13"/>
      <c r="FMI18" s="13"/>
      <c r="FMJ18" s="13"/>
      <c r="FMK18" s="13"/>
      <c r="FML18" s="13"/>
      <c r="FMM18" s="13"/>
      <c r="FMN18" s="13"/>
      <c r="FMO18" s="13"/>
      <c r="FMP18" s="13"/>
      <c r="FMQ18" s="13"/>
      <c r="FMR18" s="13"/>
      <c r="FMS18" s="13"/>
      <c r="FMT18" s="13"/>
      <c r="FMU18" s="13"/>
      <c r="FMV18" s="13"/>
      <c r="FMW18" s="13"/>
      <c r="FMX18" s="13"/>
      <c r="FMY18" s="13"/>
      <c r="FMZ18" s="13"/>
      <c r="FNA18" s="13"/>
      <c r="FNB18" s="13"/>
      <c r="FNC18" s="13"/>
      <c r="FND18" s="13"/>
      <c r="FNE18" s="13"/>
      <c r="FNF18" s="13"/>
      <c r="FNG18" s="13"/>
      <c r="FNH18" s="13"/>
      <c r="FNI18" s="13"/>
      <c r="FNJ18" s="13"/>
      <c r="FNK18" s="13"/>
      <c r="FNL18" s="13"/>
      <c r="FNM18" s="13"/>
      <c r="FNN18" s="13"/>
      <c r="FNO18" s="13"/>
      <c r="FNP18" s="13"/>
      <c r="FNQ18" s="13"/>
      <c r="FNR18" s="13"/>
      <c r="FNS18" s="13"/>
      <c r="FNT18" s="13"/>
      <c r="FNU18" s="13"/>
      <c r="FNV18" s="13"/>
      <c r="FNW18" s="13"/>
      <c r="FNX18" s="13"/>
      <c r="FNY18" s="13"/>
      <c r="FNZ18" s="13"/>
      <c r="FOA18" s="13"/>
      <c r="FOB18" s="13"/>
      <c r="FOC18" s="13"/>
      <c r="FOD18" s="13"/>
      <c r="FOE18" s="13"/>
      <c r="FOF18" s="13"/>
      <c r="FOG18" s="13"/>
      <c r="FOH18" s="13"/>
      <c r="FOI18" s="13"/>
      <c r="FOJ18" s="13"/>
      <c r="FOK18" s="13"/>
      <c r="FOL18" s="13"/>
      <c r="FOM18" s="13"/>
      <c r="FON18" s="13"/>
      <c r="FOO18" s="13"/>
      <c r="FOP18" s="13"/>
      <c r="FOQ18" s="13"/>
      <c r="FOR18" s="13"/>
      <c r="FOS18" s="13"/>
      <c r="FOT18" s="13"/>
      <c r="FOU18" s="13"/>
      <c r="FOV18" s="13"/>
      <c r="FOW18" s="13"/>
      <c r="FOX18" s="13"/>
      <c r="FOY18" s="13"/>
      <c r="FOZ18" s="13"/>
      <c r="FPA18" s="13"/>
      <c r="FPB18" s="13"/>
      <c r="FPC18" s="13"/>
      <c r="FPD18" s="13"/>
      <c r="FPE18" s="13"/>
      <c r="FPF18" s="13"/>
      <c r="FPG18" s="13"/>
      <c r="FPH18" s="13"/>
      <c r="FPI18" s="13"/>
      <c r="FPJ18" s="13"/>
      <c r="FPK18" s="13"/>
      <c r="FPL18" s="13"/>
      <c r="FPM18" s="13"/>
      <c r="FPN18" s="13"/>
      <c r="FPO18" s="13"/>
      <c r="FPP18" s="13"/>
      <c r="FPQ18" s="13"/>
      <c r="FPR18" s="13"/>
      <c r="FPS18" s="13"/>
      <c r="FPT18" s="13"/>
      <c r="FPU18" s="13"/>
      <c r="FPV18" s="13"/>
      <c r="FPW18" s="13"/>
      <c r="FPX18" s="13"/>
      <c r="FPY18" s="13"/>
      <c r="FPZ18" s="13"/>
      <c r="FQA18" s="13"/>
      <c r="FQB18" s="13"/>
      <c r="FQC18" s="13"/>
      <c r="FQD18" s="13"/>
      <c r="FQE18" s="13"/>
      <c r="FQF18" s="13"/>
      <c r="FQG18" s="13"/>
      <c r="FQH18" s="13"/>
      <c r="FQI18" s="13"/>
      <c r="FQJ18" s="13"/>
      <c r="FQK18" s="13"/>
      <c r="FQL18" s="13"/>
      <c r="FQM18" s="13"/>
      <c r="FQN18" s="13"/>
      <c r="FQO18" s="13"/>
      <c r="FQP18" s="13"/>
      <c r="FQQ18" s="13"/>
      <c r="FQR18" s="13"/>
      <c r="FQS18" s="13"/>
      <c r="FQT18" s="13"/>
      <c r="FQU18" s="13"/>
      <c r="FQV18" s="13"/>
      <c r="FQW18" s="13"/>
      <c r="FQX18" s="13"/>
      <c r="FQY18" s="13"/>
      <c r="FQZ18" s="13"/>
      <c r="FRA18" s="13"/>
      <c r="FRB18" s="13"/>
      <c r="FRC18" s="13"/>
      <c r="FRD18" s="13"/>
      <c r="FRE18" s="13"/>
      <c r="FRF18" s="13"/>
      <c r="FRG18" s="13"/>
      <c r="FRH18" s="13"/>
      <c r="FRI18" s="13"/>
      <c r="FRJ18" s="13"/>
      <c r="FRK18" s="13"/>
      <c r="FRL18" s="13"/>
      <c r="FRM18" s="13"/>
      <c r="FRN18" s="13"/>
      <c r="FRO18" s="13"/>
      <c r="FRP18" s="13"/>
      <c r="FRQ18" s="13"/>
      <c r="FRR18" s="13"/>
      <c r="FRS18" s="13"/>
      <c r="FRT18" s="13"/>
      <c r="FRU18" s="13"/>
      <c r="FRV18" s="13"/>
      <c r="FRW18" s="13"/>
      <c r="FRX18" s="13"/>
      <c r="FRY18" s="13"/>
      <c r="FRZ18" s="13"/>
      <c r="FSA18" s="13"/>
      <c r="FSB18" s="13"/>
      <c r="FSC18" s="13"/>
      <c r="FSD18" s="13"/>
      <c r="FSE18" s="13"/>
      <c r="FSF18" s="13"/>
      <c r="FSG18" s="13"/>
      <c r="FSH18" s="13"/>
      <c r="FSI18" s="13"/>
      <c r="FSJ18" s="13"/>
      <c r="FSK18" s="13"/>
      <c r="FSL18" s="13"/>
      <c r="FSM18" s="13"/>
      <c r="FSN18" s="13"/>
      <c r="FSO18" s="13"/>
      <c r="FSP18" s="13"/>
      <c r="FSQ18" s="13"/>
      <c r="FSR18" s="13"/>
      <c r="FSS18" s="13"/>
      <c r="FST18" s="13"/>
      <c r="FSU18" s="13"/>
      <c r="FSV18" s="13"/>
      <c r="FSW18" s="13"/>
      <c r="FSX18" s="13"/>
      <c r="FSY18" s="13"/>
      <c r="FSZ18" s="13"/>
      <c r="FTA18" s="13"/>
      <c r="FTB18" s="13"/>
      <c r="FTC18" s="13"/>
      <c r="FTD18" s="13"/>
      <c r="FTE18" s="13"/>
      <c r="FTF18" s="13"/>
      <c r="FTG18" s="13"/>
      <c r="FTH18" s="13"/>
      <c r="FTI18" s="13"/>
      <c r="FTJ18" s="13"/>
      <c r="FTK18" s="13"/>
      <c r="FTL18" s="13"/>
      <c r="FTM18" s="13"/>
      <c r="FTN18" s="13"/>
      <c r="FTO18" s="13"/>
      <c r="FTP18" s="13"/>
      <c r="FTQ18" s="13"/>
      <c r="FTR18" s="13"/>
      <c r="FTS18" s="13"/>
      <c r="FTT18" s="13"/>
      <c r="FTU18" s="13"/>
      <c r="FTV18" s="13"/>
      <c r="FTW18" s="13"/>
      <c r="FTX18" s="13"/>
      <c r="FTY18" s="13"/>
      <c r="FTZ18" s="13"/>
      <c r="FUA18" s="13"/>
      <c r="FUB18" s="13"/>
      <c r="FUC18" s="13"/>
      <c r="FUD18" s="13"/>
      <c r="FUE18" s="13"/>
      <c r="FUF18" s="13"/>
      <c r="FUG18" s="13"/>
      <c r="FUH18" s="13"/>
      <c r="FUI18" s="13"/>
      <c r="FUJ18" s="13"/>
      <c r="FUK18" s="13"/>
      <c r="FUL18" s="13"/>
      <c r="FUM18" s="13"/>
      <c r="FUN18" s="13"/>
      <c r="FUO18" s="13"/>
      <c r="FUP18" s="13"/>
      <c r="FUQ18" s="13"/>
      <c r="FUR18" s="13"/>
      <c r="FUS18" s="13"/>
      <c r="FUT18" s="13"/>
      <c r="FUU18" s="13"/>
      <c r="FUV18" s="13"/>
      <c r="FUW18" s="13"/>
      <c r="FUX18" s="13"/>
      <c r="FUY18" s="13"/>
      <c r="FUZ18" s="13"/>
      <c r="FVA18" s="13"/>
      <c r="FVB18" s="13"/>
      <c r="FVC18" s="13"/>
      <c r="FVD18" s="13"/>
      <c r="FVE18" s="13"/>
      <c r="FVF18" s="13"/>
      <c r="FVG18" s="13"/>
      <c r="FVH18" s="13"/>
      <c r="FVI18" s="13"/>
      <c r="FVJ18" s="13"/>
      <c r="FVK18" s="13"/>
      <c r="FVL18" s="13"/>
      <c r="FVM18" s="13"/>
      <c r="FVN18" s="13"/>
      <c r="FVO18" s="13"/>
      <c r="FVP18" s="13"/>
      <c r="FVQ18" s="13"/>
      <c r="FVR18" s="13"/>
      <c r="FVS18" s="13"/>
      <c r="FVT18" s="13"/>
      <c r="FVU18" s="13"/>
      <c r="FVV18" s="13"/>
      <c r="FVW18" s="13"/>
      <c r="FVX18" s="13"/>
      <c r="FVY18" s="13"/>
      <c r="FVZ18" s="13"/>
      <c r="FWA18" s="13"/>
      <c r="FWB18" s="13"/>
      <c r="FWC18" s="13"/>
      <c r="FWD18" s="13"/>
      <c r="FWE18" s="13"/>
      <c r="FWF18" s="13"/>
      <c r="FWG18" s="13"/>
      <c r="FWH18" s="13"/>
      <c r="FWI18" s="13"/>
      <c r="FWJ18" s="13"/>
      <c r="FWK18" s="13"/>
      <c r="FWL18" s="13"/>
      <c r="FWM18" s="13"/>
      <c r="FWN18" s="13"/>
      <c r="FWO18" s="13"/>
      <c r="FWP18" s="13"/>
      <c r="FWQ18" s="13"/>
      <c r="FWR18" s="13"/>
      <c r="FWS18" s="13"/>
      <c r="FWT18" s="13"/>
      <c r="FWU18" s="13"/>
      <c r="FWV18" s="13"/>
      <c r="FWW18" s="13"/>
      <c r="FWX18" s="13"/>
      <c r="FWY18" s="13"/>
      <c r="FWZ18" s="13"/>
      <c r="FXA18" s="13"/>
      <c r="FXB18" s="13"/>
      <c r="FXC18" s="13"/>
      <c r="FXD18" s="13"/>
      <c r="FXE18" s="13"/>
      <c r="FXF18" s="13"/>
      <c r="FXG18" s="13"/>
      <c r="FXH18" s="13"/>
      <c r="FXI18" s="13"/>
      <c r="FXJ18" s="13"/>
      <c r="FXK18" s="13"/>
      <c r="FXL18" s="13"/>
      <c r="FXM18" s="13"/>
      <c r="FXN18" s="13"/>
      <c r="FXO18" s="13"/>
      <c r="FXP18" s="13"/>
      <c r="FXQ18" s="13"/>
      <c r="FXR18" s="13"/>
      <c r="FXS18" s="13"/>
      <c r="FXT18" s="13"/>
      <c r="FXU18" s="13"/>
      <c r="FXV18" s="13"/>
      <c r="FXW18" s="13"/>
      <c r="FXX18" s="13"/>
      <c r="FXY18" s="13"/>
      <c r="FXZ18" s="13"/>
      <c r="FYA18" s="13"/>
      <c r="FYB18" s="13"/>
      <c r="FYC18" s="13"/>
      <c r="FYD18" s="13"/>
      <c r="FYE18" s="13"/>
      <c r="FYF18" s="13"/>
      <c r="FYG18" s="13"/>
      <c r="FYH18" s="13"/>
      <c r="FYI18" s="13"/>
      <c r="FYJ18" s="13"/>
      <c r="FYK18" s="13"/>
      <c r="FYL18" s="13"/>
      <c r="FYM18" s="13"/>
      <c r="FYN18" s="13"/>
      <c r="FYO18" s="13"/>
      <c r="FYP18" s="13"/>
      <c r="FYQ18" s="13"/>
      <c r="FYR18" s="13"/>
      <c r="FYS18" s="13"/>
      <c r="FYT18" s="13"/>
      <c r="FYU18" s="13"/>
      <c r="FYV18" s="13"/>
      <c r="FYW18" s="13"/>
      <c r="FYX18" s="13"/>
      <c r="FYY18" s="13"/>
      <c r="FYZ18" s="13"/>
      <c r="FZA18" s="13"/>
      <c r="FZB18" s="13"/>
      <c r="FZC18" s="13"/>
      <c r="FZD18" s="13"/>
      <c r="FZE18" s="13"/>
      <c r="FZF18" s="13"/>
      <c r="FZG18" s="13"/>
      <c r="FZH18" s="13"/>
      <c r="FZI18" s="13"/>
      <c r="FZJ18" s="13"/>
      <c r="FZK18" s="13"/>
      <c r="FZL18" s="13"/>
      <c r="FZM18" s="13"/>
      <c r="FZN18" s="13"/>
      <c r="FZO18" s="13"/>
      <c r="FZP18" s="13"/>
      <c r="FZQ18" s="13"/>
      <c r="FZR18" s="13"/>
      <c r="FZS18" s="13"/>
      <c r="FZT18" s="13"/>
      <c r="FZU18" s="13"/>
      <c r="FZV18" s="13"/>
      <c r="FZW18" s="13"/>
      <c r="FZX18" s="13"/>
      <c r="FZY18" s="13"/>
      <c r="FZZ18" s="13"/>
      <c r="GAA18" s="13"/>
      <c r="GAB18" s="13"/>
      <c r="GAC18" s="13"/>
      <c r="GAD18" s="13"/>
      <c r="GAE18" s="13"/>
      <c r="GAF18" s="13"/>
      <c r="GAG18" s="13"/>
      <c r="GAH18" s="13"/>
      <c r="GAI18" s="13"/>
      <c r="GAJ18" s="13"/>
      <c r="GAK18" s="13"/>
      <c r="GAL18" s="13"/>
      <c r="GAM18" s="13"/>
      <c r="GAN18" s="13"/>
      <c r="GAO18" s="13"/>
      <c r="GAP18" s="13"/>
      <c r="GAQ18" s="13"/>
      <c r="GAR18" s="13"/>
      <c r="GAS18" s="13"/>
      <c r="GAT18" s="13"/>
      <c r="GAU18" s="13"/>
      <c r="GAV18" s="13"/>
      <c r="GAW18" s="13"/>
      <c r="GAX18" s="13"/>
      <c r="GAY18" s="13"/>
      <c r="GAZ18" s="13"/>
      <c r="GBA18" s="13"/>
      <c r="GBB18" s="13"/>
      <c r="GBC18" s="13"/>
      <c r="GBD18" s="13"/>
      <c r="GBE18" s="13"/>
      <c r="GBF18" s="13"/>
      <c r="GBG18" s="13"/>
      <c r="GBH18" s="13"/>
      <c r="GBI18" s="13"/>
      <c r="GBJ18" s="13"/>
      <c r="GBK18" s="13"/>
      <c r="GBL18" s="13"/>
      <c r="GBM18" s="13"/>
      <c r="GBN18" s="13"/>
      <c r="GBO18" s="13"/>
      <c r="GBP18" s="13"/>
      <c r="GBQ18" s="13"/>
      <c r="GBR18" s="13"/>
      <c r="GBS18" s="13"/>
      <c r="GBT18" s="13"/>
      <c r="GBU18" s="13"/>
      <c r="GBV18" s="13"/>
      <c r="GBW18" s="13"/>
      <c r="GBX18" s="13"/>
      <c r="GBY18" s="13"/>
      <c r="GBZ18" s="13"/>
      <c r="GCA18" s="13"/>
      <c r="GCB18" s="13"/>
      <c r="GCC18" s="13"/>
      <c r="GCD18" s="13"/>
      <c r="GCE18" s="13"/>
      <c r="GCF18" s="13"/>
      <c r="GCG18" s="13"/>
      <c r="GCH18" s="13"/>
      <c r="GCI18" s="13"/>
      <c r="GCJ18" s="13"/>
      <c r="GCK18" s="13"/>
      <c r="GCL18" s="13"/>
      <c r="GCM18" s="13"/>
      <c r="GCN18" s="13"/>
      <c r="GCO18" s="13"/>
      <c r="GCP18" s="13"/>
      <c r="GCQ18" s="13"/>
      <c r="GCR18" s="13"/>
      <c r="GCS18" s="13"/>
      <c r="GCT18" s="13"/>
      <c r="GCU18" s="13"/>
      <c r="GCV18" s="13"/>
      <c r="GCW18" s="13"/>
      <c r="GCX18" s="13"/>
      <c r="GCY18" s="13"/>
      <c r="GCZ18" s="13"/>
      <c r="GDA18" s="13"/>
      <c r="GDB18" s="13"/>
      <c r="GDC18" s="13"/>
      <c r="GDD18" s="13"/>
      <c r="GDE18" s="13"/>
      <c r="GDF18" s="13"/>
      <c r="GDG18" s="13"/>
      <c r="GDH18" s="13"/>
      <c r="GDI18" s="13"/>
      <c r="GDJ18" s="13"/>
      <c r="GDK18" s="13"/>
      <c r="GDL18" s="13"/>
      <c r="GDM18" s="13"/>
      <c r="GDN18" s="13"/>
      <c r="GDO18" s="13"/>
      <c r="GDP18" s="13"/>
      <c r="GDQ18" s="13"/>
      <c r="GDR18" s="13"/>
      <c r="GDS18" s="13"/>
      <c r="GDT18" s="13"/>
      <c r="GDU18" s="13"/>
      <c r="GDV18" s="13"/>
      <c r="GDW18" s="13"/>
      <c r="GDX18" s="13"/>
      <c r="GDY18" s="13"/>
      <c r="GDZ18" s="13"/>
      <c r="GEA18" s="13"/>
      <c r="GEB18" s="13"/>
      <c r="GEC18" s="13"/>
      <c r="GED18" s="13"/>
      <c r="GEE18" s="13"/>
      <c r="GEF18" s="13"/>
      <c r="GEG18" s="13"/>
      <c r="GEH18" s="13"/>
      <c r="GEI18" s="13"/>
      <c r="GEJ18" s="13"/>
      <c r="GEK18" s="13"/>
      <c r="GEL18" s="13"/>
      <c r="GEM18" s="13"/>
      <c r="GEN18" s="13"/>
      <c r="GEO18" s="13"/>
      <c r="GEP18" s="13"/>
      <c r="GEQ18" s="13"/>
      <c r="GER18" s="13"/>
      <c r="GES18" s="13"/>
      <c r="GET18" s="13"/>
      <c r="GEU18" s="13"/>
      <c r="GEV18" s="13"/>
      <c r="GEW18" s="13"/>
      <c r="GEX18" s="13"/>
      <c r="GEY18" s="13"/>
      <c r="GEZ18" s="13"/>
      <c r="GFA18" s="13"/>
      <c r="GFB18" s="13"/>
      <c r="GFC18" s="13"/>
      <c r="GFD18" s="13"/>
      <c r="GFE18" s="13"/>
      <c r="GFF18" s="13"/>
      <c r="GFG18" s="13"/>
      <c r="GFH18" s="13"/>
      <c r="GFI18" s="13"/>
      <c r="GFJ18" s="13"/>
      <c r="GFK18" s="13"/>
      <c r="GFL18" s="13"/>
      <c r="GFM18" s="13"/>
      <c r="GFN18" s="13"/>
      <c r="GFO18" s="13"/>
      <c r="GFP18" s="13"/>
      <c r="GFQ18" s="13"/>
      <c r="GFR18" s="13"/>
      <c r="GFS18" s="13"/>
      <c r="GFT18" s="13"/>
      <c r="GFU18" s="13"/>
      <c r="GFV18" s="13"/>
      <c r="GFW18" s="13"/>
      <c r="GFX18" s="13"/>
      <c r="GFY18" s="13"/>
      <c r="GFZ18" s="13"/>
      <c r="GGA18" s="13"/>
      <c r="GGB18" s="13"/>
      <c r="GGC18" s="13"/>
      <c r="GGD18" s="13"/>
      <c r="GGE18" s="13"/>
      <c r="GGF18" s="13"/>
      <c r="GGG18" s="13"/>
      <c r="GGH18" s="13"/>
      <c r="GGI18" s="13"/>
      <c r="GGJ18" s="13"/>
      <c r="GGK18" s="13"/>
      <c r="GGL18" s="13"/>
      <c r="GGM18" s="13"/>
      <c r="GGN18" s="13"/>
      <c r="GGO18" s="13"/>
      <c r="GGP18" s="13"/>
      <c r="GGQ18" s="13"/>
      <c r="GGR18" s="13"/>
      <c r="GGS18" s="13"/>
      <c r="GGT18" s="13"/>
      <c r="GGU18" s="13"/>
      <c r="GGV18" s="13"/>
      <c r="GGW18" s="13"/>
      <c r="GGX18" s="13"/>
      <c r="GGY18" s="13"/>
      <c r="GGZ18" s="13"/>
      <c r="GHA18" s="13"/>
      <c r="GHB18" s="13"/>
      <c r="GHC18" s="13"/>
      <c r="GHD18" s="13"/>
      <c r="GHE18" s="13"/>
      <c r="GHF18" s="13"/>
      <c r="GHG18" s="13"/>
      <c r="GHH18" s="13"/>
      <c r="GHI18" s="13"/>
      <c r="GHJ18" s="13"/>
      <c r="GHK18" s="13"/>
      <c r="GHL18" s="13"/>
      <c r="GHM18" s="13"/>
      <c r="GHN18" s="13"/>
      <c r="GHO18" s="13"/>
      <c r="GHP18" s="13"/>
      <c r="GHQ18" s="13"/>
      <c r="GHR18" s="13"/>
      <c r="GHS18" s="13"/>
      <c r="GHT18" s="13"/>
      <c r="GHU18" s="13"/>
      <c r="GHV18" s="13"/>
      <c r="GHW18" s="13"/>
      <c r="GHX18" s="13"/>
      <c r="GHY18" s="13"/>
      <c r="GHZ18" s="13"/>
      <c r="GIA18" s="13"/>
      <c r="GIB18" s="13"/>
      <c r="GIC18" s="13"/>
      <c r="GID18" s="13"/>
      <c r="GIE18" s="13"/>
      <c r="GIF18" s="13"/>
      <c r="GIG18" s="13"/>
      <c r="GIH18" s="13"/>
      <c r="GII18" s="13"/>
      <c r="GIJ18" s="13"/>
      <c r="GIK18" s="13"/>
      <c r="GIL18" s="13"/>
      <c r="GIM18" s="13"/>
      <c r="GIN18" s="13"/>
      <c r="GIO18" s="13"/>
      <c r="GIP18" s="13"/>
      <c r="GIQ18" s="13"/>
      <c r="GIR18" s="13"/>
      <c r="GIS18" s="13"/>
      <c r="GIT18" s="13"/>
      <c r="GIU18" s="13"/>
      <c r="GIV18" s="13"/>
      <c r="GIW18" s="13"/>
      <c r="GIX18" s="13"/>
      <c r="GIY18" s="13"/>
      <c r="GIZ18" s="13"/>
      <c r="GJA18" s="13"/>
      <c r="GJB18" s="13"/>
      <c r="GJC18" s="13"/>
      <c r="GJD18" s="13"/>
      <c r="GJE18" s="13"/>
      <c r="GJF18" s="13"/>
      <c r="GJG18" s="13"/>
      <c r="GJH18" s="13"/>
      <c r="GJI18" s="13"/>
      <c r="GJJ18" s="13"/>
      <c r="GJK18" s="13"/>
      <c r="GJL18" s="13"/>
      <c r="GJM18" s="13"/>
      <c r="GJN18" s="13"/>
      <c r="GJO18" s="13"/>
      <c r="GJP18" s="13"/>
      <c r="GJQ18" s="13"/>
      <c r="GJR18" s="13"/>
      <c r="GJS18" s="13"/>
      <c r="GJT18" s="13"/>
      <c r="GJU18" s="13"/>
      <c r="GJV18" s="13"/>
      <c r="GJW18" s="13"/>
      <c r="GJX18" s="13"/>
      <c r="GJY18" s="13"/>
      <c r="GJZ18" s="13"/>
      <c r="GKA18" s="13"/>
      <c r="GKB18" s="13"/>
      <c r="GKC18" s="13"/>
      <c r="GKD18" s="13"/>
      <c r="GKE18" s="13"/>
      <c r="GKF18" s="13"/>
      <c r="GKG18" s="13"/>
      <c r="GKH18" s="13"/>
      <c r="GKI18" s="13"/>
      <c r="GKJ18" s="13"/>
      <c r="GKK18" s="13"/>
      <c r="GKL18" s="13"/>
      <c r="GKM18" s="13"/>
      <c r="GKN18" s="13"/>
      <c r="GKO18" s="13"/>
      <c r="GKP18" s="13"/>
      <c r="GKQ18" s="13"/>
      <c r="GKR18" s="13"/>
      <c r="GKS18" s="13"/>
      <c r="GKT18" s="13"/>
      <c r="GKU18" s="13"/>
      <c r="GKV18" s="13"/>
      <c r="GKW18" s="13"/>
      <c r="GKX18" s="13"/>
      <c r="GKY18" s="13"/>
      <c r="GKZ18" s="13"/>
      <c r="GLA18" s="13"/>
      <c r="GLB18" s="13"/>
      <c r="GLC18" s="13"/>
      <c r="GLD18" s="13"/>
      <c r="GLE18" s="13"/>
      <c r="GLF18" s="13"/>
      <c r="GLG18" s="13"/>
      <c r="GLH18" s="13"/>
      <c r="GLI18" s="13"/>
      <c r="GLJ18" s="13"/>
      <c r="GLK18" s="13"/>
      <c r="GLL18" s="13"/>
      <c r="GLM18" s="13"/>
      <c r="GLN18" s="13"/>
      <c r="GLO18" s="13"/>
      <c r="GLP18" s="13"/>
      <c r="GLQ18" s="13"/>
      <c r="GLR18" s="13"/>
      <c r="GLS18" s="13"/>
      <c r="GLT18" s="13"/>
      <c r="GLU18" s="13"/>
      <c r="GLV18" s="13"/>
      <c r="GLW18" s="13"/>
      <c r="GLX18" s="13"/>
      <c r="GLY18" s="13"/>
      <c r="GLZ18" s="13"/>
      <c r="GMA18" s="13"/>
      <c r="GMB18" s="13"/>
      <c r="GMC18" s="13"/>
      <c r="GMD18" s="13"/>
      <c r="GME18" s="13"/>
      <c r="GMF18" s="13"/>
      <c r="GMG18" s="13"/>
      <c r="GMH18" s="13"/>
      <c r="GMI18" s="13"/>
      <c r="GMJ18" s="13"/>
      <c r="GMK18" s="13"/>
      <c r="GML18" s="13"/>
      <c r="GMM18" s="13"/>
      <c r="GMN18" s="13"/>
      <c r="GMO18" s="13"/>
      <c r="GMP18" s="13"/>
      <c r="GMQ18" s="13"/>
      <c r="GMR18" s="13"/>
      <c r="GMS18" s="13"/>
      <c r="GMT18" s="13"/>
      <c r="GMU18" s="13"/>
      <c r="GMV18" s="13"/>
      <c r="GMW18" s="13"/>
      <c r="GMX18" s="13"/>
      <c r="GMY18" s="13"/>
      <c r="GMZ18" s="13"/>
      <c r="GNA18" s="13"/>
      <c r="GNB18" s="13"/>
      <c r="GNC18" s="13"/>
      <c r="GND18" s="13"/>
      <c r="GNE18" s="13"/>
      <c r="GNF18" s="13"/>
      <c r="GNG18" s="13"/>
      <c r="GNH18" s="13"/>
      <c r="GNI18" s="13"/>
      <c r="GNJ18" s="13"/>
      <c r="GNK18" s="13"/>
      <c r="GNL18" s="13"/>
      <c r="GNM18" s="13"/>
      <c r="GNN18" s="13"/>
      <c r="GNO18" s="13"/>
      <c r="GNP18" s="13"/>
      <c r="GNQ18" s="13"/>
      <c r="GNR18" s="13"/>
      <c r="GNS18" s="13"/>
      <c r="GNT18" s="13"/>
      <c r="GNU18" s="13"/>
      <c r="GNV18" s="13"/>
      <c r="GNW18" s="13"/>
      <c r="GNX18" s="13"/>
      <c r="GNY18" s="13"/>
      <c r="GNZ18" s="13"/>
      <c r="GOA18" s="13"/>
      <c r="GOB18" s="13"/>
      <c r="GOC18" s="13"/>
      <c r="GOD18" s="13"/>
      <c r="GOE18" s="13"/>
      <c r="GOF18" s="13"/>
      <c r="GOG18" s="13"/>
      <c r="GOH18" s="13"/>
      <c r="GOI18" s="13"/>
      <c r="GOJ18" s="13"/>
      <c r="GOK18" s="13"/>
      <c r="GOL18" s="13"/>
      <c r="GOM18" s="13"/>
      <c r="GON18" s="13"/>
      <c r="GOO18" s="13"/>
      <c r="GOP18" s="13"/>
      <c r="GOQ18" s="13"/>
      <c r="GOR18" s="13"/>
      <c r="GOS18" s="13"/>
      <c r="GOT18" s="13"/>
      <c r="GOU18" s="13"/>
      <c r="GOV18" s="13"/>
      <c r="GOW18" s="13"/>
      <c r="GOX18" s="13"/>
      <c r="GOY18" s="13"/>
      <c r="GOZ18" s="13"/>
      <c r="GPA18" s="13"/>
      <c r="GPB18" s="13"/>
      <c r="GPC18" s="13"/>
      <c r="GPD18" s="13"/>
      <c r="GPE18" s="13"/>
      <c r="GPF18" s="13"/>
      <c r="GPG18" s="13"/>
      <c r="GPH18" s="13"/>
      <c r="GPI18" s="13"/>
      <c r="GPJ18" s="13"/>
      <c r="GPK18" s="13"/>
      <c r="GPL18" s="13"/>
      <c r="GPM18" s="13"/>
      <c r="GPN18" s="13"/>
      <c r="GPO18" s="13"/>
      <c r="GPP18" s="13"/>
      <c r="GPQ18" s="13"/>
      <c r="GPR18" s="13"/>
      <c r="GPS18" s="13"/>
      <c r="GPT18" s="13"/>
      <c r="GPU18" s="13"/>
      <c r="GPV18" s="13"/>
      <c r="GPW18" s="13"/>
      <c r="GPX18" s="13"/>
      <c r="GPY18" s="13"/>
      <c r="GPZ18" s="13"/>
      <c r="GQA18" s="13"/>
      <c r="GQB18" s="13"/>
      <c r="GQC18" s="13"/>
      <c r="GQD18" s="13"/>
      <c r="GQE18" s="13"/>
      <c r="GQF18" s="13"/>
      <c r="GQG18" s="13"/>
      <c r="GQH18" s="13"/>
      <c r="GQI18" s="13"/>
      <c r="GQJ18" s="13"/>
      <c r="GQK18" s="13"/>
      <c r="GQL18" s="13"/>
      <c r="GQM18" s="13"/>
      <c r="GQN18" s="13"/>
      <c r="GQO18" s="13"/>
      <c r="GQP18" s="13"/>
      <c r="GQQ18" s="13"/>
      <c r="GQR18" s="13"/>
      <c r="GQS18" s="13"/>
      <c r="GQT18" s="13"/>
      <c r="GQU18" s="13"/>
      <c r="GQV18" s="13"/>
      <c r="GQW18" s="13"/>
      <c r="GQX18" s="13"/>
      <c r="GQY18" s="13"/>
      <c r="GQZ18" s="13"/>
      <c r="GRA18" s="13"/>
      <c r="GRB18" s="13"/>
      <c r="GRC18" s="13"/>
      <c r="GRD18" s="13"/>
      <c r="GRE18" s="13"/>
      <c r="GRF18" s="13"/>
      <c r="GRG18" s="13"/>
      <c r="GRH18" s="13"/>
      <c r="GRI18" s="13"/>
      <c r="GRJ18" s="13"/>
      <c r="GRK18" s="13"/>
      <c r="GRL18" s="13"/>
      <c r="GRM18" s="13"/>
      <c r="GRN18" s="13"/>
      <c r="GRO18" s="13"/>
      <c r="GRP18" s="13"/>
      <c r="GRQ18" s="13"/>
      <c r="GRR18" s="13"/>
      <c r="GRS18" s="13"/>
      <c r="GRT18" s="13"/>
      <c r="GRU18" s="13"/>
      <c r="GRV18" s="13"/>
      <c r="GRW18" s="13"/>
      <c r="GRX18" s="13"/>
      <c r="GRY18" s="13"/>
      <c r="GRZ18" s="13"/>
      <c r="GSA18" s="13"/>
      <c r="GSB18" s="13"/>
      <c r="GSC18" s="13"/>
      <c r="GSD18" s="13"/>
      <c r="GSE18" s="13"/>
      <c r="GSF18" s="13"/>
      <c r="GSG18" s="13"/>
      <c r="GSH18" s="13"/>
      <c r="GSI18" s="13"/>
      <c r="GSJ18" s="13"/>
      <c r="GSK18" s="13"/>
      <c r="GSL18" s="13"/>
      <c r="GSM18" s="13"/>
      <c r="GSN18" s="13"/>
      <c r="GSO18" s="13"/>
      <c r="GSP18" s="13"/>
      <c r="GSQ18" s="13"/>
      <c r="GSR18" s="13"/>
      <c r="GSS18" s="13"/>
      <c r="GST18" s="13"/>
      <c r="GSU18" s="13"/>
      <c r="GSV18" s="13"/>
      <c r="GSW18" s="13"/>
      <c r="GSX18" s="13"/>
      <c r="GSY18" s="13"/>
      <c r="GSZ18" s="13"/>
      <c r="GTA18" s="13"/>
      <c r="GTB18" s="13"/>
      <c r="GTC18" s="13"/>
      <c r="GTD18" s="13"/>
      <c r="GTE18" s="13"/>
      <c r="GTF18" s="13"/>
      <c r="GTG18" s="13"/>
      <c r="GTH18" s="13"/>
      <c r="GTI18" s="13"/>
      <c r="GTJ18" s="13"/>
      <c r="GTK18" s="13"/>
      <c r="GTL18" s="13"/>
      <c r="GTM18" s="13"/>
      <c r="GTN18" s="13"/>
      <c r="GTO18" s="13"/>
      <c r="GTP18" s="13"/>
      <c r="GTQ18" s="13"/>
      <c r="GTR18" s="13"/>
      <c r="GTS18" s="13"/>
      <c r="GTT18" s="13"/>
      <c r="GTU18" s="13"/>
      <c r="GTV18" s="13"/>
      <c r="GTW18" s="13"/>
      <c r="GTX18" s="13"/>
      <c r="GTY18" s="13"/>
      <c r="GTZ18" s="13"/>
      <c r="GUA18" s="13"/>
      <c r="GUB18" s="13"/>
      <c r="GUC18" s="13"/>
      <c r="GUD18" s="13"/>
      <c r="GUE18" s="13"/>
      <c r="GUF18" s="13"/>
      <c r="GUG18" s="13"/>
      <c r="GUH18" s="13"/>
      <c r="GUI18" s="13"/>
      <c r="GUJ18" s="13"/>
      <c r="GUK18" s="13"/>
      <c r="GUL18" s="13"/>
      <c r="GUM18" s="13"/>
      <c r="GUN18" s="13"/>
      <c r="GUO18" s="13"/>
      <c r="GUP18" s="13"/>
      <c r="GUQ18" s="13"/>
      <c r="GUR18" s="13"/>
      <c r="GUS18" s="13"/>
      <c r="GUT18" s="13"/>
      <c r="GUU18" s="13"/>
      <c r="GUV18" s="13"/>
      <c r="GUW18" s="13"/>
      <c r="GUX18" s="13"/>
      <c r="GUY18" s="13"/>
      <c r="GUZ18" s="13"/>
      <c r="GVA18" s="13"/>
      <c r="GVB18" s="13"/>
      <c r="GVC18" s="13"/>
      <c r="GVD18" s="13"/>
      <c r="GVE18" s="13"/>
      <c r="GVF18" s="13"/>
      <c r="GVG18" s="13"/>
      <c r="GVH18" s="13"/>
      <c r="GVI18" s="13"/>
      <c r="GVJ18" s="13"/>
      <c r="GVK18" s="13"/>
      <c r="GVL18" s="13"/>
      <c r="GVM18" s="13"/>
      <c r="GVN18" s="13"/>
      <c r="GVO18" s="13"/>
      <c r="GVP18" s="13"/>
      <c r="GVQ18" s="13"/>
      <c r="GVR18" s="13"/>
      <c r="GVS18" s="13"/>
      <c r="GVT18" s="13"/>
      <c r="GVU18" s="13"/>
      <c r="GVV18" s="13"/>
      <c r="GVW18" s="13"/>
      <c r="GVX18" s="13"/>
      <c r="GVY18" s="13"/>
      <c r="GVZ18" s="13"/>
      <c r="GWA18" s="13"/>
      <c r="GWB18" s="13"/>
      <c r="GWC18" s="13"/>
      <c r="GWD18" s="13"/>
      <c r="GWE18" s="13"/>
      <c r="GWF18" s="13"/>
      <c r="GWG18" s="13"/>
      <c r="GWH18" s="13"/>
      <c r="GWI18" s="13"/>
      <c r="GWJ18" s="13"/>
      <c r="GWK18" s="13"/>
      <c r="GWL18" s="13"/>
      <c r="GWM18" s="13"/>
      <c r="GWN18" s="13"/>
      <c r="GWO18" s="13"/>
      <c r="GWP18" s="13"/>
      <c r="GWQ18" s="13"/>
      <c r="GWR18" s="13"/>
      <c r="GWS18" s="13"/>
      <c r="GWT18" s="13"/>
      <c r="GWU18" s="13"/>
      <c r="GWV18" s="13"/>
      <c r="GWW18" s="13"/>
      <c r="GWX18" s="13"/>
      <c r="GWY18" s="13"/>
      <c r="GWZ18" s="13"/>
      <c r="GXA18" s="13"/>
      <c r="GXB18" s="13"/>
      <c r="GXC18" s="13"/>
      <c r="GXD18" s="13"/>
      <c r="GXE18" s="13"/>
      <c r="GXF18" s="13"/>
      <c r="GXG18" s="13"/>
      <c r="GXH18" s="13"/>
      <c r="GXI18" s="13"/>
      <c r="GXJ18" s="13"/>
      <c r="GXK18" s="13"/>
      <c r="GXL18" s="13"/>
      <c r="GXM18" s="13"/>
      <c r="GXN18" s="13"/>
      <c r="GXO18" s="13"/>
      <c r="GXP18" s="13"/>
      <c r="GXQ18" s="13"/>
      <c r="GXR18" s="13"/>
      <c r="GXS18" s="13"/>
      <c r="GXT18" s="13"/>
      <c r="GXU18" s="13"/>
      <c r="GXV18" s="13"/>
      <c r="GXW18" s="13"/>
      <c r="GXX18" s="13"/>
      <c r="GXY18" s="13"/>
      <c r="GXZ18" s="13"/>
      <c r="GYA18" s="13"/>
      <c r="GYB18" s="13"/>
      <c r="GYC18" s="13"/>
      <c r="GYD18" s="13"/>
      <c r="GYE18" s="13"/>
      <c r="GYF18" s="13"/>
      <c r="GYG18" s="13"/>
      <c r="GYH18" s="13"/>
      <c r="GYI18" s="13"/>
      <c r="GYJ18" s="13"/>
      <c r="GYK18" s="13"/>
      <c r="GYL18" s="13"/>
      <c r="GYM18" s="13"/>
      <c r="GYN18" s="13"/>
      <c r="GYO18" s="13"/>
      <c r="GYP18" s="13"/>
      <c r="GYQ18" s="13"/>
      <c r="GYR18" s="13"/>
      <c r="GYS18" s="13"/>
      <c r="GYT18" s="13"/>
      <c r="GYU18" s="13"/>
      <c r="GYV18" s="13"/>
      <c r="GYW18" s="13"/>
      <c r="GYX18" s="13"/>
      <c r="GYY18" s="13"/>
      <c r="GYZ18" s="13"/>
      <c r="GZA18" s="13"/>
      <c r="GZB18" s="13"/>
      <c r="GZC18" s="13"/>
      <c r="GZD18" s="13"/>
      <c r="GZE18" s="13"/>
      <c r="GZF18" s="13"/>
      <c r="GZG18" s="13"/>
      <c r="GZH18" s="13"/>
      <c r="GZI18" s="13"/>
      <c r="GZJ18" s="13"/>
      <c r="GZK18" s="13"/>
      <c r="GZL18" s="13"/>
      <c r="GZM18" s="13"/>
      <c r="GZN18" s="13"/>
      <c r="GZO18" s="13"/>
      <c r="GZP18" s="13"/>
      <c r="GZQ18" s="13"/>
      <c r="GZR18" s="13"/>
      <c r="GZS18" s="13"/>
      <c r="GZT18" s="13"/>
      <c r="GZU18" s="13"/>
      <c r="GZV18" s="13"/>
      <c r="GZW18" s="13"/>
      <c r="GZX18" s="13"/>
      <c r="GZY18" s="13"/>
      <c r="GZZ18" s="13"/>
      <c r="HAA18" s="13"/>
      <c r="HAB18" s="13"/>
      <c r="HAC18" s="13"/>
      <c r="HAD18" s="13"/>
      <c r="HAE18" s="13"/>
      <c r="HAF18" s="13"/>
      <c r="HAG18" s="13"/>
      <c r="HAH18" s="13"/>
      <c r="HAI18" s="13"/>
      <c r="HAJ18" s="13"/>
      <c r="HAK18" s="13"/>
      <c r="HAL18" s="13"/>
      <c r="HAM18" s="13"/>
      <c r="HAN18" s="13"/>
      <c r="HAO18" s="13"/>
      <c r="HAP18" s="13"/>
      <c r="HAQ18" s="13"/>
      <c r="HAR18" s="13"/>
      <c r="HAS18" s="13"/>
      <c r="HAT18" s="13"/>
      <c r="HAU18" s="13"/>
      <c r="HAV18" s="13"/>
      <c r="HAW18" s="13"/>
      <c r="HAX18" s="13"/>
      <c r="HAY18" s="13"/>
      <c r="HAZ18" s="13"/>
      <c r="HBA18" s="13"/>
      <c r="HBB18" s="13"/>
      <c r="HBC18" s="13"/>
      <c r="HBD18" s="13"/>
      <c r="HBE18" s="13"/>
      <c r="HBF18" s="13"/>
      <c r="HBG18" s="13"/>
      <c r="HBH18" s="13"/>
      <c r="HBI18" s="13"/>
      <c r="HBJ18" s="13"/>
      <c r="HBK18" s="13"/>
      <c r="HBL18" s="13"/>
      <c r="HBM18" s="13"/>
      <c r="HBN18" s="13"/>
      <c r="HBO18" s="13"/>
      <c r="HBP18" s="13"/>
      <c r="HBQ18" s="13"/>
      <c r="HBR18" s="13"/>
      <c r="HBS18" s="13"/>
      <c r="HBT18" s="13"/>
      <c r="HBU18" s="13"/>
      <c r="HBV18" s="13"/>
      <c r="HBW18" s="13"/>
      <c r="HBX18" s="13"/>
      <c r="HBY18" s="13"/>
      <c r="HBZ18" s="13"/>
      <c r="HCA18" s="13"/>
      <c r="HCB18" s="13"/>
      <c r="HCC18" s="13"/>
      <c r="HCD18" s="13"/>
      <c r="HCE18" s="13"/>
      <c r="HCF18" s="13"/>
      <c r="HCG18" s="13"/>
      <c r="HCH18" s="13"/>
      <c r="HCI18" s="13"/>
      <c r="HCJ18" s="13"/>
      <c r="HCK18" s="13"/>
      <c r="HCL18" s="13"/>
      <c r="HCM18" s="13"/>
      <c r="HCN18" s="13"/>
      <c r="HCO18" s="13"/>
      <c r="HCP18" s="13"/>
      <c r="HCQ18" s="13"/>
      <c r="HCR18" s="13"/>
      <c r="HCS18" s="13"/>
      <c r="HCT18" s="13"/>
      <c r="HCU18" s="13"/>
      <c r="HCV18" s="13"/>
      <c r="HCW18" s="13"/>
      <c r="HCX18" s="13"/>
      <c r="HCY18" s="13"/>
      <c r="HCZ18" s="13"/>
      <c r="HDA18" s="13"/>
      <c r="HDB18" s="13"/>
      <c r="HDC18" s="13"/>
      <c r="HDD18" s="13"/>
      <c r="HDE18" s="13"/>
      <c r="HDF18" s="13"/>
      <c r="HDG18" s="13"/>
      <c r="HDH18" s="13"/>
      <c r="HDI18" s="13"/>
      <c r="HDJ18" s="13"/>
      <c r="HDK18" s="13"/>
      <c r="HDL18" s="13"/>
      <c r="HDM18" s="13"/>
      <c r="HDN18" s="13"/>
      <c r="HDO18" s="13"/>
      <c r="HDP18" s="13"/>
      <c r="HDQ18" s="13"/>
      <c r="HDR18" s="13"/>
      <c r="HDS18" s="13"/>
      <c r="HDT18" s="13"/>
      <c r="HDU18" s="13"/>
      <c r="HDV18" s="13"/>
      <c r="HDW18" s="13"/>
      <c r="HDX18" s="13"/>
      <c r="HDY18" s="13"/>
      <c r="HDZ18" s="13"/>
      <c r="HEA18" s="13"/>
      <c r="HEB18" s="13"/>
      <c r="HEC18" s="13"/>
      <c r="HED18" s="13"/>
      <c r="HEE18" s="13"/>
      <c r="HEF18" s="13"/>
      <c r="HEG18" s="13"/>
      <c r="HEH18" s="13"/>
      <c r="HEI18" s="13"/>
      <c r="HEJ18" s="13"/>
      <c r="HEK18" s="13"/>
      <c r="HEL18" s="13"/>
      <c r="HEM18" s="13"/>
      <c r="HEN18" s="13"/>
      <c r="HEO18" s="13"/>
      <c r="HEP18" s="13"/>
      <c r="HEQ18" s="13"/>
      <c r="HER18" s="13"/>
      <c r="HES18" s="13"/>
      <c r="HET18" s="13"/>
      <c r="HEU18" s="13"/>
      <c r="HEV18" s="13"/>
      <c r="HEW18" s="13"/>
      <c r="HEX18" s="13"/>
      <c r="HEY18" s="13"/>
      <c r="HEZ18" s="13"/>
      <c r="HFA18" s="13"/>
      <c r="HFB18" s="13"/>
      <c r="HFC18" s="13"/>
      <c r="HFD18" s="13"/>
      <c r="HFE18" s="13"/>
      <c r="HFF18" s="13"/>
      <c r="HFG18" s="13"/>
      <c r="HFH18" s="13"/>
      <c r="HFI18" s="13"/>
      <c r="HFJ18" s="13"/>
      <c r="HFK18" s="13"/>
      <c r="HFL18" s="13"/>
      <c r="HFM18" s="13"/>
      <c r="HFN18" s="13"/>
      <c r="HFO18" s="13"/>
      <c r="HFP18" s="13"/>
      <c r="HFQ18" s="13"/>
      <c r="HFR18" s="13"/>
      <c r="HFS18" s="13"/>
      <c r="HFT18" s="13"/>
      <c r="HFU18" s="13"/>
      <c r="HFV18" s="13"/>
      <c r="HFW18" s="13"/>
      <c r="HFX18" s="13"/>
      <c r="HFY18" s="13"/>
      <c r="HFZ18" s="13"/>
      <c r="HGA18" s="13"/>
      <c r="HGB18" s="13"/>
      <c r="HGC18" s="13"/>
      <c r="HGD18" s="13"/>
      <c r="HGE18" s="13"/>
      <c r="HGF18" s="13"/>
      <c r="HGG18" s="13"/>
      <c r="HGH18" s="13"/>
      <c r="HGI18" s="13"/>
      <c r="HGJ18" s="13"/>
      <c r="HGK18" s="13"/>
      <c r="HGL18" s="13"/>
      <c r="HGM18" s="13"/>
      <c r="HGN18" s="13"/>
      <c r="HGO18" s="13"/>
      <c r="HGP18" s="13"/>
      <c r="HGQ18" s="13"/>
      <c r="HGR18" s="13"/>
      <c r="HGS18" s="13"/>
      <c r="HGT18" s="13"/>
      <c r="HGU18" s="13"/>
      <c r="HGV18" s="13"/>
      <c r="HGW18" s="13"/>
      <c r="HGX18" s="13"/>
      <c r="HGY18" s="13"/>
      <c r="HGZ18" s="13"/>
      <c r="HHA18" s="13"/>
      <c r="HHB18" s="13"/>
      <c r="HHC18" s="13"/>
      <c r="HHD18" s="13"/>
      <c r="HHE18" s="13"/>
      <c r="HHF18" s="13"/>
      <c r="HHG18" s="13"/>
      <c r="HHH18" s="13"/>
      <c r="HHI18" s="13"/>
      <c r="HHJ18" s="13"/>
      <c r="HHK18" s="13"/>
      <c r="HHL18" s="13"/>
      <c r="HHM18" s="13"/>
      <c r="HHN18" s="13"/>
      <c r="HHO18" s="13"/>
      <c r="HHP18" s="13"/>
      <c r="HHQ18" s="13"/>
      <c r="HHR18" s="13"/>
      <c r="HHS18" s="13"/>
      <c r="HHT18" s="13"/>
      <c r="HHU18" s="13"/>
      <c r="HHV18" s="13"/>
      <c r="HHW18" s="13"/>
      <c r="HHX18" s="13"/>
      <c r="HHY18" s="13"/>
      <c r="HHZ18" s="13"/>
      <c r="HIA18" s="13"/>
      <c r="HIB18" s="13"/>
      <c r="HIC18" s="13"/>
      <c r="HID18" s="13"/>
      <c r="HIE18" s="13"/>
      <c r="HIF18" s="13"/>
      <c r="HIG18" s="13"/>
      <c r="HIH18" s="13"/>
      <c r="HII18" s="13"/>
      <c r="HIJ18" s="13"/>
      <c r="HIK18" s="13"/>
      <c r="HIL18" s="13"/>
      <c r="HIM18" s="13"/>
      <c r="HIN18" s="13"/>
      <c r="HIO18" s="13"/>
      <c r="HIP18" s="13"/>
      <c r="HIQ18" s="13"/>
      <c r="HIR18" s="13"/>
      <c r="HIS18" s="13"/>
      <c r="HIT18" s="13"/>
      <c r="HIU18" s="13"/>
      <c r="HIV18" s="13"/>
      <c r="HIW18" s="13"/>
      <c r="HIX18" s="13"/>
      <c r="HIY18" s="13"/>
      <c r="HIZ18" s="13"/>
      <c r="HJA18" s="13"/>
      <c r="HJB18" s="13"/>
      <c r="HJC18" s="13"/>
      <c r="HJD18" s="13"/>
      <c r="HJE18" s="13"/>
      <c r="HJF18" s="13"/>
      <c r="HJG18" s="13"/>
      <c r="HJH18" s="13"/>
      <c r="HJI18" s="13"/>
      <c r="HJJ18" s="13"/>
      <c r="HJK18" s="13"/>
      <c r="HJL18" s="13"/>
      <c r="HJM18" s="13"/>
      <c r="HJN18" s="13"/>
      <c r="HJO18" s="13"/>
      <c r="HJP18" s="13"/>
      <c r="HJQ18" s="13"/>
      <c r="HJR18" s="13"/>
      <c r="HJS18" s="13"/>
      <c r="HJT18" s="13"/>
      <c r="HJU18" s="13"/>
      <c r="HJV18" s="13"/>
      <c r="HJW18" s="13"/>
      <c r="HJX18" s="13"/>
      <c r="HJY18" s="13"/>
      <c r="HJZ18" s="13"/>
      <c r="HKA18" s="13"/>
      <c r="HKB18" s="13"/>
      <c r="HKC18" s="13"/>
      <c r="HKD18" s="13"/>
      <c r="HKE18" s="13"/>
      <c r="HKF18" s="13"/>
      <c r="HKG18" s="13"/>
      <c r="HKH18" s="13"/>
      <c r="HKI18" s="13"/>
      <c r="HKJ18" s="13"/>
      <c r="HKK18" s="13"/>
      <c r="HKL18" s="13"/>
      <c r="HKM18" s="13"/>
      <c r="HKN18" s="13"/>
      <c r="HKO18" s="13"/>
      <c r="HKP18" s="13"/>
      <c r="HKQ18" s="13"/>
      <c r="HKR18" s="13"/>
      <c r="HKS18" s="13"/>
      <c r="HKT18" s="13"/>
      <c r="HKU18" s="13"/>
      <c r="HKV18" s="13"/>
      <c r="HKW18" s="13"/>
      <c r="HKX18" s="13"/>
      <c r="HKY18" s="13"/>
      <c r="HKZ18" s="13"/>
      <c r="HLA18" s="13"/>
      <c r="HLB18" s="13"/>
      <c r="HLC18" s="13"/>
      <c r="HLD18" s="13"/>
      <c r="HLE18" s="13"/>
      <c r="HLF18" s="13"/>
      <c r="HLG18" s="13"/>
      <c r="HLH18" s="13"/>
      <c r="HLI18" s="13"/>
      <c r="HLJ18" s="13"/>
      <c r="HLK18" s="13"/>
      <c r="HLL18" s="13"/>
      <c r="HLM18" s="13"/>
      <c r="HLN18" s="13"/>
      <c r="HLO18" s="13"/>
      <c r="HLP18" s="13"/>
      <c r="HLQ18" s="13"/>
      <c r="HLR18" s="13"/>
      <c r="HLS18" s="13"/>
      <c r="HLT18" s="13"/>
      <c r="HLU18" s="13"/>
      <c r="HLV18" s="13"/>
      <c r="HLW18" s="13"/>
      <c r="HLX18" s="13"/>
      <c r="HLY18" s="13"/>
      <c r="HLZ18" s="13"/>
      <c r="HMA18" s="13"/>
      <c r="HMB18" s="13"/>
      <c r="HMC18" s="13"/>
      <c r="HMD18" s="13"/>
      <c r="HME18" s="13"/>
      <c r="HMF18" s="13"/>
      <c r="HMG18" s="13"/>
      <c r="HMH18" s="13"/>
      <c r="HMI18" s="13"/>
      <c r="HMJ18" s="13"/>
      <c r="HMK18" s="13"/>
      <c r="HML18" s="13"/>
      <c r="HMM18" s="13"/>
      <c r="HMN18" s="13"/>
      <c r="HMO18" s="13"/>
      <c r="HMP18" s="13"/>
      <c r="HMQ18" s="13"/>
      <c r="HMR18" s="13"/>
      <c r="HMS18" s="13"/>
      <c r="HMT18" s="13"/>
      <c r="HMU18" s="13"/>
      <c r="HMV18" s="13"/>
      <c r="HMW18" s="13"/>
      <c r="HMX18" s="13"/>
      <c r="HMY18" s="13"/>
      <c r="HMZ18" s="13"/>
      <c r="HNA18" s="13"/>
      <c r="HNB18" s="13"/>
      <c r="HNC18" s="13"/>
      <c r="HND18" s="13"/>
      <c r="HNE18" s="13"/>
      <c r="HNF18" s="13"/>
      <c r="HNG18" s="13"/>
      <c r="HNH18" s="13"/>
      <c r="HNI18" s="13"/>
      <c r="HNJ18" s="13"/>
      <c r="HNK18" s="13"/>
      <c r="HNL18" s="13"/>
      <c r="HNM18" s="13"/>
      <c r="HNN18" s="13"/>
      <c r="HNO18" s="13"/>
      <c r="HNP18" s="13"/>
      <c r="HNQ18" s="13"/>
      <c r="HNR18" s="13"/>
      <c r="HNS18" s="13"/>
      <c r="HNT18" s="13"/>
      <c r="HNU18" s="13"/>
      <c r="HNV18" s="13"/>
      <c r="HNW18" s="13"/>
      <c r="HNX18" s="13"/>
      <c r="HNY18" s="13"/>
      <c r="HNZ18" s="13"/>
      <c r="HOA18" s="13"/>
      <c r="HOB18" s="13"/>
      <c r="HOC18" s="13"/>
      <c r="HOD18" s="13"/>
      <c r="HOE18" s="13"/>
      <c r="HOF18" s="13"/>
      <c r="HOG18" s="13"/>
      <c r="HOH18" s="13"/>
      <c r="HOI18" s="13"/>
      <c r="HOJ18" s="13"/>
      <c r="HOK18" s="13"/>
      <c r="HOL18" s="13"/>
      <c r="HOM18" s="13"/>
      <c r="HON18" s="13"/>
      <c r="HOO18" s="13"/>
      <c r="HOP18" s="13"/>
      <c r="HOQ18" s="13"/>
      <c r="HOR18" s="13"/>
      <c r="HOS18" s="13"/>
      <c r="HOT18" s="13"/>
      <c r="HOU18" s="13"/>
      <c r="HOV18" s="13"/>
      <c r="HOW18" s="13"/>
      <c r="HOX18" s="13"/>
      <c r="HOY18" s="13"/>
      <c r="HOZ18" s="13"/>
      <c r="HPA18" s="13"/>
      <c r="HPB18" s="13"/>
      <c r="HPC18" s="13"/>
      <c r="HPD18" s="13"/>
      <c r="HPE18" s="13"/>
      <c r="HPF18" s="13"/>
      <c r="HPG18" s="13"/>
      <c r="HPH18" s="13"/>
      <c r="HPI18" s="13"/>
      <c r="HPJ18" s="13"/>
      <c r="HPK18" s="13"/>
      <c r="HPL18" s="13"/>
      <c r="HPM18" s="13"/>
      <c r="HPN18" s="13"/>
      <c r="HPO18" s="13"/>
      <c r="HPP18" s="13"/>
      <c r="HPQ18" s="13"/>
      <c r="HPR18" s="13"/>
      <c r="HPS18" s="13"/>
      <c r="HPT18" s="13"/>
      <c r="HPU18" s="13"/>
      <c r="HPV18" s="13"/>
      <c r="HPW18" s="13"/>
      <c r="HPX18" s="13"/>
      <c r="HPY18" s="13"/>
      <c r="HPZ18" s="13"/>
      <c r="HQA18" s="13"/>
      <c r="HQB18" s="13"/>
      <c r="HQC18" s="13"/>
      <c r="HQD18" s="13"/>
      <c r="HQE18" s="13"/>
      <c r="HQF18" s="13"/>
      <c r="HQG18" s="13"/>
      <c r="HQH18" s="13"/>
      <c r="HQI18" s="13"/>
      <c r="HQJ18" s="13"/>
      <c r="HQK18" s="13"/>
      <c r="HQL18" s="13"/>
      <c r="HQM18" s="13"/>
      <c r="HQN18" s="13"/>
      <c r="HQO18" s="13"/>
      <c r="HQP18" s="13"/>
      <c r="HQQ18" s="13"/>
      <c r="HQR18" s="13"/>
      <c r="HQS18" s="13"/>
      <c r="HQT18" s="13"/>
      <c r="HQU18" s="13"/>
      <c r="HQV18" s="13"/>
      <c r="HQW18" s="13"/>
      <c r="HQX18" s="13"/>
      <c r="HQY18" s="13"/>
      <c r="HQZ18" s="13"/>
      <c r="HRA18" s="13"/>
      <c r="HRB18" s="13"/>
      <c r="HRC18" s="13"/>
      <c r="HRD18" s="13"/>
      <c r="HRE18" s="13"/>
      <c r="HRF18" s="13"/>
      <c r="HRG18" s="13"/>
      <c r="HRH18" s="13"/>
      <c r="HRI18" s="13"/>
      <c r="HRJ18" s="13"/>
      <c r="HRK18" s="13"/>
      <c r="HRL18" s="13"/>
      <c r="HRM18" s="13"/>
      <c r="HRN18" s="13"/>
      <c r="HRO18" s="13"/>
      <c r="HRP18" s="13"/>
      <c r="HRQ18" s="13"/>
      <c r="HRR18" s="13"/>
      <c r="HRS18" s="13"/>
      <c r="HRT18" s="13"/>
      <c r="HRU18" s="13"/>
      <c r="HRV18" s="13"/>
      <c r="HRW18" s="13"/>
      <c r="HRX18" s="13"/>
      <c r="HRY18" s="13"/>
      <c r="HRZ18" s="13"/>
      <c r="HSA18" s="13"/>
      <c r="HSB18" s="13"/>
      <c r="HSC18" s="13"/>
      <c r="HSD18" s="13"/>
      <c r="HSE18" s="13"/>
      <c r="HSF18" s="13"/>
      <c r="HSG18" s="13"/>
      <c r="HSH18" s="13"/>
      <c r="HSI18" s="13"/>
      <c r="HSJ18" s="13"/>
      <c r="HSK18" s="13"/>
      <c r="HSL18" s="13"/>
      <c r="HSM18" s="13"/>
      <c r="HSN18" s="13"/>
      <c r="HSO18" s="13"/>
      <c r="HSP18" s="13"/>
      <c r="HSQ18" s="13"/>
      <c r="HSR18" s="13"/>
      <c r="HSS18" s="13"/>
      <c r="HST18" s="13"/>
      <c r="HSU18" s="13"/>
      <c r="HSV18" s="13"/>
      <c r="HSW18" s="13"/>
      <c r="HSX18" s="13"/>
      <c r="HSY18" s="13"/>
      <c r="HSZ18" s="13"/>
      <c r="HTA18" s="13"/>
      <c r="HTB18" s="13"/>
      <c r="HTC18" s="13"/>
      <c r="HTD18" s="13"/>
      <c r="HTE18" s="13"/>
      <c r="HTF18" s="13"/>
      <c r="HTG18" s="13"/>
      <c r="HTH18" s="13"/>
      <c r="HTI18" s="13"/>
      <c r="HTJ18" s="13"/>
      <c r="HTK18" s="13"/>
      <c r="HTL18" s="13"/>
      <c r="HTM18" s="13"/>
      <c r="HTN18" s="13"/>
      <c r="HTO18" s="13"/>
      <c r="HTP18" s="13"/>
      <c r="HTQ18" s="13"/>
      <c r="HTR18" s="13"/>
      <c r="HTS18" s="13"/>
      <c r="HTT18" s="13"/>
      <c r="HTU18" s="13"/>
      <c r="HTV18" s="13"/>
      <c r="HTW18" s="13"/>
      <c r="HTX18" s="13"/>
      <c r="HTY18" s="13"/>
      <c r="HTZ18" s="13"/>
      <c r="HUA18" s="13"/>
      <c r="HUB18" s="13"/>
      <c r="HUC18" s="13"/>
      <c r="HUD18" s="13"/>
      <c r="HUE18" s="13"/>
      <c r="HUF18" s="13"/>
      <c r="HUG18" s="13"/>
      <c r="HUH18" s="13"/>
      <c r="HUI18" s="13"/>
      <c r="HUJ18" s="13"/>
      <c r="HUK18" s="13"/>
      <c r="HUL18" s="13"/>
      <c r="HUM18" s="13"/>
      <c r="HUN18" s="13"/>
      <c r="HUO18" s="13"/>
      <c r="HUP18" s="13"/>
      <c r="HUQ18" s="13"/>
      <c r="HUR18" s="13"/>
      <c r="HUS18" s="13"/>
      <c r="HUT18" s="13"/>
      <c r="HUU18" s="13"/>
      <c r="HUV18" s="13"/>
      <c r="HUW18" s="13"/>
      <c r="HUX18" s="13"/>
      <c r="HUY18" s="13"/>
      <c r="HUZ18" s="13"/>
      <c r="HVA18" s="13"/>
      <c r="HVB18" s="13"/>
      <c r="HVC18" s="13"/>
      <c r="HVD18" s="13"/>
      <c r="HVE18" s="13"/>
      <c r="HVF18" s="13"/>
      <c r="HVG18" s="13"/>
      <c r="HVH18" s="13"/>
      <c r="HVI18" s="13"/>
      <c r="HVJ18" s="13"/>
      <c r="HVK18" s="13"/>
      <c r="HVL18" s="13"/>
      <c r="HVM18" s="13"/>
      <c r="HVN18" s="13"/>
      <c r="HVO18" s="13"/>
      <c r="HVP18" s="13"/>
      <c r="HVQ18" s="13"/>
      <c r="HVR18" s="13"/>
      <c r="HVS18" s="13"/>
      <c r="HVT18" s="13"/>
      <c r="HVU18" s="13"/>
      <c r="HVV18" s="13"/>
      <c r="HVW18" s="13"/>
      <c r="HVX18" s="13"/>
      <c r="HVY18" s="13"/>
      <c r="HVZ18" s="13"/>
      <c r="HWA18" s="13"/>
      <c r="HWB18" s="13"/>
      <c r="HWC18" s="13"/>
      <c r="HWD18" s="13"/>
      <c r="HWE18" s="13"/>
      <c r="HWF18" s="13"/>
      <c r="HWG18" s="13"/>
      <c r="HWH18" s="13"/>
      <c r="HWI18" s="13"/>
      <c r="HWJ18" s="13"/>
      <c r="HWK18" s="13"/>
      <c r="HWL18" s="13"/>
      <c r="HWM18" s="13"/>
      <c r="HWN18" s="13"/>
      <c r="HWO18" s="13"/>
      <c r="HWP18" s="13"/>
      <c r="HWQ18" s="13"/>
      <c r="HWR18" s="13"/>
      <c r="HWS18" s="13"/>
      <c r="HWT18" s="13"/>
      <c r="HWU18" s="13"/>
      <c r="HWV18" s="13"/>
      <c r="HWW18" s="13"/>
      <c r="HWX18" s="13"/>
      <c r="HWY18" s="13"/>
      <c r="HWZ18" s="13"/>
      <c r="HXA18" s="13"/>
      <c r="HXB18" s="13"/>
      <c r="HXC18" s="13"/>
      <c r="HXD18" s="13"/>
      <c r="HXE18" s="13"/>
      <c r="HXF18" s="13"/>
      <c r="HXG18" s="13"/>
      <c r="HXH18" s="13"/>
      <c r="HXI18" s="13"/>
      <c r="HXJ18" s="13"/>
      <c r="HXK18" s="13"/>
      <c r="HXL18" s="13"/>
      <c r="HXM18" s="13"/>
      <c r="HXN18" s="13"/>
      <c r="HXO18" s="13"/>
      <c r="HXP18" s="13"/>
      <c r="HXQ18" s="13"/>
      <c r="HXR18" s="13"/>
      <c r="HXS18" s="13"/>
      <c r="HXT18" s="13"/>
      <c r="HXU18" s="13"/>
      <c r="HXV18" s="13"/>
      <c r="HXW18" s="13"/>
      <c r="HXX18" s="13"/>
      <c r="HXY18" s="13"/>
      <c r="HXZ18" s="13"/>
      <c r="HYA18" s="13"/>
      <c r="HYB18" s="13"/>
      <c r="HYC18" s="13"/>
      <c r="HYD18" s="13"/>
      <c r="HYE18" s="13"/>
      <c r="HYF18" s="13"/>
      <c r="HYG18" s="13"/>
      <c r="HYH18" s="13"/>
      <c r="HYI18" s="13"/>
      <c r="HYJ18" s="13"/>
      <c r="HYK18" s="13"/>
      <c r="HYL18" s="13"/>
      <c r="HYM18" s="13"/>
      <c r="HYN18" s="13"/>
      <c r="HYO18" s="13"/>
      <c r="HYP18" s="13"/>
      <c r="HYQ18" s="13"/>
      <c r="HYR18" s="13"/>
      <c r="HYS18" s="13"/>
      <c r="HYT18" s="13"/>
      <c r="HYU18" s="13"/>
      <c r="HYV18" s="13"/>
      <c r="HYW18" s="13"/>
      <c r="HYX18" s="13"/>
      <c r="HYY18" s="13"/>
      <c r="HYZ18" s="13"/>
      <c r="HZA18" s="13"/>
      <c r="HZB18" s="13"/>
      <c r="HZC18" s="13"/>
      <c r="HZD18" s="13"/>
      <c r="HZE18" s="13"/>
      <c r="HZF18" s="13"/>
      <c r="HZG18" s="13"/>
      <c r="HZH18" s="13"/>
      <c r="HZI18" s="13"/>
      <c r="HZJ18" s="13"/>
      <c r="HZK18" s="13"/>
      <c r="HZL18" s="13"/>
      <c r="HZM18" s="13"/>
      <c r="HZN18" s="13"/>
      <c r="HZO18" s="13"/>
      <c r="HZP18" s="13"/>
      <c r="HZQ18" s="13"/>
      <c r="HZR18" s="13"/>
      <c r="HZS18" s="13"/>
      <c r="HZT18" s="13"/>
      <c r="HZU18" s="13"/>
      <c r="HZV18" s="13"/>
      <c r="HZW18" s="13"/>
      <c r="HZX18" s="13"/>
      <c r="HZY18" s="13"/>
      <c r="HZZ18" s="13"/>
      <c r="IAA18" s="13"/>
      <c r="IAB18" s="13"/>
      <c r="IAC18" s="13"/>
      <c r="IAD18" s="13"/>
      <c r="IAE18" s="13"/>
      <c r="IAF18" s="13"/>
      <c r="IAG18" s="13"/>
      <c r="IAH18" s="13"/>
      <c r="IAI18" s="13"/>
      <c r="IAJ18" s="13"/>
      <c r="IAK18" s="13"/>
      <c r="IAL18" s="13"/>
      <c r="IAM18" s="13"/>
      <c r="IAN18" s="13"/>
      <c r="IAO18" s="13"/>
      <c r="IAP18" s="13"/>
      <c r="IAQ18" s="13"/>
      <c r="IAR18" s="13"/>
      <c r="IAS18" s="13"/>
      <c r="IAT18" s="13"/>
      <c r="IAU18" s="13"/>
      <c r="IAV18" s="13"/>
      <c r="IAW18" s="13"/>
      <c r="IAX18" s="13"/>
      <c r="IAY18" s="13"/>
      <c r="IAZ18" s="13"/>
      <c r="IBA18" s="13"/>
      <c r="IBB18" s="13"/>
      <c r="IBC18" s="13"/>
      <c r="IBD18" s="13"/>
      <c r="IBE18" s="13"/>
      <c r="IBF18" s="13"/>
      <c r="IBG18" s="13"/>
      <c r="IBH18" s="13"/>
      <c r="IBI18" s="13"/>
      <c r="IBJ18" s="13"/>
      <c r="IBK18" s="13"/>
      <c r="IBL18" s="13"/>
      <c r="IBM18" s="13"/>
      <c r="IBN18" s="13"/>
      <c r="IBO18" s="13"/>
      <c r="IBP18" s="13"/>
      <c r="IBQ18" s="13"/>
      <c r="IBR18" s="13"/>
      <c r="IBS18" s="13"/>
      <c r="IBT18" s="13"/>
      <c r="IBU18" s="13"/>
      <c r="IBV18" s="13"/>
      <c r="IBW18" s="13"/>
      <c r="IBX18" s="13"/>
      <c r="IBY18" s="13"/>
      <c r="IBZ18" s="13"/>
      <c r="ICA18" s="13"/>
      <c r="ICB18" s="13"/>
      <c r="ICC18" s="13"/>
      <c r="ICD18" s="13"/>
      <c r="ICE18" s="13"/>
      <c r="ICF18" s="13"/>
      <c r="ICG18" s="13"/>
      <c r="ICH18" s="13"/>
      <c r="ICI18" s="13"/>
      <c r="ICJ18" s="13"/>
      <c r="ICK18" s="13"/>
      <c r="ICL18" s="13"/>
      <c r="ICM18" s="13"/>
      <c r="ICN18" s="13"/>
      <c r="ICO18" s="13"/>
      <c r="ICP18" s="13"/>
      <c r="ICQ18" s="13"/>
      <c r="ICR18" s="13"/>
      <c r="ICS18" s="13"/>
      <c r="ICT18" s="13"/>
      <c r="ICU18" s="13"/>
      <c r="ICV18" s="13"/>
      <c r="ICW18" s="13"/>
      <c r="ICX18" s="13"/>
      <c r="ICY18" s="13"/>
      <c r="ICZ18" s="13"/>
      <c r="IDA18" s="13"/>
      <c r="IDB18" s="13"/>
      <c r="IDC18" s="13"/>
      <c r="IDD18" s="13"/>
      <c r="IDE18" s="13"/>
      <c r="IDF18" s="13"/>
      <c r="IDG18" s="13"/>
      <c r="IDH18" s="13"/>
      <c r="IDI18" s="13"/>
      <c r="IDJ18" s="13"/>
      <c r="IDK18" s="13"/>
      <c r="IDL18" s="13"/>
      <c r="IDM18" s="13"/>
      <c r="IDN18" s="13"/>
      <c r="IDO18" s="13"/>
      <c r="IDP18" s="13"/>
      <c r="IDQ18" s="13"/>
      <c r="IDR18" s="13"/>
      <c r="IDS18" s="13"/>
      <c r="IDT18" s="13"/>
      <c r="IDU18" s="13"/>
      <c r="IDV18" s="13"/>
      <c r="IDW18" s="13"/>
      <c r="IDX18" s="13"/>
      <c r="IDY18" s="13"/>
      <c r="IDZ18" s="13"/>
      <c r="IEA18" s="13"/>
      <c r="IEB18" s="13"/>
      <c r="IEC18" s="13"/>
      <c r="IED18" s="13"/>
      <c r="IEE18" s="13"/>
      <c r="IEF18" s="13"/>
      <c r="IEG18" s="13"/>
      <c r="IEH18" s="13"/>
      <c r="IEI18" s="13"/>
      <c r="IEJ18" s="13"/>
      <c r="IEK18" s="13"/>
      <c r="IEL18" s="13"/>
      <c r="IEM18" s="13"/>
      <c r="IEN18" s="13"/>
      <c r="IEO18" s="13"/>
      <c r="IEP18" s="13"/>
      <c r="IEQ18" s="13"/>
      <c r="IER18" s="13"/>
      <c r="IES18" s="13"/>
      <c r="IET18" s="13"/>
      <c r="IEU18" s="13"/>
      <c r="IEV18" s="13"/>
      <c r="IEW18" s="13"/>
      <c r="IEX18" s="13"/>
      <c r="IEY18" s="13"/>
      <c r="IEZ18" s="13"/>
      <c r="IFA18" s="13"/>
      <c r="IFB18" s="13"/>
      <c r="IFC18" s="13"/>
      <c r="IFD18" s="13"/>
      <c r="IFE18" s="13"/>
      <c r="IFF18" s="13"/>
      <c r="IFG18" s="13"/>
      <c r="IFH18" s="13"/>
      <c r="IFI18" s="13"/>
      <c r="IFJ18" s="13"/>
      <c r="IFK18" s="13"/>
      <c r="IFL18" s="13"/>
      <c r="IFM18" s="13"/>
      <c r="IFN18" s="13"/>
      <c r="IFO18" s="13"/>
      <c r="IFP18" s="13"/>
      <c r="IFQ18" s="13"/>
      <c r="IFR18" s="13"/>
      <c r="IFS18" s="13"/>
      <c r="IFT18" s="13"/>
      <c r="IFU18" s="13"/>
      <c r="IFV18" s="13"/>
      <c r="IFW18" s="13"/>
      <c r="IFX18" s="13"/>
      <c r="IFY18" s="13"/>
      <c r="IFZ18" s="13"/>
      <c r="IGA18" s="13"/>
      <c r="IGB18" s="13"/>
      <c r="IGC18" s="13"/>
      <c r="IGD18" s="13"/>
      <c r="IGE18" s="13"/>
      <c r="IGF18" s="13"/>
      <c r="IGG18" s="13"/>
      <c r="IGH18" s="13"/>
      <c r="IGI18" s="13"/>
      <c r="IGJ18" s="13"/>
      <c r="IGK18" s="13"/>
      <c r="IGL18" s="13"/>
      <c r="IGM18" s="13"/>
      <c r="IGN18" s="13"/>
      <c r="IGO18" s="13"/>
      <c r="IGP18" s="13"/>
      <c r="IGQ18" s="13"/>
      <c r="IGR18" s="13"/>
      <c r="IGS18" s="13"/>
      <c r="IGT18" s="13"/>
      <c r="IGU18" s="13"/>
      <c r="IGV18" s="13"/>
      <c r="IGW18" s="13"/>
      <c r="IGX18" s="13"/>
      <c r="IGY18" s="13"/>
      <c r="IGZ18" s="13"/>
      <c r="IHA18" s="13"/>
      <c r="IHB18" s="13"/>
      <c r="IHC18" s="13"/>
      <c r="IHD18" s="13"/>
      <c r="IHE18" s="13"/>
      <c r="IHF18" s="13"/>
      <c r="IHG18" s="13"/>
      <c r="IHH18" s="13"/>
      <c r="IHI18" s="13"/>
      <c r="IHJ18" s="13"/>
      <c r="IHK18" s="13"/>
      <c r="IHL18" s="13"/>
      <c r="IHM18" s="13"/>
      <c r="IHN18" s="13"/>
      <c r="IHO18" s="13"/>
      <c r="IHP18" s="13"/>
      <c r="IHQ18" s="13"/>
      <c r="IHR18" s="13"/>
      <c r="IHS18" s="13"/>
      <c r="IHT18" s="13"/>
      <c r="IHU18" s="13"/>
      <c r="IHV18" s="13"/>
      <c r="IHW18" s="13"/>
      <c r="IHX18" s="13"/>
      <c r="IHY18" s="13"/>
      <c r="IHZ18" s="13"/>
      <c r="IIA18" s="13"/>
      <c r="IIB18" s="13"/>
      <c r="IIC18" s="13"/>
      <c r="IID18" s="13"/>
      <c r="IIE18" s="13"/>
      <c r="IIF18" s="13"/>
      <c r="IIG18" s="13"/>
      <c r="IIH18" s="13"/>
      <c r="III18" s="13"/>
      <c r="IIJ18" s="13"/>
      <c r="IIK18" s="13"/>
      <c r="IIL18" s="13"/>
      <c r="IIM18" s="13"/>
      <c r="IIN18" s="13"/>
      <c r="IIO18" s="13"/>
      <c r="IIP18" s="13"/>
      <c r="IIQ18" s="13"/>
      <c r="IIR18" s="13"/>
      <c r="IIS18" s="13"/>
      <c r="IIT18" s="13"/>
      <c r="IIU18" s="13"/>
      <c r="IIV18" s="13"/>
      <c r="IIW18" s="13"/>
      <c r="IIX18" s="13"/>
      <c r="IIY18" s="13"/>
      <c r="IIZ18" s="13"/>
      <c r="IJA18" s="13"/>
      <c r="IJB18" s="13"/>
      <c r="IJC18" s="13"/>
      <c r="IJD18" s="13"/>
      <c r="IJE18" s="13"/>
      <c r="IJF18" s="13"/>
      <c r="IJG18" s="13"/>
      <c r="IJH18" s="13"/>
      <c r="IJI18" s="13"/>
      <c r="IJJ18" s="13"/>
      <c r="IJK18" s="13"/>
      <c r="IJL18" s="13"/>
      <c r="IJM18" s="13"/>
      <c r="IJN18" s="13"/>
      <c r="IJO18" s="13"/>
      <c r="IJP18" s="13"/>
      <c r="IJQ18" s="13"/>
      <c r="IJR18" s="13"/>
      <c r="IJS18" s="13"/>
      <c r="IJT18" s="13"/>
      <c r="IJU18" s="13"/>
      <c r="IJV18" s="13"/>
      <c r="IJW18" s="13"/>
      <c r="IJX18" s="13"/>
      <c r="IJY18" s="13"/>
      <c r="IJZ18" s="13"/>
      <c r="IKA18" s="13"/>
      <c r="IKB18" s="13"/>
      <c r="IKC18" s="13"/>
      <c r="IKD18" s="13"/>
      <c r="IKE18" s="13"/>
      <c r="IKF18" s="13"/>
      <c r="IKG18" s="13"/>
      <c r="IKH18" s="13"/>
      <c r="IKI18" s="13"/>
      <c r="IKJ18" s="13"/>
      <c r="IKK18" s="13"/>
      <c r="IKL18" s="13"/>
      <c r="IKM18" s="13"/>
      <c r="IKN18" s="13"/>
      <c r="IKO18" s="13"/>
      <c r="IKP18" s="13"/>
      <c r="IKQ18" s="13"/>
      <c r="IKR18" s="13"/>
      <c r="IKS18" s="13"/>
      <c r="IKT18" s="13"/>
      <c r="IKU18" s="13"/>
      <c r="IKV18" s="13"/>
      <c r="IKW18" s="13"/>
      <c r="IKX18" s="13"/>
      <c r="IKY18" s="13"/>
      <c r="IKZ18" s="13"/>
      <c r="ILA18" s="13"/>
      <c r="ILB18" s="13"/>
      <c r="ILC18" s="13"/>
      <c r="ILD18" s="13"/>
      <c r="ILE18" s="13"/>
      <c r="ILF18" s="13"/>
      <c r="ILG18" s="13"/>
      <c r="ILH18" s="13"/>
      <c r="ILI18" s="13"/>
      <c r="ILJ18" s="13"/>
      <c r="ILK18" s="13"/>
      <c r="ILL18" s="13"/>
      <c r="ILM18" s="13"/>
      <c r="ILN18" s="13"/>
      <c r="ILO18" s="13"/>
      <c r="ILP18" s="13"/>
      <c r="ILQ18" s="13"/>
      <c r="ILR18" s="13"/>
      <c r="ILS18" s="13"/>
      <c r="ILT18" s="13"/>
      <c r="ILU18" s="13"/>
      <c r="ILV18" s="13"/>
      <c r="ILW18" s="13"/>
      <c r="ILX18" s="13"/>
      <c r="ILY18" s="13"/>
      <c r="ILZ18" s="13"/>
      <c r="IMA18" s="13"/>
      <c r="IMB18" s="13"/>
      <c r="IMC18" s="13"/>
      <c r="IMD18" s="13"/>
      <c r="IME18" s="13"/>
      <c r="IMF18" s="13"/>
      <c r="IMG18" s="13"/>
      <c r="IMH18" s="13"/>
      <c r="IMI18" s="13"/>
      <c r="IMJ18" s="13"/>
      <c r="IMK18" s="13"/>
      <c r="IML18" s="13"/>
      <c r="IMM18" s="13"/>
      <c r="IMN18" s="13"/>
      <c r="IMO18" s="13"/>
      <c r="IMP18" s="13"/>
      <c r="IMQ18" s="13"/>
      <c r="IMR18" s="13"/>
      <c r="IMS18" s="13"/>
      <c r="IMT18" s="13"/>
      <c r="IMU18" s="13"/>
      <c r="IMV18" s="13"/>
      <c r="IMW18" s="13"/>
      <c r="IMX18" s="13"/>
      <c r="IMY18" s="13"/>
      <c r="IMZ18" s="13"/>
      <c r="INA18" s="13"/>
      <c r="INB18" s="13"/>
      <c r="INC18" s="13"/>
      <c r="IND18" s="13"/>
      <c r="INE18" s="13"/>
      <c r="INF18" s="13"/>
      <c r="ING18" s="13"/>
      <c r="INH18" s="13"/>
      <c r="INI18" s="13"/>
      <c r="INJ18" s="13"/>
      <c r="INK18" s="13"/>
      <c r="INL18" s="13"/>
      <c r="INM18" s="13"/>
      <c r="INN18" s="13"/>
      <c r="INO18" s="13"/>
      <c r="INP18" s="13"/>
      <c r="INQ18" s="13"/>
      <c r="INR18" s="13"/>
      <c r="INS18" s="13"/>
      <c r="INT18" s="13"/>
      <c r="INU18" s="13"/>
      <c r="INV18" s="13"/>
      <c r="INW18" s="13"/>
      <c r="INX18" s="13"/>
      <c r="INY18" s="13"/>
      <c r="INZ18" s="13"/>
      <c r="IOA18" s="13"/>
      <c r="IOB18" s="13"/>
      <c r="IOC18" s="13"/>
      <c r="IOD18" s="13"/>
      <c r="IOE18" s="13"/>
      <c r="IOF18" s="13"/>
      <c r="IOG18" s="13"/>
      <c r="IOH18" s="13"/>
      <c r="IOI18" s="13"/>
      <c r="IOJ18" s="13"/>
      <c r="IOK18" s="13"/>
      <c r="IOL18" s="13"/>
      <c r="IOM18" s="13"/>
      <c r="ION18" s="13"/>
      <c r="IOO18" s="13"/>
      <c r="IOP18" s="13"/>
      <c r="IOQ18" s="13"/>
      <c r="IOR18" s="13"/>
      <c r="IOS18" s="13"/>
      <c r="IOT18" s="13"/>
      <c r="IOU18" s="13"/>
      <c r="IOV18" s="13"/>
      <c r="IOW18" s="13"/>
      <c r="IOX18" s="13"/>
      <c r="IOY18" s="13"/>
      <c r="IOZ18" s="13"/>
      <c r="IPA18" s="13"/>
      <c r="IPB18" s="13"/>
      <c r="IPC18" s="13"/>
      <c r="IPD18" s="13"/>
      <c r="IPE18" s="13"/>
      <c r="IPF18" s="13"/>
      <c r="IPG18" s="13"/>
      <c r="IPH18" s="13"/>
      <c r="IPI18" s="13"/>
      <c r="IPJ18" s="13"/>
      <c r="IPK18" s="13"/>
      <c r="IPL18" s="13"/>
      <c r="IPM18" s="13"/>
      <c r="IPN18" s="13"/>
      <c r="IPO18" s="13"/>
      <c r="IPP18" s="13"/>
      <c r="IPQ18" s="13"/>
      <c r="IPR18" s="13"/>
      <c r="IPS18" s="13"/>
      <c r="IPT18" s="13"/>
      <c r="IPU18" s="13"/>
      <c r="IPV18" s="13"/>
      <c r="IPW18" s="13"/>
      <c r="IPX18" s="13"/>
      <c r="IPY18" s="13"/>
      <c r="IPZ18" s="13"/>
      <c r="IQA18" s="13"/>
      <c r="IQB18" s="13"/>
      <c r="IQC18" s="13"/>
      <c r="IQD18" s="13"/>
      <c r="IQE18" s="13"/>
      <c r="IQF18" s="13"/>
      <c r="IQG18" s="13"/>
      <c r="IQH18" s="13"/>
      <c r="IQI18" s="13"/>
      <c r="IQJ18" s="13"/>
      <c r="IQK18" s="13"/>
      <c r="IQL18" s="13"/>
      <c r="IQM18" s="13"/>
      <c r="IQN18" s="13"/>
      <c r="IQO18" s="13"/>
      <c r="IQP18" s="13"/>
      <c r="IQQ18" s="13"/>
      <c r="IQR18" s="13"/>
      <c r="IQS18" s="13"/>
      <c r="IQT18" s="13"/>
      <c r="IQU18" s="13"/>
      <c r="IQV18" s="13"/>
      <c r="IQW18" s="13"/>
      <c r="IQX18" s="13"/>
      <c r="IQY18" s="13"/>
      <c r="IQZ18" s="13"/>
      <c r="IRA18" s="13"/>
      <c r="IRB18" s="13"/>
      <c r="IRC18" s="13"/>
      <c r="IRD18" s="13"/>
      <c r="IRE18" s="13"/>
      <c r="IRF18" s="13"/>
      <c r="IRG18" s="13"/>
      <c r="IRH18" s="13"/>
      <c r="IRI18" s="13"/>
      <c r="IRJ18" s="13"/>
      <c r="IRK18" s="13"/>
      <c r="IRL18" s="13"/>
      <c r="IRM18" s="13"/>
      <c r="IRN18" s="13"/>
      <c r="IRO18" s="13"/>
      <c r="IRP18" s="13"/>
      <c r="IRQ18" s="13"/>
      <c r="IRR18" s="13"/>
      <c r="IRS18" s="13"/>
      <c r="IRT18" s="13"/>
      <c r="IRU18" s="13"/>
      <c r="IRV18" s="13"/>
      <c r="IRW18" s="13"/>
      <c r="IRX18" s="13"/>
      <c r="IRY18" s="13"/>
      <c r="IRZ18" s="13"/>
      <c r="ISA18" s="13"/>
      <c r="ISB18" s="13"/>
      <c r="ISC18" s="13"/>
      <c r="ISD18" s="13"/>
      <c r="ISE18" s="13"/>
      <c r="ISF18" s="13"/>
      <c r="ISG18" s="13"/>
      <c r="ISH18" s="13"/>
      <c r="ISI18" s="13"/>
      <c r="ISJ18" s="13"/>
      <c r="ISK18" s="13"/>
      <c r="ISL18" s="13"/>
      <c r="ISM18" s="13"/>
      <c r="ISN18" s="13"/>
      <c r="ISO18" s="13"/>
      <c r="ISP18" s="13"/>
      <c r="ISQ18" s="13"/>
      <c r="ISR18" s="13"/>
      <c r="ISS18" s="13"/>
      <c r="IST18" s="13"/>
      <c r="ISU18" s="13"/>
      <c r="ISV18" s="13"/>
      <c r="ISW18" s="13"/>
      <c r="ISX18" s="13"/>
      <c r="ISY18" s="13"/>
      <c r="ISZ18" s="13"/>
      <c r="ITA18" s="13"/>
      <c r="ITB18" s="13"/>
      <c r="ITC18" s="13"/>
      <c r="ITD18" s="13"/>
      <c r="ITE18" s="13"/>
      <c r="ITF18" s="13"/>
      <c r="ITG18" s="13"/>
      <c r="ITH18" s="13"/>
      <c r="ITI18" s="13"/>
      <c r="ITJ18" s="13"/>
      <c r="ITK18" s="13"/>
      <c r="ITL18" s="13"/>
      <c r="ITM18" s="13"/>
      <c r="ITN18" s="13"/>
      <c r="ITO18" s="13"/>
      <c r="ITP18" s="13"/>
      <c r="ITQ18" s="13"/>
      <c r="ITR18" s="13"/>
      <c r="ITS18" s="13"/>
      <c r="ITT18" s="13"/>
      <c r="ITU18" s="13"/>
      <c r="ITV18" s="13"/>
      <c r="ITW18" s="13"/>
      <c r="ITX18" s="13"/>
      <c r="ITY18" s="13"/>
      <c r="ITZ18" s="13"/>
      <c r="IUA18" s="13"/>
      <c r="IUB18" s="13"/>
      <c r="IUC18" s="13"/>
      <c r="IUD18" s="13"/>
      <c r="IUE18" s="13"/>
      <c r="IUF18" s="13"/>
      <c r="IUG18" s="13"/>
      <c r="IUH18" s="13"/>
      <c r="IUI18" s="13"/>
      <c r="IUJ18" s="13"/>
      <c r="IUK18" s="13"/>
      <c r="IUL18" s="13"/>
      <c r="IUM18" s="13"/>
      <c r="IUN18" s="13"/>
      <c r="IUO18" s="13"/>
      <c r="IUP18" s="13"/>
      <c r="IUQ18" s="13"/>
      <c r="IUR18" s="13"/>
      <c r="IUS18" s="13"/>
      <c r="IUT18" s="13"/>
      <c r="IUU18" s="13"/>
      <c r="IUV18" s="13"/>
      <c r="IUW18" s="13"/>
      <c r="IUX18" s="13"/>
      <c r="IUY18" s="13"/>
      <c r="IUZ18" s="13"/>
      <c r="IVA18" s="13"/>
      <c r="IVB18" s="13"/>
      <c r="IVC18" s="13"/>
      <c r="IVD18" s="13"/>
      <c r="IVE18" s="13"/>
      <c r="IVF18" s="13"/>
      <c r="IVG18" s="13"/>
      <c r="IVH18" s="13"/>
      <c r="IVI18" s="13"/>
      <c r="IVJ18" s="13"/>
      <c r="IVK18" s="13"/>
      <c r="IVL18" s="13"/>
      <c r="IVM18" s="13"/>
      <c r="IVN18" s="13"/>
      <c r="IVO18" s="13"/>
      <c r="IVP18" s="13"/>
      <c r="IVQ18" s="13"/>
      <c r="IVR18" s="13"/>
      <c r="IVS18" s="13"/>
      <c r="IVT18" s="13"/>
      <c r="IVU18" s="13"/>
      <c r="IVV18" s="13"/>
      <c r="IVW18" s="13"/>
      <c r="IVX18" s="13"/>
      <c r="IVY18" s="13"/>
      <c r="IVZ18" s="13"/>
      <c r="IWA18" s="13"/>
      <c r="IWB18" s="13"/>
      <c r="IWC18" s="13"/>
      <c r="IWD18" s="13"/>
      <c r="IWE18" s="13"/>
      <c r="IWF18" s="13"/>
      <c r="IWG18" s="13"/>
      <c r="IWH18" s="13"/>
      <c r="IWI18" s="13"/>
      <c r="IWJ18" s="13"/>
      <c r="IWK18" s="13"/>
      <c r="IWL18" s="13"/>
      <c r="IWM18" s="13"/>
      <c r="IWN18" s="13"/>
      <c r="IWO18" s="13"/>
      <c r="IWP18" s="13"/>
      <c r="IWQ18" s="13"/>
      <c r="IWR18" s="13"/>
      <c r="IWS18" s="13"/>
      <c r="IWT18" s="13"/>
      <c r="IWU18" s="13"/>
      <c r="IWV18" s="13"/>
      <c r="IWW18" s="13"/>
      <c r="IWX18" s="13"/>
      <c r="IWY18" s="13"/>
      <c r="IWZ18" s="13"/>
      <c r="IXA18" s="13"/>
      <c r="IXB18" s="13"/>
      <c r="IXC18" s="13"/>
      <c r="IXD18" s="13"/>
      <c r="IXE18" s="13"/>
      <c r="IXF18" s="13"/>
      <c r="IXG18" s="13"/>
      <c r="IXH18" s="13"/>
      <c r="IXI18" s="13"/>
      <c r="IXJ18" s="13"/>
      <c r="IXK18" s="13"/>
      <c r="IXL18" s="13"/>
      <c r="IXM18" s="13"/>
      <c r="IXN18" s="13"/>
      <c r="IXO18" s="13"/>
      <c r="IXP18" s="13"/>
      <c r="IXQ18" s="13"/>
      <c r="IXR18" s="13"/>
      <c r="IXS18" s="13"/>
      <c r="IXT18" s="13"/>
      <c r="IXU18" s="13"/>
      <c r="IXV18" s="13"/>
      <c r="IXW18" s="13"/>
      <c r="IXX18" s="13"/>
      <c r="IXY18" s="13"/>
      <c r="IXZ18" s="13"/>
      <c r="IYA18" s="13"/>
      <c r="IYB18" s="13"/>
      <c r="IYC18" s="13"/>
      <c r="IYD18" s="13"/>
      <c r="IYE18" s="13"/>
      <c r="IYF18" s="13"/>
      <c r="IYG18" s="13"/>
      <c r="IYH18" s="13"/>
      <c r="IYI18" s="13"/>
      <c r="IYJ18" s="13"/>
      <c r="IYK18" s="13"/>
      <c r="IYL18" s="13"/>
      <c r="IYM18" s="13"/>
      <c r="IYN18" s="13"/>
      <c r="IYO18" s="13"/>
      <c r="IYP18" s="13"/>
      <c r="IYQ18" s="13"/>
      <c r="IYR18" s="13"/>
      <c r="IYS18" s="13"/>
      <c r="IYT18" s="13"/>
      <c r="IYU18" s="13"/>
      <c r="IYV18" s="13"/>
      <c r="IYW18" s="13"/>
      <c r="IYX18" s="13"/>
      <c r="IYY18" s="13"/>
      <c r="IYZ18" s="13"/>
      <c r="IZA18" s="13"/>
      <c r="IZB18" s="13"/>
      <c r="IZC18" s="13"/>
      <c r="IZD18" s="13"/>
      <c r="IZE18" s="13"/>
      <c r="IZF18" s="13"/>
      <c r="IZG18" s="13"/>
      <c r="IZH18" s="13"/>
      <c r="IZI18" s="13"/>
      <c r="IZJ18" s="13"/>
      <c r="IZK18" s="13"/>
      <c r="IZL18" s="13"/>
      <c r="IZM18" s="13"/>
      <c r="IZN18" s="13"/>
      <c r="IZO18" s="13"/>
      <c r="IZP18" s="13"/>
      <c r="IZQ18" s="13"/>
      <c r="IZR18" s="13"/>
      <c r="IZS18" s="13"/>
      <c r="IZT18" s="13"/>
      <c r="IZU18" s="13"/>
      <c r="IZV18" s="13"/>
      <c r="IZW18" s="13"/>
      <c r="IZX18" s="13"/>
      <c r="IZY18" s="13"/>
      <c r="IZZ18" s="13"/>
      <c r="JAA18" s="13"/>
      <c r="JAB18" s="13"/>
      <c r="JAC18" s="13"/>
      <c r="JAD18" s="13"/>
      <c r="JAE18" s="13"/>
      <c r="JAF18" s="13"/>
      <c r="JAG18" s="13"/>
      <c r="JAH18" s="13"/>
      <c r="JAI18" s="13"/>
      <c r="JAJ18" s="13"/>
      <c r="JAK18" s="13"/>
      <c r="JAL18" s="13"/>
      <c r="JAM18" s="13"/>
      <c r="JAN18" s="13"/>
      <c r="JAO18" s="13"/>
      <c r="JAP18" s="13"/>
      <c r="JAQ18" s="13"/>
      <c r="JAR18" s="13"/>
      <c r="JAS18" s="13"/>
      <c r="JAT18" s="13"/>
      <c r="JAU18" s="13"/>
      <c r="JAV18" s="13"/>
      <c r="JAW18" s="13"/>
      <c r="JAX18" s="13"/>
      <c r="JAY18" s="13"/>
      <c r="JAZ18" s="13"/>
      <c r="JBA18" s="13"/>
      <c r="JBB18" s="13"/>
      <c r="JBC18" s="13"/>
      <c r="JBD18" s="13"/>
      <c r="JBE18" s="13"/>
      <c r="JBF18" s="13"/>
      <c r="JBG18" s="13"/>
      <c r="JBH18" s="13"/>
      <c r="JBI18" s="13"/>
      <c r="JBJ18" s="13"/>
      <c r="JBK18" s="13"/>
      <c r="JBL18" s="13"/>
      <c r="JBM18" s="13"/>
      <c r="JBN18" s="13"/>
      <c r="JBO18" s="13"/>
      <c r="JBP18" s="13"/>
      <c r="JBQ18" s="13"/>
      <c r="JBR18" s="13"/>
      <c r="JBS18" s="13"/>
      <c r="JBT18" s="13"/>
      <c r="JBU18" s="13"/>
      <c r="JBV18" s="13"/>
      <c r="JBW18" s="13"/>
      <c r="JBX18" s="13"/>
      <c r="JBY18" s="13"/>
      <c r="JBZ18" s="13"/>
      <c r="JCA18" s="13"/>
      <c r="JCB18" s="13"/>
      <c r="JCC18" s="13"/>
      <c r="JCD18" s="13"/>
      <c r="JCE18" s="13"/>
      <c r="JCF18" s="13"/>
      <c r="JCG18" s="13"/>
      <c r="JCH18" s="13"/>
      <c r="JCI18" s="13"/>
      <c r="JCJ18" s="13"/>
      <c r="JCK18" s="13"/>
      <c r="JCL18" s="13"/>
      <c r="JCM18" s="13"/>
      <c r="JCN18" s="13"/>
      <c r="JCO18" s="13"/>
      <c r="JCP18" s="13"/>
      <c r="JCQ18" s="13"/>
      <c r="JCR18" s="13"/>
      <c r="JCS18" s="13"/>
      <c r="JCT18" s="13"/>
      <c r="JCU18" s="13"/>
      <c r="JCV18" s="13"/>
      <c r="JCW18" s="13"/>
      <c r="JCX18" s="13"/>
      <c r="JCY18" s="13"/>
      <c r="JCZ18" s="13"/>
      <c r="JDA18" s="13"/>
      <c r="JDB18" s="13"/>
      <c r="JDC18" s="13"/>
      <c r="JDD18" s="13"/>
      <c r="JDE18" s="13"/>
      <c r="JDF18" s="13"/>
      <c r="JDG18" s="13"/>
      <c r="JDH18" s="13"/>
      <c r="JDI18" s="13"/>
      <c r="JDJ18" s="13"/>
      <c r="JDK18" s="13"/>
      <c r="JDL18" s="13"/>
      <c r="JDM18" s="13"/>
      <c r="JDN18" s="13"/>
      <c r="JDO18" s="13"/>
      <c r="JDP18" s="13"/>
      <c r="JDQ18" s="13"/>
      <c r="JDR18" s="13"/>
      <c r="JDS18" s="13"/>
      <c r="JDT18" s="13"/>
      <c r="JDU18" s="13"/>
      <c r="JDV18" s="13"/>
      <c r="JDW18" s="13"/>
      <c r="JDX18" s="13"/>
      <c r="JDY18" s="13"/>
      <c r="JDZ18" s="13"/>
      <c r="JEA18" s="13"/>
      <c r="JEB18" s="13"/>
      <c r="JEC18" s="13"/>
      <c r="JED18" s="13"/>
      <c r="JEE18" s="13"/>
      <c r="JEF18" s="13"/>
      <c r="JEG18" s="13"/>
      <c r="JEH18" s="13"/>
      <c r="JEI18" s="13"/>
      <c r="JEJ18" s="13"/>
      <c r="JEK18" s="13"/>
      <c r="JEL18" s="13"/>
      <c r="JEM18" s="13"/>
      <c r="JEN18" s="13"/>
      <c r="JEO18" s="13"/>
      <c r="JEP18" s="13"/>
      <c r="JEQ18" s="13"/>
      <c r="JER18" s="13"/>
      <c r="JES18" s="13"/>
      <c r="JET18" s="13"/>
      <c r="JEU18" s="13"/>
      <c r="JEV18" s="13"/>
      <c r="JEW18" s="13"/>
      <c r="JEX18" s="13"/>
      <c r="JEY18" s="13"/>
      <c r="JEZ18" s="13"/>
      <c r="JFA18" s="13"/>
      <c r="JFB18" s="13"/>
      <c r="JFC18" s="13"/>
      <c r="JFD18" s="13"/>
      <c r="JFE18" s="13"/>
      <c r="JFF18" s="13"/>
      <c r="JFG18" s="13"/>
      <c r="JFH18" s="13"/>
      <c r="JFI18" s="13"/>
      <c r="JFJ18" s="13"/>
      <c r="JFK18" s="13"/>
      <c r="JFL18" s="13"/>
      <c r="JFM18" s="13"/>
      <c r="JFN18" s="13"/>
      <c r="JFO18" s="13"/>
      <c r="JFP18" s="13"/>
      <c r="JFQ18" s="13"/>
      <c r="JFR18" s="13"/>
      <c r="JFS18" s="13"/>
      <c r="JFT18" s="13"/>
      <c r="JFU18" s="13"/>
      <c r="JFV18" s="13"/>
      <c r="JFW18" s="13"/>
      <c r="JFX18" s="13"/>
      <c r="JFY18" s="13"/>
      <c r="JFZ18" s="13"/>
      <c r="JGA18" s="13"/>
      <c r="JGB18" s="13"/>
      <c r="JGC18" s="13"/>
      <c r="JGD18" s="13"/>
      <c r="JGE18" s="13"/>
      <c r="JGF18" s="13"/>
      <c r="JGG18" s="13"/>
      <c r="JGH18" s="13"/>
      <c r="JGI18" s="13"/>
      <c r="JGJ18" s="13"/>
      <c r="JGK18" s="13"/>
      <c r="JGL18" s="13"/>
      <c r="JGM18" s="13"/>
      <c r="JGN18" s="13"/>
      <c r="JGO18" s="13"/>
      <c r="JGP18" s="13"/>
      <c r="JGQ18" s="13"/>
      <c r="JGR18" s="13"/>
      <c r="JGS18" s="13"/>
      <c r="JGT18" s="13"/>
      <c r="JGU18" s="13"/>
      <c r="JGV18" s="13"/>
      <c r="JGW18" s="13"/>
      <c r="JGX18" s="13"/>
      <c r="JGY18" s="13"/>
      <c r="JGZ18" s="13"/>
      <c r="JHA18" s="13"/>
      <c r="JHB18" s="13"/>
      <c r="JHC18" s="13"/>
      <c r="JHD18" s="13"/>
      <c r="JHE18" s="13"/>
      <c r="JHF18" s="13"/>
      <c r="JHG18" s="13"/>
      <c r="JHH18" s="13"/>
      <c r="JHI18" s="13"/>
      <c r="JHJ18" s="13"/>
      <c r="JHK18" s="13"/>
      <c r="JHL18" s="13"/>
      <c r="JHM18" s="13"/>
      <c r="JHN18" s="13"/>
      <c r="JHO18" s="13"/>
      <c r="JHP18" s="13"/>
      <c r="JHQ18" s="13"/>
      <c r="JHR18" s="13"/>
      <c r="JHS18" s="13"/>
      <c r="JHT18" s="13"/>
      <c r="JHU18" s="13"/>
      <c r="JHV18" s="13"/>
      <c r="JHW18" s="13"/>
      <c r="JHX18" s="13"/>
      <c r="JHY18" s="13"/>
      <c r="JHZ18" s="13"/>
      <c r="JIA18" s="13"/>
      <c r="JIB18" s="13"/>
      <c r="JIC18" s="13"/>
      <c r="JID18" s="13"/>
      <c r="JIE18" s="13"/>
      <c r="JIF18" s="13"/>
      <c r="JIG18" s="13"/>
      <c r="JIH18" s="13"/>
      <c r="JII18" s="13"/>
      <c r="JIJ18" s="13"/>
      <c r="JIK18" s="13"/>
      <c r="JIL18" s="13"/>
      <c r="JIM18" s="13"/>
      <c r="JIN18" s="13"/>
      <c r="JIO18" s="13"/>
      <c r="JIP18" s="13"/>
      <c r="JIQ18" s="13"/>
      <c r="JIR18" s="13"/>
      <c r="JIS18" s="13"/>
      <c r="JIT18" s="13"/>
      <c r="JIU18" s="13"/>
      <c r="JIV18" s="13"/>
      <c r="JIW18" s="13"/>
      <c r="JIX18" s="13"/>
      <c r="JIY18" s="13"/>
      <c r="JIZ18" s="13"/>
      <c r="JJA18" s="13"/>
      <c r="JJB18" s="13"/>
      <c r="JJC18" s="13"/>
      <c r="JJD18" s="13"/>
      <c r="JJE18" s="13"/>
      <c r="JJF18" s="13"/>
      <c r="JJG18" s="13"/>
      <c r="JJH18" s="13"/>
      <c r="JJI18" s="13"/>
      <c r="JJJ18" s="13"/>
      <c r="JJK18" s="13"/>
      <c r="JJL18" s="13"/>
      <c r="JJM18" s="13"/>
      <c r="JJN18" s="13"/>
      <c r="JJO18" s="13"/>
      <c r="JJP18" s="13"/>
      <c r="JJQ18" s="13"/>
      <c r="JJR18" s="13"/>
      <c r="JJS18" s="13"/>
      <c r="JJT18" s="13"/>
      <c r="JJU18" s="13"/>
      <c r="JJV18" s="13"/>
      <c r="JJW18" s="13"/>
      <c r="JJX18" s="13"/>
      <c r="JJY18" s="13"/>
      <c r="JJZ18" s="13"/>
      <c r="JKA18" s="13"/>
      <c r="JKB18" s="13"/>
      <c r="JKC18" s="13"/>
      <c r="JKD18" s="13"/>
      <c r="JKE18" s="13"/>
      <c r="JKF18" s="13"/>
      <c r="JKG18" s="13"/>
      <c r="JKH18" s="13"/>
      <c r="JKI18" s="13"/>
      <c r="JKJ18" s="13"/>
      <c r="JKK18" s="13"/>
      <c r="JKL18" s="13"/>
      <c r="JKM18" s="13"/>
      <c r="JKN18" s="13"/>
      <c r="JKO18" s="13"/>
      <c r="JKP18" s="13"/>
      <c r="JKQ18" s="13"/>
      <c r="JKR18" s="13"/>
      <c r="JKS18" s="13"/>
      <c r="JKT18" s="13"/>
      <c r="JKU18" s="13"/>
      <c r="JKV18" s="13"/>
      <c r="JKW18" s="13"/>
      <c r="JKX18" s="13"/>
      <c r="JKY18" s="13"/>
      <c r="JKZ18" s="13"/>
      <c r="JLA18" s="13"/>
      <c r="JLB18" s="13"/>
      <c r="JLC18" s="13"/>
      <c r="JLD18" s="13"/>
      <c r="JLE18" s="13"/>
      <c r="JLF18" s="13"/>
      <c r="JLG18" s="13"/>
      <c r="JLH18" s="13"/>
      <c r="JLI18" s="13"/>
      <c r="JLJ18" s="13"/>
      <c r="JLK18" s="13"/>
      <c r="JLL18" s="13"/>
      <c r="JLM18" s="13"/>
      <c r="JLN18" s="13"/>
      <c r="JLO18" s="13"/>
      <c r="JLP18" s="13"/>
      <c r="JLQ18" s="13"/>
      <c r="JLR18" s="13"/>
      <c r="JLS18" s="13"/>
      <c r="JLT18" s="13"/>
      <c r="JLU18" s="13"/>
      <c r="JLV18" s="13"/>
      <c r="JLW18" s="13"/>
      <c r="JLX18" s="13"/>
      <c r="JLY18" s="13"/>
      <c r="JLZ18" s="13"/>
      <c r="JMA18" s="13"/>
      <c r="JMB18" s="13"/>
      <c r="JMC18" s="13"/>
      <c r="JMD18" s="13"/>
      <c r="JME18" s="13"/>
      <c r="JMF18" s="13"/>
      <c r="JMG18" s="13"/>
      <c r="JMH18" s="13"/>
      <c r="JMI18" s="13"/>
      <c r="JMJ18" s="13"/>
      <c r="JMK18" s="13"/>
      <c r="JML18" s="13"/>
      <c r="JMM18" s="13"/>
      <c r="JMN18" s="13"/>
      <c r="JMO18" s="13"/>
      <c r="JMP18" s="13"/>
      <c r="JMQ18" s="13"/>
      <c r="JMR18" s="13"/>
      <c r="JMS18" s="13"/>
      <c r="JMT18" s="13"/>
      <c r="JMU18" s="13"/>
      <c r="JMV18" s="13"/>
      <c r="JMW18" s="13"/>
      <c r="JMX18" s="13"/>
      <c r="JMY18" s="13"/>
      <c r="JMZ18" s="13"/>
      <c r="JNA18" s="13"/>
      <c r="JNB18" s="13"/>
      <c r="JNC18" s="13"/>
      <c r="JND18" s="13"/>
      <c r="JNE18" s="13"/>
      <c r="JNF18" s="13"/>
      <c r="JNG18" s="13"/>
      <c r="JNH18" s="13"/>
      <c r="JNI18" s="13"/>
      <c r="JNJ18" s="13"/>
      <c r="JNK18" s="13"/>
      <c r="JNL18" s="13"/>
      <c r="JNM18" s="13"/>
      <c r="JNN18" s="13"/>
      <c r="JNO18" s="13"/>
      <c r="JNP18" s="13"/>
      <c r="JNQ18" s="13"/>
      <c r="JNR18" s="13"/>
      <c r="JNS18" s="13"/>
      <c r="JNT18" s="13"/>
      <c r="JNU18" s="13"/>
      <c r="JNV18" s="13"/>
      <c r="JNW18" s="13"/>
      <c r="JNX18" s="13"/>
      <c r="JNY18" s="13"/>
      <c r="JNZ18" s="13"/>
      <c r="JOA18" s="13"/>
      <c r="JOB18" s="13"/>
      <c r="JOC18" s="13"/>
      <c r="JOD18" s="13"/>
      <c r="JOE18" s="13"/>
      <c r="JOF18" s="13"/>
      <c r="JOG18" s="13"/>
      <c r="JOH18" s="13"/>
      <c r="JOI18" s="13"/>
      <c r="JOJ18" s="13"/>
      <c r="JOK18" s="13"/>
      <c r="JOL18" s="13"/>
      <c r="JOM18" s="13"/>
      <c r="JON18" s="13"/>
      <c r="JOO18" s="13"/>
      <c r="JOP18" s="13"/>
      <c r="JOQ18" s="13"/>
      <c r="JOR18" s="13"/>
      <c r="JOS18" s="13"/>
      <c r="JOT18" s="13"/>
      <c r="JOU18" s="13"/>
      <c r="JOV18" s="13"/>
      <c r="JOW18" s="13"/>
      <c r="JOX18" s="13"/>
      <c r="JOY18" s="13"/>
      <c r="JOZ18" s="13"/>
      <c r="JPA18" s="13"/>
      <c r="JPB18" s="13"/>
      <c r="JPC18" s="13"/>
      <c r="JPD18" s="13"/>
      <c r="JPE18" s="13"/>
      <c r="JPF18" s="13"/>
      <c r="JPG18" s="13"/>
      <c r="JPH18" s="13"/>
      <c r="JPI18" s="13"/>
      <c r="JPJ18" s="13"/>
      <c r="JPK18" s="13"/>
      <c r="JPL18" s="13"/>
      <c r="JPM18" s="13"/>
      <c r="JPN18" s="13"/>
      <c r="JPO18" s="13"/>
      <c r="JPP18" s="13"/>
      <c r="JPQ18" s="13"/>
      <c r="JPR18" s="13"/>
      <c r="JPS18" s="13"/>
      <c r="JPT18" s="13"/>
      <c r="JPU18" s="13"/>
      <c r="JPV18" s="13"/>
      <c r="JPW18" s="13"/>
      <c r="JPX18" s="13"/>
      <c r="JPY18" s="13"/>
      <c r="JPZ18" s="13"/>
      <c r="JQA18" s="13"/>
      <c r="JQB18" s="13"/>
      <c r="JQC18" s="13"/>
      <c r="JQD18" s="13"/>
      <c r="JQE18" s="13"/>
      <c r="JQF18" s="13"/>
      <c r="JQG18" s="13"/>
      <c r="JQH18" s="13"/>
      <c r="JQI18" s="13"/>
      <c r="JQJ18" s="13"/>
      <c r="JQK18" s="13"/>
      <c r="JQL18" s="13"/>
      <c r="JQM18" s="13"/>
      <c r="JQN18" s="13"/>
      <c r="JQO18" s="13"/>
      <c r="JQP18" s="13"/>
      <c r="JQQ18" s="13"/>
      <c r="JQR18" s="13"/>
      <c r="JQS18" s="13"/>
      <c r="JQT18" s="13"/>
      <c r="JQU18" s="13"/>
      <c r="JQV18" s="13"/>
      <c r="JQW18" s="13"/>
      <c r="JQX18" s="13"/>
      <c r="JQY18" s="13"/>
      <c r="JQZ18" s="13"/>
      <c r="JRA18" s="13"/>
      <c r="JRB18" s="13"/>
      <c r="JRC18" s="13"/>
      <c r="JRD18" s="13"/>
      <c r="JRE18" s="13"/>
      <c r="JRF18" s="13"/>
      <c r="JRG18" s="13"/>
      <c r="JRH18" s="13"/>
      <c r="JRI18" s="13"/>
      <c r="JRJ18" s="13"/>
      <c r="JRK18" s="13"/>
      <c r="JRL18" s="13"/>
      <c r="JRM18" s="13"/>
      <c r="JRN18" s="13"/>
      <c r="JRO18" s="13"/>
      <c r="JRP18" s="13"/>
      <c r="JRQ18" s="13"/>
      <c r="JRR18" s="13"/>
      <c r="JRS18" s="13"/>
      <c r="JRT18" s="13"/>
      <c r="JRU18" s="13"/>
      <c r="JRV18" s="13"/>
      <c r="JRW18" s="13"/>
      <c r="JRX18" s="13"/>
      <c r="JRY18" s="13"/>
      <c r="JRZ18" s="13"/>
      <c r="JSA18" s="13"/>
      <c r="JSB18" s="13"/>
      <c r="JSC18" s="13"/>
      <c r="JSD18" s="13"/>
      <c r="JSE18" s="13"/>
      <c r="JSF18" s="13"/>
      <c r="JSG18" s="13"/>
      <c r="JSH18" s="13"/>
      <c r="JSI18" s="13"/>
      <c r="JSJ18" s="13"/>
      <c r="JSK18" s="13"/>
      <c r="JSL18" s="13"/>
      <c r="JSM18" s="13"/>
      <c r="JSN18" s="13"/>
      <c r="JSO18" s="13"/>
      <c r="JSP18" s="13"/>
      <c r="JSQ18" s="13"/>
      <c r="JSR18" s="13"/>
      <c r="JSS18" s="13"/>
      <c r="JST18" s="13"/>
      <c r="JSU18" s="13"/>
      <c r="JSV18" s="13"/>
      <c r="JSW18" s="13"/>
      <c r="JSX18" s="13"/>
      <c r="JSY18" s="13"/>
      <c r="JSZ18" s="13"/>
      <c r="JTA18" s="13"/>
      <c r="JTB18" s="13"/>
      <c r="JTC18" s="13"/>
      <c r="JTD18" s="13"/>
      <c r="JTE18" s="13"/>
      <c r="JTF18" s="13"/>
      <c r="JTG18" s="13"/>
      <c r="JTH18" s="13"/>
      <c r="JTI18" s="13"/>
      <c r="JTJ18" s="13"/>
      <c r="JTK18" s="13"/>
      <c r="JTL18" s="13"/>
      <c r="JTM18" s="13"/>
      <c r="JTN18" s="13"/>
      <c r="JTO18" s="13"/>
      <c r="JTP18" s="13"/>
      <c r="JTQ18" s="13"/>
      <c r="JTR18" s="13"/>
      <c r="JTS18" s="13"/>
      <c r="JTT18" s="13"/>
      <c r="JTU18" s="13"/>
      <c r="JTV18" s="13"/>
      <c r="JTW18" s="13"/>
      <c r="JTX18" s="13"/>
      <c r="JTY18" s="13"/>
      <c r="JTZ18" s="13"/>
      <c r="JUA18" s="13"/>
      <c r="JUB18" s="13"/>
      <c r="JUC18" s="13"/>
      <c r="JUD18" s="13"/>
      <c r="JUE18" s="13"/>
      <c r="JUF18" s="13"/>
      <c r="JUG18" s="13"/>
      <c r="JUH18" s="13"/>
      <c r="JUI18" s="13"/>
      <c r="JUJ18" s="13"/>
      <c r="JUK18" s="13"/>
      <c r="JUL18" s="13"/>
      <c r="JUM18" s="13"/>
      <c r="JUN18" s="13"/>
      <c r="JUO18" s="13"/>
      <c r="JUP18" s="13"/>
      <c r="JUQ18" s="13"/>
      <c r="JUR18" s="13"/>
      <c r="JUS18" s="13"/>
      <c r="JUT18" s="13"/>
      <c r="JUU18" s="13"/>
      <c r="JUV18" s="13"/>
      <c r="JUW18" s="13"/>
      <c r="JUX18" s="13"/>
      <c r="JUY18" s="13"/>
      <c r="JUZ18" s="13"/>
      <c r="JVA18" s="13"/>
      <c r="JVB18" s="13"/>
      <c r="JVC18" s="13"/>
      <c r="JVD18" s="13"/>
      <c r="JVE18" s="13"/>
      <c r="JVF18" s="13"/>
      <c r="JVG18" s="13"/>
      <c r="JVH18" s="13"/>
      <c r="JVI18" s="13"/>
      <c r="JVJ18" s="13"/>
      <c r="JVK18" s="13"/>
      <c r="JVL18" s="13"/>
      <c r="JVM18" s="13"/>
      <c r="JVN18" s="13"/>
      <c r="JVO18" s="13"/>
      <c r="JVP18" s="13"/>
      <c r="JVQ18" s="13"/>
      <c r="JVR18" s="13"/>
      <c r="JVS18" s="13"/>
      <c r="JVT18" s="13"/>
      <c r="JVU18" s="13"/>
      <c r="JVV18" s="13"/>
      <c r="JVW18" s="13"/>
      <c r="JVX18" s="13"/>
      <c r="JVY18" s="13"/>
      <c r="JVZ18" s="13"/>
      <c r="JWA18" s="13"/>
      <c r="JWB18" s="13"/>
      <c r="JWC18" s="13"/>
      <c r="JWD18" s="13"/>
      <c r="JWE18" s="13"/>
      <c r="JWF18" s="13"/>
      <c r="JWG18" s="13"/>
      <c r="JWH18" s="13"/>
      <c r="JWI18" s="13"/>
      <c r="JWJ18" s="13"/>
      <c r="JWK18" s="13"/>
      <c r="JWL18" s="13"/>
      <c r="JWM18" s="13"/>
      <c r="JWN18" s="13"/>
      <c r="JWO18" s="13"/>
      <c r="JWP18" s="13"/>
      <c r="JWQ18" s="13"/>
      <c r="JWR18" s="13"/>
      <c r="JWS18" s="13"/>
      <c r="JWT18" s="13"/>
      <c r="JWU18" s="13"/>
      <c r="JWV18" s="13"/>
      <c r="JWW18" s="13"/>
      <c r="JWX18" s="13"/>
      <c r="JWY18" s="13"/>
      <c r="JWZ18" s="13"/>
      <c r="JXA18" s="13"/>
      <c r="JXB18" s="13"/>
      <c r="JXC18" s="13"/>
      <c r="JXD18" s="13"/>
      <c r="JXE18" s="13"/>
      <c r="JXF18" s="13"/>
      <c r="JXG18" s="13"/>
      <c r="JXH18" s="13"/>
      <c r="JXI18" s="13"/>
      <c r="JXJ18" s="13"/>
      <c r="JXK18" s="13"/>
      <c r="JXL18" s="13"/>
      <c r="JXM18" s="13"/>
      <c r="JXN18" s="13"/>
      <c r="JXO18" s="13"/>
      <c r="JXP18" s="13"/>
      <c r="JXQ18" s="13"/>
      <c r="JXR18" s="13"/>
      <c r="JXS18" s="13"/>
      <c r="JXT18" s="13"/>
      <c r="JXU18" s="13"/>
      <c r="JXV18" s="13"/>
      <c r="JXW18" s="13"/>
      <c r="JXX18" s="13"/>
      <c r="JXY18" s="13"/>
      <c r="JXZ18" s="13"/>
      <c r="JYA18" s="13"/>
      <c r="JYB18" s="13"/>
      <c r="JYC18" s="13"/>
      <c r="JYD18" s="13"/>
      <c r="JYE18" s="13"/>
      <c r="JYF18" s="13"/>
      <c r="JYG18" s="13"/>
      <c r="JYH18" s="13"/>
      <c r="JYI18" s="13"/>
      <c r="JYJ18" s="13"/>
      <c r="JYK18" s="13"/>
      <c r="JYL18" s="13"/>
      <c r="JYM18" s="13"/>
      <c r="JYN18" s="13"/>
      <c r="JYO18" s="13"/>
      <c r="JYP18" s="13"/>
      <c r="JYQ18" s="13"/>
      <c r="JYR18" s="13"/>
      <c r="JYS18" s="13"/>
      <c r="JYT18" s="13"/>
      <c r="JYU18" s="13"/>
      <c r="JYV18" s="13"/>
      <c r="JYW18" s="13"/>
      <c r="JYX18" s="13"/>
      <c r="JYY18" s="13"/>
      <c r="JYZ18" s="13"/>
      <c r="JZA18" s="13"/>
      <c r="JZB18" s="13"/>
      <c r="JZC18" s="13"/>
      <c r="JZD18" s="13"/>
      <c r="JZE18" s="13"/>
      <c r="JZF18" s="13"/>
      <c r="JZG18" s="13"/>
      <c r="JZH18" s="13"/>
      <c r="JZI18" s="13"/>
      <c r="JZJ18" s="13"/>
      <c r="JZK18" s="13"/>
      <c r="JZL18" s="13"/>
      <c r="JZM18" s="13"/>
      <c r="JZN18" s="13"/>
      <c r="JZO18" s="13"/>
      <c r="JZP18" s="13"/>
      <c r="JZQ18" s="13"/>
      <c r="JZR18" s="13"/>
      <c r="JZS18" s="13"/>
      <c r="JZT18" s="13"/>
      <c r="JZU18" s="13"/>
      <c r="JZV18" s="13"/>
      <c r="JZW18" s="13"/>
      <c r="JZX18" s="13"/>
      <c r="JZY18" s="13"/>
      <c r="JZZ18" s="13"/>
      <c r="KAA18" s="13"/>
      <c r="KAB18" s="13"/>
      <c r="KAC18" s="13"/>
      <c r="KAD18" s="13"/>
      <c r="KAE18" s="13"/>
      <c r="KAF18" s="13"/>
      <c r="KAG18" s="13"/>
      <c r="KAH18" s="13"/>
      <c r="KAI18" s="13"/>
      <c r="KAJ18" s="13"/>
      <c r="KAK18" s="13"/>
      <c r="KAL18" s="13"/>
      <c r="KAM18" s="13"/>
      <c r="KAN18" s="13"/>
      <c r="KAO18" s="13"/>
      <c r="KAP18" s="13"/>
      <c r="KAQ18" s="13"/>
      <c r="KAR18" s="13"/>
      <c r="KAS18" s="13"/>
      <c r="KAT18" s="13"/>
      <c r="KAU18" s="13"/>
      <c r="KAV18" s="13"/>
      <c r="KAW18" s="13"/>
      <c r="KAX18" s="13"/>
      <c r="KAY18" s="13"/>
      <c r="KAZ18" s="13"/>
      <c r="KBA18" s="13"/>
      <c r="KBB18" s="13"/>
      <c r="KBC18" s="13"/>
      <c r="KBD18" s="13"/>
      <c r="KBE18" s="13"/>
      <c r="KBF18" s="13"/>
      <c r="KBG18" s="13"/>
      <c r="KBH18" s="13"/>
      <c r="KBI18" s="13"/>
      <c r="KBJ18" s="13"/>
      <c r="KBK18" s="13"/>
      <c r="KBL18" s="13"/>
      <c r="KBM18" s="13"/>
      <c r="KBN18" s="13"/>
      <c r="KBO18" s="13"/>
      <c r="KBP18" s="13"/>
      <c r="KBQ18" s="13"/>
      <c r="KBR18" s="13"/>
      <c r="KBS18" s="13"/>
      <c r="KBT18" s="13"/>
      <c r="KBU18" s="13"/>
      <c r="KBV18" s="13"/>
      <c r="KBW18" s="13"/>
      <c r="KBX18" s="13"/>
      <c r="KBY18" s="13"/>
      <c r="KBZ18" s="13"/>
      <c r="KCA18" s="13"/>
      <c r="KCB18" s="13"/>
      <c r="KCC18" s="13"/>
      <c r="KCD18" s="13"/>
      <c r="KCE18" s="13"/>
      <c r="KCF18" s="13"/>
      <c r="KCG18" s="13"/>
      <c r="KCH18" s="13"/>
      <c r="KCI18" s="13"/>
      <c r="KCJ18" s="13"/>
      <c r="KCK18" s="13"/>
      <c r="KCL18" s="13"/>
      <c r="KCM18" s="13"/>
      <c r="KCN18" s="13"/>
      <c r="KCO18" s="13"/>
      <c r="KCP18" s="13"/>
      <c r="KCQ18" s="13"/>
      <c r="KCR18" s="13"/>
      <c r="KCS18" s="13"/>
      <c r="KCT18" s="13"/>
      <c r="KCU18" s="13"/>
      <c r="KCV18" s="13"/>
      <c r="KCW18" s="13"/>
      <c r="KCX18" s="13"/>
      <c r="KCY18" s="13"/>
      <c r="KCZ18" s="13"/>
      <c r="KDA18" s="13"/>
      <c r="KDB18" s="13"/>
      <c r="KDC18" s="13"/>
      <c r="KDD18" s="13"/>
      <c r="KDE18" s="13"/>
      <c r="KDF18" s="13"/>
      <c r="KDG18" s="13"/>
      <c r="KDH18" s="13"/>
      <c r="KDI18" s="13"/>
      <c r="KDJ18" s="13"/>
      <c r="KDK18" s="13"/>
      <c r="KDL18" s="13"/>
      <c r="KDM18" s="13"/>
      <c r="KDN18" s="13"/>
      <c r="KDO18" s="13"/>
      <c r="KDP18" s="13"/>
      <c r="KDQ18" s="13"/>
      <c r="KDR18" s="13"/>
      <c r="KDS18" s="13"/>
      <c r="KDT18" s="13"/>
      <c r="KDU18" s="13"/>
      <c r="KDV18" s="13"/>
      <c r="KDW18" s="13"/>
      <c r="KDX18" s="13"/>
      <c r="KDY18" s="13"/>
      <c r="KDZ18" s="13"/>
      <c r="KEA18" s="13"/>
      <c r="KEB18" s="13"/>
      <c r="KEC18" s="13"/>
      <c r="KED18" s="13"/>
      <c r="KEE18" s="13"/>
      <c r="KEF18" s="13"/>
      <c r="KEG18" s="13"/>
      <c r="KEH18" s="13"/>
      <c r="KEI18" s="13"/>
      <c r="KEJ18" s="13"/>
      <c r="KEK18" s="13"/>
      <c r="KEL18" s="13"/>
      <c r="KEM18" s="13"/>
      <c r="KEN18" s="13"/>
      <c r="KEO18" s="13"/>
      <c r="KEP18" s="13"/>
      <c r="KEQ18" s="13"/>
      <c r="KER18" s="13"/>
      <c r="KES18" s="13"/>
      <c r="KET18" s="13"/>
      <c r="KEU18" s="13"/>
      <c r="KEV18" s="13"/>
      <c r="KEW18" s="13"/>
      <c r="KEX18" s="13"/>
      <c r="KEY18" s="13"/>
      <c r="KEZ18" s="13"/>
      <c r="KFA18" s="13"/>
      <c r="KFB18" s="13"/>
      <c r="KFC18" s="13"/>
      <c r="KFD18" s="13"/>
      <c r="KFE18" s="13"/>
      <c r="KFF18" s="13"/>
      <c r="KFG18" s="13"/>
      <c r="KFH18" s="13"/>
      <c r="KFI18" s="13"/>
      <c r="KFJ18" s="13"/>
      <c r="KFK18" s="13"/>
      <c r="KFL18" s="13"/>
      <c r="KFM18" s="13"/>
      <c r="KFN18" s="13"/>
      <c r="KFO18" s="13"/>
      <c r="KFP18" s="13"/>
      <c r="KFQ18" s="13"/>
      <c r="KFR18" s="13"/>
      <c r="KFS18" s="13"/>
      <c r="KFT18" s="13"/>
      <c r="KFU18" s="13"/>
      <c r="KFV18" s="13"/>
      <c r="KFW18" s="13"/>
      <c r="KFX18" s="13"/>
      <c r="KFY18" s="13"/>
      <c r="KFZ18" s="13"/>
      <c r="KGA18" s="13"/>
      <c r="KGB18" s="13"/>
      <c r="KGC18" s="13"/>
      <c r="KGD18" s="13"/>
      <c r="KGE18" s="13"/>
      <c r="KGF18" s="13"/>
      <c r="KGG18" s="13"/>
      <c r="KGH18" s="13"/>
      <c r="KGI18" s="13"/>
      <c r="KGJ18" s="13"/>
      <c r="KGK18" s="13"/>
      <c r="KGL18" s="13"/>
      <c r="KGM18" s="13"/>
      <c r="KGN18" s="13"/>
      <c r="KGO18" s="13"/>
      <c r="KGP18" s="13"/>
      <c r="KGQ18" s="13"/>
      <c r="KGR18" s="13"/>
      <c r="KGS18" s="13"/>
      <c r="KGT18" s="13"/>
      <c r="KGU18" s="13"/>
      <c r="KGV18" s="13"/>
      <c r="KGW18" s="13"/>
      <c r="KGX18" s="13"/>
      <c r="KGY18" s="13"/>
      <c r="KGZ18" s="13"/>
      <c r="KHA18" s="13"/>
      <c r="KHB18" s="13"/>
      <c r="KHC18" s="13"/>
      <c r="KHD18" s="13"/>
      <c r="KHE18" s="13"/>
      <c r="KHF18" s="13"/>
      <c r="KHG18" s="13"/>
      <c r="KHH18" s="13"/>
      <c r="KHI18" s="13"/>
      <c r="KHJ18" s="13"/>
      <c r="KHK18" s="13"/>
      <c r="KHL18" s="13"/>
      <c r="KHM18" s="13"/>
      <c r="KHN18" s="13"/>
      <c r="KHO18" s="13"/>
      <c r="KHP18" s="13"/>
      <c r="KHQ18" s="13"/>
      <c r="KHR18" s="13"/>
      <c r="KHS18" s="13"/>
      <c r="KHT18" s="13"/>
      <c r="KHU18" s="13"/>
      <c r="KHV18" s="13"/>
      <c r="KHW18" s="13"/>
      <c r="KHX18" s="13"/>
      <c r="KHY18" s="13"/>
      <c r="KHZ18" s="13"/>
      <c r="KIA18" s="13"/>
      <c r="KIB18" s="13"/>
      <c r="KIC18" s="13"/>
      <c r="KID18" s="13"/>
      <c r="KIE18" s="13"/>
      <c r="KIF18" s="13"/>
      <c r="KIG18" s="13"/>
      <c r="KIH18" s="13"/>
      <c r="KII18" s="13"/>
      <c r="KIJ18" s="13"/>
      <c r="KIK18" s="13"/>
      <c r="KIL18" s="13"/>
      <c r="KIM18" s="13"/>
      <c r="KIN18" s="13"/>
      <c r="KIO18" s="13"/>
      <c r="KIP18" s="13"/>
      <c r="KIQ18" s="13"/>
      <c r="KIR18" s="13"/>
      <c r="KIS18" s="13"/>
      <c r="KIT18" s="13"/>
      <c r="KIU18" s="13"/>
      <c r="KIV18" s="13"/>
      <c r="KIW18" s="13"/>
      <c r="KIX18" s="13"/>
      <c r="KIY18" s="13"/>
      <c r="KIZ18" s="13"/>
      <c r="KJA18" s="13"/>
      <c r="KJB18" s="13"/>
      <c r="KJC18" s="13"/>
      <c r="KJD18" s="13"/>
      <c r="KJE18" s="13"/>
      <c r="KJF18" s="13"/>
      <c r="KJG18" s="13"/>
      <c r="KJH18" s="13"/>
      <c r="KJI18" s="13"/>
      <c r="KJJ18" s="13"/>
      <c r="KJK18" s="13"/>
      <c r="KJL18" s="13"/>
      <c r="KJM18" s="13"/>
      <c r="KJN18" s="13"/>
      <c r="KJO18" s="13"/>
      <c r="KJP18" s="13"/>
      <c r="KJQ18" s="13"/>
      <c r="KJR18" s="13"/>
      <c r="KJS18" s="13"/>
      <c r="KJT18" s="13"/>
      <c r="KJU18" s="13"/>
      <c r="KJV18" s="13"/>
      <c r="KJW18" s="13"/>
      <c r="KJX18" s="13"/>
      <c r="KJY18" s="13"/>
      <c r="KJZ18" s="13"/>
      <c r="KKA18" s="13"/>
      <c r="KKB18" s="13"/>
      <c r="KKC18" s="13"/>
      <c r="KKD18" s="13"/>
      <c r="KKE18" s="13"/>
      <c r="KKF18" s="13"/>
      <c r="KKG18" s="13"/>
      <c r="KKH18" s="13"/>
      <c r="KKI18" s="13"/>
      <c r="KKJ18" s="13"/>
      <c r="KKK18" s="13"/>
      <c r="KKL18" s="13"/>
      <c r="KKM18" s="13"/>
      <c r="KKN18" s="13"/>
      <c r="KKO18" s="13"/>
      <c r="KKP18" s="13"/>
      <c r="KKQ18" s="13"/>
      <c r="KKR18" s="13"/>
      <c r="KKS18" s="13"/>
      <c r="KKT18" s="13"/>
      <c r="KKU18" s="13"/>
      <c r="KKV18" s="13"/>
      <c r="KKW18" s="13"/>
      <c r="KKX18" s="13"/>
      <c r="KKY18" s="13"/>
      <c r="KKZ18" s="13"/>
      <c r="KLA18" s="13"/>
      <c r="KLB18" s="13"/>
      <c r="KLC18" s="13"/>
      <c r="KLD18" s="13"/>
      <c r="KLE18" s="13"/>
      <c r="KLF18" s="13"/>
      <c r="KLG18" s="13"/>
      <c r="KLH18" s="13"/>
      <c r="KLI18" s="13"/>
      <c r="KLJ18" s="13"/>
      <c r="KLK18" s="13"/>
      <c r="KLL18" s="13"/>
      <c r="KLM18" s="13"/>
      <c r="KLN18" s="13"/>
      <c r="KLO18" s="13"/>
      <c r="KLP18" s="13"/>
      <c r="KLQ18" s="13"/>
      <c r="KLR18" s="13"/>
      <c r="KLS18" s="13"/>
      <c r="KLT18" s="13"/>
      <c r="KLU18" s="13"/>
      <c r="KLV18" s="13"/>
      <c r="KLW18" s="13"/>
      <c r="KLX18" s="13"/>
      <c r="KLY18" s="13"/>
      <c r="KLZ18" s="13"/>
      <c r="KMA18" s="13"/>
      <c r="KMB18" s="13"/>
      <c r="KMC18" s="13"/>
      <c r="KMD18" s="13"/>
      <c r="KME18" s="13"/>
      <c r="KMF18" s="13"/>
      <c r="KMG18" s="13"/>
      <c r="KMH18" s="13"/>
      <c r="KMI18" s="13"/>
      <c r="KMJ18" s="13"/>
      <c r="KMK18" s="13"/>
      <c r="KML18" s="13"/>
      <c r="KMM18" s="13"/>
      <c r="KMN18" s="13"/>
      <c r="KMO18" s="13"/>
      <c r="KMP18" s="13"/>
      <c r="KMQ18" s="13"/>
      <c r="KMR18" s="13"/>
      <c r="KMS18" s="13"/>
      <c r="KMT18" s="13"/>
      <c r="KMU18" s="13"/>
      <c r="KMV18" s="13"/>
      <c r="KMW18" s="13"/>
      <c r="KMX18" s="13"/>
      <c r="KMY18" s="13"/>
      <c r="KMZ18" s="13"/>
      <c r="KNA18" s="13"/>
      <c r="KNB18" s="13"/>
      <c r="KNC18" s="13"/>
      <c r="KND18" s="13"/>
      <c r="KNE18" s="13"/>
      <c r="KNF18" s="13"/>
      <c r="KNG18" s="13"/>
      <c r="KNH18" s="13"/>
      <c r="KNI18" s="13"/>
      <c r="KNJ18" s="13"/>
      <c r="KNK18" s="13"/>
      <c r="KNL18" s="13"/>
      <c r="KNM18" s="13"/>
      <c r="KNN18" s="13"/>
      <c r="KNO18" s="13"/>
      <c r="KNP18" s="13"/>
      <c r="KNQ18" s="13"/>
      <c r="KNR18" s="13"/>
      <c r="KNS18" s="13"/>
      <c r="KNT18" s="13"/>
      <c r="KNU18" s="13"/>
      <c r="KNV18" s="13"/>
      <c r="KNW18" s="13"/>
      <c r="KNX18" s="13"/>
      <c r="KNY18" s="13"/>
      <c r="KNZ18" s="13"/>
      <c r="KOA18" s="13"/>
      <c r="KOB18" s="13"/>
      <c r="KOC18" s="13"/>
      <c r="KOD18" s="13"/>
      <c r="KOE18" s="13"/>
      <c r="KOF18" s="13"/>
      <c r="KOG18" s="13"/>
      <c r="KOH18" s="13"/>
      <c r="KOI18" s="13"/>
      <c r="KOJ18" s="13"/>
      <c r="KOK18" s="13"/>
      <c r="KOL18" s="13"/>
      <c r="KOM18" s="13"/>
      <c r="KON18" s="13"/>
      <c r="KOO18" s="13"/>
      <c r="KOP18" s="13"/>
      <c r="KOQ18" s="13"/>
      <c r="KOR18" s="13"/>
      <c r="KOS18" s="13"/>
      <c r="KOT18" s="13"/>
      <c r="KOU18" s="13"/>
      <c r="KOV18" s="13"/>
      <c r="KOW18" s="13"/>
      <c r="KOX18" s="13"/>
      <c r="KOY18" s="13"/>
      <c r="KOZ18" s="13"/>
      <c r="KPA18" s="13"/>
      <c r="KPB18" s="13"/>
      <c r="KPC18" s="13"/>
      <c r="KPD18" s="13"/>
      <c r="KPE18" s="13"/>
      <c r="KPF18" s="13"/>
      <c r="KPG18" s="13"/>
      <c r="KPH18" s="13"/>
      <c r="KPI18" s="13"/>
      <c r="KPJ18" s="13"/>
      <c r="KPK18" s="13"/>
      <c r="KPL18" s="13"/>
      <c r="KPM18" s="13"/>
      <c r="KPN18" s="13"/>
      <c r="KPO18" s="13"/>
      <c r="KPP18" s="13"/>
      <c r="KPQ18" s="13"/>
      <c r="KPR18" s="13"/>
      <c r="KPS18" s="13"/>
      <c r="KPT18" s="13"/>
      <c r="KPU18" s="13"/>
      <c r="KPV18" s="13"/>
      <c r="KPW18" s="13"/>
      <c r="KPX18" s="13"/>
      <c r="KPY18" s="13"/>
      <c r="KPZ18" s="13"/>
      <c r="KQA18" s="13"/>
      <c r="KQB18" s="13"/>
      <c r="KQC18" s="13"/>
      <c r="KQD18" s="13"/>
      <c r="KQE18" s="13"/>
      <c r="KQF18" s="13"/>
      <c r="KQG18" s="13"/>
      <c r="KQH18" s="13"/>
      <c r="KQI18" s="13"/>
      <c r="KQJ18" s="13"/>
      <c r="KQK18" s="13"/>
      <c r="KQL18" s="13"/>
      <c r="KQM18" s="13"/>
      <c r="KQN18" s="13"/>
      <c r="KQO18" s="13"/>
      <c r="KQP18" s="13"/>
      <c r="KQQ18" s="13"/>
      <c r="KQR18" s="13"/>
      <c r="KQS18" s="13"/>
      <c r="KQT18" s="13"/>
      <c r="KQU18" s="13"/>
      <c r="KQV18" s="13"/>
      <c r="KQW18" s="13"/>
      <c r="KQX18" s="13"/>
      <c r="KQY18" s="13"/>
      <c r="KQZ18" s="13"/>
      <c r="KRA18" s="13"/>
      <c r="KRB18" s="13"/>
      <c r="KRC18" s="13"/>
      <c r="KRD18" s="13"/>
      <c r="KRE18" s="13"/>
      <c r="KRF18" s="13"/>
      <c r="KRG18" s="13"/>
      <c r="KRH18" s="13"/>
      <c r="KRI18" s="13"/>
      <c r="KRJ18" s="13"/>
      <c r="KRK18" s="13"/>
      <c r="KRL18" s="13"/>
      <c r="KRM18" s="13"/>
      <c r="KRN18" s="13"/>
      <c r="KRO18" s="13"/>
      <c r="KRP18" s="13"/>
      <c r="KRQ18" s="13"/>
      <c r="KRR18" s="13"/>
      <c r="KRS18" s="13"/>
      <c r="KRT18" s="13"/>
      <c r="KRU18" s="13"/>
      <c r="KRV18" s="13"/>
      <c r="KRW18" s="13"/>
      <c r="KRX18" s="13"/>
      <c r="KRY18" s="13"/>
      <c r="KRZ18" s="13"/>
      <c r="KSA18" s="13"/>
      <c r="KSB18" s="13"/>
      <c r="KSC18" s="13"/>
      <c r="KSD18" s="13"/>
      <c r="KSE18" s="13"/>
      <c r="KSF18" s="13"/>
      <c r="KSG18" s="13"/>
      <c r="KSH18" s="13"/>
      <c r="KSI18" s="13"/>
      <c r="KSJ18" s="13"/>
      <c r="KSK18" s="13"/>
      <c r="KSL18" s="13"/>
      <c r="KSM18" s="13"/>
      <c r="KSN18" s="13"/>
      <c r="KSO18" s="13"/>
      <c r="KSP18" s="13"/>
      <c r="KSQ18" s="13"/>
      <c r="KSR18" s="13"/>
      <c r="KSS18" s="13"/>
      <c r="KST18" s="13"/>
      <c r="KSU18" s="13"/>
      <c r="KSV18" s="13"/>
      <c r="KSW18" s="13"/>
      <c r="KSX18" s="13"/>
      <c r="KSY18" s="13"/>
      <c r="KSZ18" s="13"/>
      <c r="KTA18" s="13"/>
      <c r="KTB18" s="13"/>
      <c r="KTC18" s="13"/>
      <c r="KTD18" s="13"/>
      <c r="KTE18" s="13"/>
      <c r="KTF18" s="13"/>
      <c r="KTG18" s="13"/>
      <c r="KTH18" s="13"/>
      <c r="KTI18" s="13"/>
      <c r="KTJ18" s="13"/>
      <c r="KTK18" s="13"/>
      <c r="KTL18" s="13"/>
      <c r="KTM18" s="13"/>
      <c r="KTN18" s="13"/>
      <c r="KTO18" s="13"/>
      <c r="KTP18" s="13"/>
      <c r="KTQ18" s="13"/>
      <c r="KTR18" s="13"/>
      <c r="KTS18" s="13"/>
      <c r="KTT18" s="13"/>
      <c r="KTU18" s="13"/>
      <c r="KTV18" s="13"/>
      <c r="KTW18" s="13"/>
      <c r="KTX18" s="13"/>
      <c r="KTY18" s="13"/>
      <c r="KTZ18" s="13"/>
      <c r="KUA18" s="13"/>
      <c r="KUB18" s="13"/>
      <c r="KUC18" s="13"/>
      <c r="KUD18" s="13"/>
      <c r="KUE18" s="13"/>
      <c r="KUF18" s="13"/>
      <c r="KUG18" s="13"/>
      <c r="KUH18" s="13"/>
      <c r="KUI18" s="13"/>
      <c r="KUJ18" s="13"/>
      <c r="KUK18" s="13"/>
      <c r="KUL18" s="13"/>
      <c r="KUM18" s="13"/>
      <c r="KUN18" s="13"/>
      <c r="KUO18" s="13"/>
      <c r="KUP18" s="13"/>
      <c r="KUQ18" s="13"/>
      <c r="KUR18" s="13"/>
      <c r="KUS18" s="13"/>
      <c r="KUT18" s="13"/>
      <c r="KUU18" s="13"/>
      <c r="KUV18" s="13"/>
      <c r="KUW18" s="13"/>
      <c r="KUX18" s="13"/>
      <c r="KUY18" s="13"/>
      <c r="KUZ18" s="13"/>
      <c r="KVA18" s="13"/>
      <c r="KVB18" s="13"/>
      <c r="KVC18" s="13"/>
      <c r="KVD18" s="13"/>
      <c r="KVE18" s="13"/>
      <c r="KVF18" s="13"/>
      <c r="KVG18" s="13"/>
      <c r="KVH18" s="13"/>
      <c r="KVI18" s="13"/>
      <c r="KVJ18" s="13"/>
      <c r="KVK18" s="13"/>
      <c r="KVL18" s="13"/>
      <c r="KVM18" s="13"/>
      <c r="KVN18" s="13"/>
      <c r="KVO18" s="13"/>
      <c r="KVP18" s="13"/>
      <c r="KVQ18" s="13"/>
      <c r="KVR18" s="13"/>
      <c r="KVS18" s="13"/>
      <c r="KVT18" s="13"/>
      <c r="KVU18" s="13"/>
      <c r="KVV18" s="13"/>
      <c r="KVW18" s="13"/>
      <c r="KVX18" s="13"/>
      <c r="KVY18" s="13"/>
      <c r="KVZ18" s="13"/>
      <c r="KWA18" s="13"/>
      <c r="KWB18" s="13"/>
      <c r="KWC18" s="13"/>
      <c r="KWD18" s="13"/>
      <c r="KWE18" s="13"/>
      <c r="KWF18" s="13"/>
      <c r="KWG18" s="13"/>
      <c r="KWH18" s="13"/>
      <c r="KWI18" s="13"/>
      <c r="KWJ18" s="13"/>
      <c r="KWK18" s="13"/>
      <c r="KWL18" s="13"/>
      <c r="KWM18" s="13"/>
      <c r="KWN18" s="13"/>
      <c r="KWO18" s="13"/>
      <c r="KWP18" s="13"/>
      <c r="KWQ18" s="13"/>
      <c r="KWR18" s="13"/>
      <c r="KWS18" s="13"/>
      <c r="KWT18" s="13"/>
      <c r="KWU18" s="13"/>
      <c r="KWV18" s="13"/>
      <c r="KWW18" s="13"/>
      <c r="KWX18" s="13"/>
      <c r="KWY18" s="13"/>
      <c r="KWZ18" s="13"/>
      <c r="KXA18" s="13"/>
      <c r="KXB18" s="13"/>
      <c r="KXC18" s="13"/>
      <c r="KXD18" s="13"/>
      <c r="KXE18" s="13"/>
      <c r="KXF18" s="13"/>
      <c r="KXG18" s="13"/>
      <c r="KXH18" s="13"/>
      <c r="KXI18" s="13"/>
      <c r="KXJ18" s="13"/>
      <c r="KXK18" s="13"/>
      <c r="KXL18" s="13"/>
      <c r="KXM18" s="13"/>
      <c r="KXN18" s="13"/>
      <c r="KXO18" s="13"/>
      <c r="KXP18" s="13"/>
      <c r="KXQ18" s="13"/>
      <c r="KXR18" s="13"/>
      <c r="KXS18" s="13"/>
      <c r="KXT18" s="13"/>
      <c r="KXU18" s="13"/>
      <c r="KXV18" s="13"/>
      <c r="KXW18" s="13"/>
      <c r="KXX18" s="13"/>
      <c r="KXY18" s="13"/>
      <c r="KXZ18" s="13"/>
      <c r="KYA18" s="13"/>
      <c r="KYB18" s="13"/>
      <c r="KYC18" s="13"/>
      <c r="KYD18" s="13"/>
      <c r="KYE18" s="13"/>
      <c r="KYF18" s="13"/>
      <c r="KYG18" s="13"/>
      <c r="KYH18" s="13"/>
      <c r="KYI18" s="13"/>
      <c r="KYJ18" s="13"/>
      <c r="KYK18" s="13"/>
      <c r="KYL18" s="13"/>
      <c r="KYM18" s="13"/>
      <c r="KYN18" s="13"/>
      <c r="KYO18" s="13"/>
      <c r="KYP18" s="13"/>
      <c r="KYQ18" s="13"/>
      <c r="KYR18" s="13"/>
      <c r="KYS18" s="13"/>
      <c r="KYT18" s="13"/>
      <c r="KYU18" s="13"/>
      <c r="KYV18" s="13"/>
      <c r="KYW18" s="13"/>
      <c r="KYX18" s="13"/>
      <c r="KYY18" s="13"/>
      <c r="KYZ18" s="13"/>
      <c r="KZA18" s="13"/>
      <c r="KZB18" s="13"/>
      <c r="KZC18" s="13"/>
      <c r="KZD18" s="13"/>
      <c r="KZE18" s="13"/>
      <c r="KZF18" s="13"/>
      <c r="KZG18" s="13"/>
      <c r="KZH18" s="13"/>
      <c r="KZI18" s="13"/>
      <c r="KZJ18" s="13"/>
      <c r="KZK18" s="13"/>
      <c r="KZL18" s="13"/>
      <c r="KZM18" s="13"/>
      <c r="KZN18" s="13"/>
      <c r="KZO18" s="13"/>
      <c r="KZP18" s="13"/>
      <c r="KZQ18" s="13"/>
      <c r="KZR18" s="13"/>
      <c r="KZS18" s="13"/>
      <c r="KZT18" s="13"/>
      <c r="KZU18" s="13"/>
      <c r="KZV18" s="13"/>
      <c r="KZW18" s="13"/>
      <c r="KZX18" s="13"/>
      <c r="KZY18" s="13"/>
      <c r="KZZ18" s="13"/>
      <c r="LAA18" s="13"/>
      <c r="LAB18" s="13"/>
      <c r="LAC18" s="13"/>
      <c r="LAD18" s="13"/>
      <c r="LAE18" s="13"/>
      <c r="LAF18" s="13"/>
      <c r="LAG18" s="13"/>
      <c r="LAH18" s="13"/>
      <c r="LAI18" s="13"/>
      <c r="LAJ18" s="13"/>
      <c r="LAK18" s="13"/>
      <c r="LAL18" s="13"/>
      <c r="LAM18" s="13"/>
      <c r="LAN18" s="13"/>
      <c r="LAO18" s="13"/>
      <c r="LAP18" s="13"/>
      <c r="LAQ18" s="13"/>
      <c r="LAR18" s="13"/>
      <c r="LAS18" s="13"/>
      <c r="LAT18" s="13"/>
      <c r="LAU18" s="13"/>
      <c r="LAV18" s="13"/>
      <c r="LAW18" s="13"/>
      <c r="LAX18" s="13"/>
      <c r="LAY18" s="13"/>
      <c r="LAZ18" s="13"/>
      <c r="LBA18" s="13"/>
      <c r="LBB18" s="13"/>
      <c r="LBC18" s="13"/>
      <c r="LBD18" s="13"/>
      <c r="LBE18" s="13"/>
      <c r="LBF18" s="13"/>
      <c r="LBG18" s="13"/>
      <c r="LBH18" s="13"/>
      <c r="LBI18" s="13"/>
      <c r="LBJ18" s="13"/>
      <c r="LBK18" s="13"/>
      <c r="LBL18" s="13"/>
      <c r="LBM18" s="13"/>
      <c r="LBN18" s="13"/>
      <c r="LBO18" s="13"/>
      <c r="LBP18" s="13"/>
      <c r="LBQ18" s="13"/>
      <c r="LBR18" s="13"/>
      <c r="LBS18" s="13"/>
      <c r="LBT18" s="13"/>
      <c r="LBU18" s="13"/>
      <c r="LBV18" s="13"/>
      <c r="LBW18" s="13"/>
      <c r="LBX18" s="13"/>
      <c r="LBY18" s="13"/>
      <c r="LBZ18" s="13"/>
      <c r="LCA18" s="13"/>
      <c r="LCB18" s="13"/>
      <c r="LCC18" s="13"/>
      <c r="LCD18" s="13"/>
      <c r="LCE18" s="13"/>
      <c r="LCF18" s="13"/>
      <c r="LCG18" s="13"/>
      <c r="LCH18" s="13"/>
      <c r="LCI18" s="13"/>
      <c r="LCJ18" s="13"/>
      <c r="LCK18" s="13"/>
      <c r="LCL18" s="13"/>
      <c r="LCM18" s="13"/>
      <c r="LCN18" s="13"/>
      <c r="LCO18" s="13"/>
      <c r="LCP18" s="13"/>
      <c r="LCQ18" s="13"/>
      <c r="LCR18" s="13"/>
      <c r="LCS18" s="13"/>
      <c r="LCT18" s="13"/>
      <c r="LCU18" s="13"/>
      <c r="LCV18" s="13"/>
      <c r="LCW18" s="13"/>
      <c r="LCX18" s="13"/>
      <c r="LCY18" s="13"/>
      <c r="LCZ18" s="13"/>
      <c r="LDA18" s="13"/>
      <c r="LDB18" s="13"/>
      <c r="LDC18" s="13"/>
      <c r="LDD18" s="13"/>
      <c r="LDE18" s="13"/>
      <c r="LDF18" s="13"/>
      <c r="LDG18" s="13"/>
      <c r="LDH18" s="13"/>
      <c r="LDI18" s="13"/>
      <c r="LDJ18" s="13"/>
      <c r="LDK18" s="13"/>
      <c r="LDL18" s="13"/>
      <c r="LDM18" s="13"/>
      <c r="LDN18" s="13"/>
      <c r="LDO18" s="13"/>
      <c r="LDP18" s="13"/>
      <c r="LDQ18" s="13"/>
      <c r="LDR18" s="13"/>
      <c r="LDS18" s="13"/>
      <c r="LDT18" s="13"/>
      <c r="LDU18" s="13"/>
      <c r="LDV18" s="13"/>
      <c r="LDW18" s="13"/>
      <c r="LDX18" s="13"/>
      <c r="LDY18" s="13"/>
      <c r="LDZ18" s="13"/>
      <c r="LEA18" s="13"/>
      <c r="LEB18" s="13"/>
      <c r="LEC18" s="13"/>
      <c r="LED18" s="13"/>
      <c r="LEE18" s="13"/>
      <c r="LEF18" s="13"/>
      <c r="LEG18" s="13"/>
      <c r="LEH18" s="13"/>
      <c r="LEI18" s="13"/>
      <c r="LEJ18" s="13"/>
      <c r="LEK18" s="13"/>
      <c r="LEL18" s="13"/>
      <c r="LEM18" s="13"/>
      <c r="LEN18" s="13"/>
      <c r="LEO18" s="13"/>
      <c r="LEP18" s="13"/>
      <c r="LEQ18" s="13"/>
      <c r="LER18" s="13"/>
      <c r="LES18" s="13"/>
      <c r="LET18" s="13"/>
      <c r="LEU18" s="13"/>
      <c r="LEV18" s="13"/>
      <c r="LEW18" s="13"/>
      <c r="LEX18" s="13"/>
      <c r="LEY18" s="13"/>
      <c r="LEZ18" s="13"/>
      <c r="LFA18" s="13"/>
      <c r="LFB18" s="13"/>
      <c r="LFC18" s="13"/>
      <c r="LFD18" s="13"/>
      <c r="LFE18" s="13"/>
      <c r="LFF18" s="13"/>
      <c r="LFG18" s="13"/>
      <c r="LFH18" s="13"/>
      <c r="LFI18" s="13"/>
      <c r="LFJ18" s="13"/>
      <c r="LFK18" s="13"/>
      <c r="LFL18" s="13"/>
      <c r="LFM18" s="13"/>
      <c r="LFN18" s="13"/>
      <c r="LFO18" s="13"/>
      <c r="LFP18" s="13"/>
      <c r="LFQ18" s="13"/>
      <c r="LFR18" s="13"/>
      <c r="LFS18" s="13"/>
      <c r="LFT18" s="13"/>
      <c r="LFU18" s="13"/>
      <c r="LFV18" s="13"/>
      <c r="LFW18" s="13"/>
      <c r="LFX18" s="13"/>
      <c r="LFY18" s="13"/>
      <c r="LFZ18" s="13"/>
      <c r="LGA18" s="13"/>
      <c r="LGB18" s="13"/>
      <c r="LGC18" s="13"/>
      <c r="LGD18" s="13"/>
      <c r="LGE18" s="13"/>
      <c r="LGF18" s="13"/>
      <c r="LGG18" s="13"/>
      <c r="LGH18" s="13"/>
      <c r="LGI18" s="13"/>
      <c r="LGJ18" s="13"/>
      <c r="LGK18" s="13"/>
      <c r="LGL18" s="13"/>
      <c r="LGM18" s="13"/>
      <c r="LGN18" s="13"/>
      <c r="LGO18" s="13"/>
      <c r="LGP18" s="13"/>
      <c r="LGQ18" s="13"/>
      <c r="LGR18" s="13"/>
      <c r="LGS18" s="13"/>
      <c r="LGT18" s="13"/>
      <c r="LGU18" s="13"/>
      <c r="LGV18" s="13"/>
      <c r="LGW18" s="13"/>
      <c r="LGX18" s="13"/>
      <c r="LGY18" s="13"/>
      <c r="LGZ18" s="13"/>
      <c r="LHA18" s="13"/>
      <c r="LHB18" s="13"/>
      <c r="LHC18" s="13"/>
      <c r="LHD18" s="13"/>
      <c r="LHE18" s="13"/>
      <c r="LHF18" s="13"/>
      <c r="LHG18" s="13"/>
      <c r="LHH18" s="13"/>
      <c r="LHI18" s="13"/>
      <c r="LHJ18" s="13"/>
      <c r="LHK18" s="13"/>
      <c r="LHL18" s="13"/>
      <c r="LHM18" s="13"/>
      <c r="LHN18" s="13"/>
      <c r="LHO18" s="13"/>
      <c r="LHP18" s="13"/>
      <c r="LHQ18" s="13"/>
      <c r="LHR18" s="13"/>
      <c r="LHS18" s="13"/>
      <c r="LHT18" s="13"/>
      <c r="LHU18" s="13"/>
      <c r="LHV18" s="13"/>
      <c r="LHW18" s="13"/>
      <c r="LHX18" s="13"/>
      <c r="LHY18" s="13"/>
      <c r="LHZ18" s="13"/>
      <c r="LIA18" s="13"/>
      <c r="LIB18" s="13"/>
      <c r="LIC18" s="13"/>
      <c r="LID18" s="13"/>
      <c r="LIE18" s="13"/>
      <c r="LIF18" s="13"/>
      <c r="LIG18" s="13"/>
      <c r="LIH18" s="13"/>
      <c r="LII18" s="13"/>
      <c r="LIJ18" s="13"/>
      <c r="LIK18" s="13"/>
      <c r="LIL18" s="13"/>
      <c r="LIM18" s="13"/>
      <c r="LIN18" s="13"/>
      <c r="LIO18" s="13"/>
      <c r="LIP18" s="13"/>
      <c r="LIQ18" s="13"/>
      <c r="LIR18" s="13"/>
      <c r="LIS18" s="13"/>
      <c r="LIT18" s="13"/>
      <c r="LIU18" s="13"/>
      <c r="LIV18" s="13"/>
      <c r="LIW18" s="13"/>
      <c r="LIX18" s="13"/>
      <c r="LIY18" s="13"/>
      <c r="LIZ18" s="13"/>
      <c r="LJA18" s="13"/>
      <c r="LJB18" s="13"/>
      <c r="LJC18" s="13"/>
      <c r="LJD18" s="13"/>
      <c r="LJE18" s="13"/>
      <c r="LJF18" s="13"/>
      <c r="LJG18" s="13"/>
      <c r="LJH18" s="13"/>
      <c r="LJI18" s="13"/>
      <c r="LJJ18" s="13"/>
      <c r="LJK18" s="13"/>
      <c r="LJL18" s="13"/>
      <c r="LJM18" s="13"/>
      <c r="LJN18" s="13"/>
      <c r="LJO18" s="13"/>
      <c r="LJP18" s="13"/>
      <c r="LJQ18" s="13"/>
      <c r="LJR18" s="13"/>
      <c r="LJS18" s="13"/>
      <c r="LJT18" s="13"/>
      <c r="LJU18" s="13"/>
      <c r="LJV18" s="13"/>
      <c r="LJW18" s="13"/>
      <c r="LJX18" s="13"/>
      <c r="LJY18" s="13"/>
      <c r="LJZ18" s="13"/>
      <c r="LKA18" s="13"/>
      <c r="LKB18" s="13"/>
      <c r="LKC18" s="13"/>
      <c r="LKD18" s="13"/>
      <c r="LKE18" s="13"/>
      <c r="LKF18" s="13"/>
      <c r="LKG18" s="13"/>
      <c r="LKH18" s="13"/>
      <c r="LKI18" s="13"/>
      <c r="LKJ18" s="13"/>
      <c r="LKK18" s="13"/>
      <c r="LKL18" s="13"/>
      <c r="LKM18" s="13"/>
      <c r="LKN18" s="13"/>
      <c r="LKO18" s="13"/>
      <c r="LKP18" s="13"/>
      <c r="LKQ18" s="13"/>
      <c r="LKR18" s="13"/>
      <c r="LKS18" s="13"/>
      <c r="LKT18" s="13"/>
      <c r="LKU18" s="13"/>
      <c r="LKV18" s="13"/>
      <c r="LKW18" s="13"/>
      <c r="LKX18" s="13"/>
      <c r="LKY18" s="13"/>
      <c r="LKZ18" s="13"/>
      <c r="LLA18" s="13"/>
      <c r="LLB18" s="13"/>
      <c r="LLC18" s="13"/>
      <c r="LLD18" s="13"/>
      <c r="LLE18" s="13"/>
      <c r="LLF18" s="13"/>
      <c r="LLG18" s="13"/>
      <c r="LLH18" s="13"/>
      <c r="LLI18" s="13"/>
      <c r="LLJ18" s="13"/>
      <c r="LLK18" s="13"/>
      <c r="LLL18" s="13"/>
      <c r="LLM18" s="13"/>
      <c r="LLN18" s="13"/>
      <c r="LLO18" s="13"/>
      <c r="LLP18" s="13"/>
      <c r="LLQ18" s="13"/>
      <c r="LLR18" s="13"/>
      <c r="LLS18" s="13"/>
      <c r="LLT18" s="13"/>
      <c r="LLU18" s="13"/>
      <c r="LLV18" s="13"/>
      <c r="LLW18" s="13"/>
      <c r="LLX18" s="13"/>
      <c r="LLY18" s="13"/>
      <c r="LLZ18" s="13"/>
      <c r="LMA18" s="13"/>
      <c r="LMB18" s="13"/>
      <c r="LMC18" s="13"/>
      <c r="LMD18" s="13"/>
      <c r="LME18" s="13"/>
      <c r="LMF18" s="13"/>
      <c r="LMG18" s="13"/>
      <c r="LMH18" s="13"/>
      <c r="LMI18" s="13"/>
      <c r="LMJ18" s="13"/>
      <c r="LMK18" s="13"/>
      <c r="LML18" s="13"/>
      <c r="LMM18" s="13"/>
      <c r="LMN18" s="13"/>
      <c r="LMO18" s="13"/>
      <c r="LMP18" s="13"/>
      <c r="LMQ18" s="13"/>
      <c r="LMR18" s="13"/>
      <c r="LMS18" s="13"/>
      <c r="LMT18" s="13"/>
      <c r="LMU18" s="13"/>
      <c r="LMV18" s="13"/>
      <c r="LMW18" s="13"/>
      <c r="LMX18" s="13"/>
      <c r="LMY18" s="13"/>
      <c r="LMZ18" s="13"/>
      <c r="LNA18" s="13"/>
      <c r="LNB18" s="13"/>
      <c r="LNC18" s="13"/>
      <c r="LND18" s="13"/>
      <c r="LNE18" s="13"/>
      <c r="LNF18" s="13"/>
      <c r="LNG18" s="13"/>
      <c r="LNH18" s="13"/>
      <c r="LNI18" s="13"/>
      <c r="LNJ18" s="13"/>
      <c r="LNK18" s="13"/>
      <c r="LNL18" s="13"/>
      <c r="LNM18" s="13"/>
      <c r="LNN18" s="13"/>
      <c r="LNO18" s="13"/>
      <c r="LNP18" s="13"/>
      <c r="LNQ18" s="13"/>
      <c r="LNR18" s="13"/>
      <c r="LNS18" s="13"/>
      <c r="LNT18" s="13"/>
      <c r="LNU18" s="13"/>
      <c r="LNV18" s="13"/>
      <c r="LNW18" s="13"/>
      <c r="LNX18" s="13"/>
      <c r="LNY18" s="13"/>
      <c r="LNZ18" s="13"/>
      <c r="LOA18" s="13"/>
      <c r="LOB18" s="13"/>
      <c r="LOC18" s="13"/>
      <c r="LOD18" s="13"/>
      <c r="LOE18" s="13"/>
      <c r="LOF18" s="13"/>
      <c r="LOG18" s="13"/>
      <c r="LOH18" s="13"/>
      <c r="LOI18" s="13"/>
      <c r="LOJ18" s="13"/>
      <c r="LOK18" s="13"/>
      <c r="LOL18" s="13"/>
      <c r="LOM18" s="13"/>
      <c r="LON18" s="13"/>
      <c r="LOO18" s="13"/>
      <c r="LOP18" s="13"/>
      <c r="LOQ18" s="13"/>
      <c r="LOR18" s="13"/>
      <c r="LOS18" s="13"/>
      <c r="LOT18" s="13"/>
      <c r="LOU18" s="13"/>
      <c r="LOV18" s="13"/>
      <c r="LOW18" s="13"/>
      <c r="LOX18" s="13"/>
      <c r="LOY18" s="13"/>
      <c r="LOZ18" s="13"/>
      <c r="LPA18" s="13"/>
      <c r="LPB18" s="13"/>
      <c r="LPC18" s="13"/>
      <c r="LPD18" s="13"/>
      <c r="LPE18" s="13"/>
      <c r="LPF18" s="13"/>
      <c r="LPG18" s="13"/>
      <c r="LPH18" s="13"/>
      <c r="LPI18" s="13"/>
      <c r="LPJ18" s="13"/>
      <c r="LPK18" s="13"/>
      <c r="LPL18" s="13"/>
      <c r="LPM18" s="13"/>
      <c r="LPN18" s="13"/>
      <c r="LPO18" s="13"/>
      <c r="LPP18" s="13"/>
      <c r="LPQ18" s="13"/>
      <c r="LPR18" s="13"/>
      <c r="LPS18" s="13"/>
      <c r="LPT18" s="13"/>
      <c r="LPU18" s="13"/>
      <c r="LPV18" s="13"/>
      <c r="LPW18" s="13"/>
      <c r="LPX18" s="13"/>
      <c r="LPY18" s="13"/>
      <c r="LPZ18" s="13"/>
      <c r="LQA18" s="13"/>
      <c r="LQB18" s="13"/>
      <c r="LQC18" s="13"/>
      <c r="LQD18" s="13"/>
      <c r="LQE18" s="13"/>
      <c r="LQF18" s="13"/>
      <c r="LQG18" s="13"/>
      <c r="LQH18" s="13"/>
      <c r="LQI18" s="13"/>
      <c r="LQJ18" s="13"/>
      <c r="LQK18" s="13"/>
      <c r="LQL18" s="13"/>
      <c r="LQM18" s="13"/>
      <c r="LQN18" s="13"/>
      <c r="LQO18" s="13"/>
      <c r="LQP18" s="13"/>
      <c r="LQQ18" s="13"/>
      <c r="LQR18" s="13"/>
      <c r="LQS18" s="13"/>
      <c r="LQT18" s="13"/>
      <c r="LQU18" s="13"/>
      <c r="LQV18" s="13"/>
      <c r="LQW18" s="13"/>
      <c r="LQX18" s="13"/>
      <c r="LQY18" s="13"/>
      <c r="LQZ18" s="13"/>
      <c r="LRA18" s="13"/>
      <c r="LRB18" s="13"/>
      <c r="LRC18" s="13"/>
      <c r="LRD18" s="13"/>
      <c r="LRE18" s="13"/>
      <c r="LRF18" s="13"/>
      <c r="LRG18" s="13"/>
      <c r="LRH18" s="13"/>
      <c r="LRI18" s="13"/>
      <c r="LRJ18" s="13"/>
      <c r="LRK18" s="13"/>
      <c r="LRL18" s="13"/>
      <c r="LRM18" s="13"/>
      <c r="LRN18" s="13"/>
      <c r="LRO18" s="13"/>
      <c r="LRP18" s="13"/>
      <c r="LRQ18" s="13"/>
      <c r="LRR18" s="13"/>
      <c r="LRS18" s="13"/>
      <c r="LRT18" s="13"/>
      <c r="LRU18" s="13"/>
      <c r="LRV18" s="13"/>
      <c r="LRW18" s="13"/>
      <c r="LRX18" s="13"/>
      <c r="LRY18" s="13"/>
      <c r="LRZ18" s="13"/>
      <c r="LSA18" s="13"/>
      <c r="LSB18" s="13"/>
      <c r="LSC18" s="13"/>
      <c r="LSD18" s="13"/>
      <c r="LSE18" s="13"/>
      <c r="LSF18" s="13"/>
      <c r="LSG18" s="13"/>
      <c r="LSH18" s="13"/>
      <c r="LSI18" s="13"/>
      <c r="LSJ18" s="13"/>
      <c r="LSK18" s="13"/>
      <c r="LSL18" s="13"/>
      <c r="LSM18" s="13"/>
      <c r="LSN18" s="13"/>
      <c r="LSO18" s="13"/>
      <c r="LSP18" s="13"/>
      <c r="LSQ18" s="13"/>
      <c r="LSR18" s="13"/>
      <c r="LSS18" s="13"/>
      <c r="LST18" s="13"/>
      <c r="LSU18" s="13"/>
      <c r="LSV18" s="13"/>
      <c r="LSW18" s="13"/>
      <c r="LSX18" s="13"/>
      <c r="LSY18" s="13"/>
      <c r="LSZ18" s="13"/>
      <c r="LTA18" s="13"/>
      <c r="LTB18" s="13"/>
      <c r="LTC18" s="13"/>
      <c r="LTD18" s="13"/>
      <c r="LTE18" s="13"/>
      <c r="LTF18" s="13"/>
      <c r="LTG18" s="13"/>
      <c r="LTH18" s="13"/>
      <c r="LTI18" s="13"/>
      <c r="LTJ18" s="13"/>
      <c r="LTK18" s="13"/>
      <c r="LTL18" s="13"/>
      <c r="LTM18" s="13"/>
      <c r="LTN18" s="13"/>
      <c r="LTO18" s="13"/>
      <c r="LTP18" s="13"/>
      <c r="LTQ18" s="13"/>
      <c r="LTR18" s="13"/>
      <c r="LTS18" s="13"/>
      <c r="LTT18" s="13"/>
      <c r="LTU18" s="13"/>
      <c r="LTV18" s="13"/>
      <c r="LTW18" s="13"/>
      <c r="LTX18" s="13"/>
      <c r="LTY18" s="13"/>
      <c r="LTZ18" s="13"/>
      <c r="LUA18" s="13"/>
      <c r="LUB18" s="13"/>
      <c r="LUC18" s="13"/>
      <c r="LUD18" s="13"/>
      <c r="LUE18" s="13"/>
      <c r="LUF18" s="13"/>
      <c r="LUG18" s="13"/>
      <c r="LUH18" s="13"/>
      <c r="LUI18" s="13"/>
      <c r="LUJ18" s="13"/>
      <c r="LUK18" s="13"/>
      <c r="LUL18" s="13"/>
      <c r="LUM18" s="13"/>
      <c r="LUN18" s="13"/>
      <c r="LUO18" s="13"/>
      <c r="LUP18" s="13"/>
      <c r="LUQ18" s="13"/>
      <c r="LUR18" s="13"/>
      <c r="LUS18" s="13"/>
      <c r="LUT18" s="13"/>
      <c r="LUU18" s="13"/>
      <c r="LUV18" s="13"/>
      <c r="LUW18" s="13"/>
      <c r="LUX18" s="13"/>
      <c r="LUY18" s="13"/>
      <c r="LUZ18" s="13"/>
      <c r="LVA18" s="13"/>
      <c r="LVB18" s="13"/>
      <c r="LVC18" s="13"/>
      <c r="LVD18" s="13"/>
      <c r="LVE18" s="13"/>
      <c r="LVF18" s="13"/>
      <c r="LVG18" s="13"/>
      <c r="LVH18" s="13"/>
      <c r="LVI18" s="13"/>
      <c r="LVJ18" s="13"/>
      <c r="LVK18" s="13"/>
      <c r="LVL18" s="13"/>
      <c r="LVM18" s="13"/>
      <c r="LVN18" s="13"/>
      <c r="LVO18" s="13"/>
      <c r="LVP18" s="13"/>
      <c r="LVQ18" s="13"/>
      <c r="LVR18" s="13"/>
      <c r="LVS18" s="13"/>
      <c r="LVT18" s="13"/>
      <c r="LVU18" s="13"/>
      <c r="LVV18" s="13"/>
      <c r="LVW18" s="13"/>
      <c r="LVX18" s="13"/>
      <c r="LVY18" s="13"/>
      <c r="LVZ18" s="13"/>
      <c r="LWA18" s="13"/>
      <c r="LWB18" s="13"/>
      <c r="LWC18" s="13"/>
      <c r="LWD18" s="13"/>
      <c r="LWE18" s="13"/>
      <c r="LWF18" s="13"/>
      <c r="LWG18" s="13"/>
      <c r="LWH18" s="13"/>
      <c r="LWI18" s="13"/>
      <c r="LWJ18" s="13"/>
      <c r="LWK18" s="13"/>
      <c r="LWL18" s="13"/>
      <c r="LWM18" s="13"/>
      <c r="LWN18" s="13"/>
      <c r="LWO18" s="13"/>
      <c r="LWP18" s="13"/>
      <c r="LWQ18" s="13"/>
      <c r="LWR18" s="13"/>
      <c r="LWS18" s="13"/>
      <c r="LWT18" s="13"/>
      <c r="LWU18" s="13"/>
      <c r="LWV18" s="13"/>
      <c r="LWW18" s="13"/>
      <c r="LWX18" s="13"/>
      <c r="LWY18" s="13"/>
      <c r="LWZ18" s="13"/>
      <c r="LXA18" s="13"/>
      <c r="LXB18" s="13"/>
      <c r="LXC18" s="13"/>
      <c r="LXD18" s="13"/>
      <c r="LXE18" s="13"/>
      <c r="LXF18" s="13"/>
      <c r="LXG18" s="13"/>
      <c r="LXH18" s="13"/>
      <c r="LXI18" s="13"/>
      <c r="LXJ18" s="13"/>
      <c r="LXK18" s="13"/>
      <c r="LXL18" s="13"/>
      <c r="LXM18" s="13"/>
      <c r="LXN18" s="13"/>
      <c r="LXO18" s="13"/>
      <c r="LXP18" s="13"/>
      <c r="LXQ18" s="13"/>
      <c r="LXR18" s="13"/>
      <c r="LXS18" s="13"/>
      <c r="LXT18" s="13"/>
      <c r="LXU18" s="13"/>
      <c r="LXV18" s="13"/>
      <c r="LXW18" s="13"/>
      <c r="LXX18" s="13"/>
      <c r="LXY18" s="13"/>
      <c r="LXZ18" s="13"/>
      <c r="LYA18" s="13"/>
      <c r="LYB18" s="13"/>
      <c r="LYC18" s="13"/>
      <c r="LYD18" s="13"/>
      <c r="LYE18" s="13"/>
      <c r="LYF18" s="13"/>
      <c r="LYG18" s="13"/>
      <c r="LYH18" s="13"/>
      <c r="LYI18" s="13"/>
      <c r="LYJ18" s="13"/>
      <c r="LYK18" s="13"/>
      <c r="LYL18" s="13"/>
      <c r="LYM18" s="13"/>
      <c r="LYN18" s="13"/>
      <c r="LYO18" s="13"/>
      <c r="LYP18" s="13"/>
      <c r="LYQ18" s="13"/>
      <c r="LYR18" s="13"/>
      <c r="LYS18" s="13"/>
      <c r="LYT18" s="13"/>
      <c r="LYU18" s="13"/>
      <c r="LYV18" s="13"/>
      <c r="LYW18" s="13"/>
      <c r="LYX18" s="13"/>
      <c r="LYY18" s="13"/>
      <c r="LYZ18" s="13"/>
      <c r="LZA18" s="13"/>
      <c r="LZB18" s="13"/>
      <c r="LZC18" s="13"/>
      <c r="LZD18" s="13"/>
      <c r="LZE18" s="13"/>
      <c r="LZF18" s="13"/>
      <c r="LZG18" s="13"/>
      <c r="LZH18" s="13"/>
      <c r="LZI18" s="13"/>
      <c r="LZJ18" s="13"/>
      <c r="LZK18" s="13"/>
      <c r="LZL18" s="13"/>
      <c r="LZM18" s="13"/>
      <c r="LZN18" s="13"/>
      <c r="LZO18" s="13"/>
      <c r="LZP18" s="13"/>
      <c r="LZQ18" s="13"/>
      <c r="LZR18" s="13"/>
      <c r="LZS18" s="13"/>
      <c r="LZT18" s="13"/>
      <c r="LZU18" s="13"/>
      <c r="LZV18" s="13"/>
      <c r="LZW18" s="13"/>
      <c r="LZX18" s="13"/>
      <c r="LZY18" s="13"/>
      <c r="LZZ18" s="13"/>
      <c r="MAA18" s="13"/>
      <c r="MAB18" s="13"/>
      <c r="MAC18" s="13"/>
      <c r="MAD18" s="13"/>
      <c r="MAE18" s="13"/>
      <c r="MAF18" s="13"/>
      <c r="MAG18" s="13"/>
      <c r="MAH18" s="13"/>
      <c r="MAI18" s="13"/>
      <c r="MAJ18" s="13"/>
      <c r="MAK18" s="13"/>
      <c r="MAL18" s="13"/>
      <c r="MAM18" s="13"/>
      <c r="MAN18" s="13"/>
      <c r="MAO18" s="13"/>
      <c r="MAP18" s="13"/>
      <c r="MAQ18" s="13"/>
      <c r="MAR18" s="13"/>
      <c r="MAS18" s="13"/>
      <c r="MAT18" s="13"/>
      <c r="MAU18" s="13"/>
      <c r="MAV18" s="13"/>
      <c r="MAW18" s="13"/>
      <c r="MAX18" s="13"/>
      <c r="MAY18" s="13"/>
      <c r="MAZ18" s="13"/>
      <c r="MBA18" s="13"/>
      <c r="MBB18" s="13"/>
      <c r="MBC18" s="13"/>
      <c r="MBD18" s="13"/>
      <c r="MBE18" s="13"/>
      <c r="MBF18" s="13"/>
      <c r="MBG18" s="13"/>
      <c r="MBH18" s="13"/>
      <c r="MBI18" s="13"/>
      <c r="MBJ18" s="13"/>
      <c r="MBK18" s="13"/>
      <c r="MBL18" s="13"/>
      <c r="MBM18" s="13"/>
      <c r="MBN18" s="13"/>
      <c r="MBO18" s="13"/>
      <c r="MBP18" s="13"/>
      <c r="MBQ18" s="13"/>
      <c r="MBR18" s="13"/>
      <c r="MBS18" s="13"/>
      <c r="MBT18" s="13"/>
      <c r="MBU18" s="13"/>
      <c r="MBV18" s="13"/>
      <c r="MBW18" s="13"/>
      <c r="MBX18" s="13"/>
      <c r="MBY18" s="13"/>
      <c r="MBZ18" s="13"/>
      <c r="MCA18" s="13"/>
      <c r="MCB18" s="13"/>
      <c r="MCC18" s="13"/>
      <c r="MCD18" s="13"/>
      <c r="MCE18" s="13"/>
      <c r="MCF18" s="13"/>
      <c r="MCG18" s="13"/>
      <c r="MCH18" s="13"/>
      <c r="MCI18" s="13"/>
      <c r="MCJ18" s="13"/>
      <c r="MCK18" s="13"/>
      <c r="MCL18" s="13"/>
      <c r="MCM18" s="13"/>
      <c r="MCN18" s="13"/>
      <c r="MCO18" s="13"/>
      <c r="MCP18" s="13"/>
      <c r="MCQ18" s="13"/>
      <c r="MCR18" s="13"/>
      <c r="MCS18" s="13"/>
      <c r="MCT18" s="13"/>
      <c r="MCU18" s="13"/>
      <c r="MCV18" s="13"/>
      <c r="MCW18" s="13"/>
      <c r="MCX18" s="13"/>
      <c r="MCY18" s="13"/>
      <c r="MCZ18" s="13"/>
      <c r="MDA18" s="13"/>
      <c r="MDB18" s="13"/>
      <c r="MDC18" s="13"/>
      <c r="MDD18" s="13"/>
      <c r="MDE18" s="13"/>
      <c r="MDF18" s="13"/>
      <c r="MDG18" s="13"/>
      <c r="MDH18" s="13"/>
      <c r="MDI18" s="13"/>
      <c r="MDJ18" s="13"/>
      <c r="MDK18" s="13"/>
      <c r="MDL18" s="13"/>
      <c r="MDM18" s="13"/>
      <c r="MDN18" s="13"/>
      <c r="MDO18" s="13"/>
      <c r="MDP18" s="13"/>
      <c r="MDQ18" s="13"/>
      <c r="MDR18" s="13"/>
      <c r="MDS18" s="13"/>
      <c r="MDT18" s="13"/>
      <c r="MDU18" s="13"/>
      <c r="MDV18" s="13"/>
      <c r="MDW18" s="13"/>
      <c r="MDX18" s="13"/>
      <c r="MDY18" s="13"/>
      <c r="MDZ18" s="13"/>
      <c r="MEA18" s="13"/>
      <c r="MEB18" s="13"/>
      <c r="MEC18" s="13"/>
      <c r="MED18" s="13"/>
      <c r="MEE18" s="13"/>
      <c r="MEF18" s="13"/>
      <c r="MEG18" s="13"/>
      <c r="MEH18" s="13"/>
      <c r="MEI18" s="13"/>
      <c r="MEJ18" s="13"/>
      <c r="MEK18" s="13"/>
      <c r="MEL18" s="13"/>
      <c r="MEM18" s="13"/>
      <c r="MEN18" s="13"/>
      <c r="MEO18" s="13"/>
      <c r="MEP18" s="13"/>
      <c r="MEQ18" s="13"/>
      <c r="MER18" s="13"/>
      <c r="MES18" s="13"/>
      <c r="MET18" s="13"/>
      <c r="MEU18" s="13"/>
      <c r="MEV18" s="13"/>
      <c r="MEW18" s="13"/>
      <c r="MEX18" s="13"/>
      <c r="MEY18" s="13"/>
      <c r="MEZ18" s="13"/>
      <c r="MFA18" s="13"/>
      <c r="MFB18" s="13"/>
      <c r="MFC18" s="13"/>
      <c r="MFD18" s="13"/>
      <c r="MFE18" s="13"/>
      <c r="MFF18" s="13"/>
      <c r="MFG18" s="13"/>
      <c r="MFH18" s="13"/>
      <c r="MFI18" s="13"/>
      <c r="MFJ18" s="13"/>
      <c r="MFK18" s="13"/>
      <c r="MFL18" s="13"/>
      <c r="MFM18" s="13"/>
      <c r="MFN18" s="13"/>
      <c r="MFO18" s="13"/>
      <c r="MFP18" s="13"/>
      <c r="MFQ18" s="13"/>
      <c r="MFR18" s="13"/>
      <c r="MFS18" s="13"/>
      <c r="MFT18" s="13"/>
      <c r="MFU18" s="13"/>
      <c r="MFV18" s="13"/>
      <c r="MFW18" s="13"/>
      <c r="MFX18" s="13"/>
      <c r="MFY18" s="13"/>
      <c r="MFZ18" s="13"/>
      <c r="MGA18" s="13"/>
      <c r="MGB18" s="13"/>
      <c r="MGC18" s="13"/>
      <c r="MGD18" s="13"/>
      <c r="MGE18" s="13"/>
      <c r="MGF18" s="13"/>
      <c r="MGG18" s="13"/>
      <c r="MGH18" s="13"/>
      <c r="MGI18" s="13"/>
      <c r="MGJ18" s="13"/>
      <c r="MGK18" s="13"/>
      <c r="MGL18" s="13"/>
      <c r="MGM18" s="13"/>
      <c r="MGN18" s="13"/>
      <c r="MGO18" s="13"/>
      <c r="MGP18" s="13"/>
      <c r="MGQ18" s="13"/>
      <c r="MGR18" s="13"/>
      <c r="MGS18" s="13"/>
      <c r="MGT18" s="13"/>
      <c r="MGU18" s="13"/>
      <c r="MGV18" s="13"/>
      <c r="MGW18" s="13"/>
      <c r="MGX18" s="13"/>
      <c r="MGY18" s="13"/>
      <c r="MGZ18" s="13"/>
      <c r="MHA18" s="13"/>
      <c r="MHB18" s="13"/>
      <c r="MHC18" s="13"/>
      <c r="MHD18" s="13"/>
      <c r="MHE18" s="13"/>
      <c r="MHF18" s="13"/>
      <c r="MHG18" s="13"/>
      <c r="MHH18" s="13"/>
      <c r="MHI18" s="13"/>
      <c r="MHJ18" s="13"/>
      <c r="MHK18" s="13"/>
      <c r="MHL18" s="13"/>
      <c r="MHM18" s="13"/>
      <c r="MHN18" s="13"/>
      <c r="MHO18" s="13"/>
      <c r="MHP18" s="13"/>
      <c r="MHQ18" s="13"/>
      <c r="MHR18" s="13"/>
      <c r="MHS18" s="13"/>
      <c r="MHT18" s="13"/>
      <c r="MHU18" s="13"/>
      <c r="MHV18" s="13"/>
      <c r="MHW18" s="13"/>
      <c r="MHX18" s="13"/>
      <c r="MHY18" s="13"/>
      <c r="MHZ18" s="13"/>
      <c r="MIA18" s="13"/>
      <c r="MIB18" s="13"/>
      <c r="MIC18" s="13"/>
      <c r="MID18" s="13"/>
      <c r="MIE18" s="13"/>
      <c r="MIF18" s="13"/>
      <c r="MIG18" s="13"/>
      <c r="MIH18" s="13"/>
      <c r="MII18" s="13"/>
      <c r="MIJ18" s="13"/>
      <c r="MIK18" s="13"/>
      <c r="MIL18" s="13"/>
      <c r="MIM18" s="13"/>
      <c r="MIN18" s="13"/>
      <c r="MIO18" s="13"/>
      <c r="MIP18" s="13"/>
      <c r="MIQ18" s="13"/>
      <c r="MIR18" s="13"/>
      <c r="MIS18" s="13"/>
      <c r="MIT18" s="13"/>
      <c r="MIU18" s="13"/>
      <c r="MIV18" s="13"/>
      <c r="MIW18" s="13"/>
      <c r="MIX18" s="13"/>
      <c r="MIY18" s="13"/>
      <c r="MIZ18" s="13"/>
      <c r="MJA18" s="13"/>
      <c r="MJB18" s="13"/>
      <c r="MJC18" s="13"/>
      <c r="MJD18" s="13"/>
      <c r="MJE18" s="13"/>
      <c r="MJF18" s="13"/>
      <c r="MJG18" s="13"/>
      <c r="MJH18" s="13"/>
      <c r="MJI18" s="13"/>
      <c r="MJJ18" s="13"/>
      <c r="MJK18" s="13"/>
      <c r="MJL18" s="13"/>
      <c r="MJM18" s="13"/>
      <c r="MJN18" s="13"/>
      <c r="MJO18" s="13"/>
      <c r="MJP18" s="13"/>
      <c r="MJQ18" s="13"/>
      <c r="MJR18" s="13"/>
      <c r="MJS18" s="13"/>
      <c r="MJT18" s="13"/>
      <c r="MJU18" s="13"/>
      <c r="MJV18" s="13"/>
      <c r="MJW18" s="13"/>
      <c r="MJX18" s="13"/>
      <c r="MJY18" s="13"/>
      <c r="MJZ18" s="13"/>
      <c r="MKA18" s="13"/>
      <c r="MKB18" s="13"/>
      <c r="MKC18" s="13"/>
      <c r="MKD18" s="13"/>
      <c r="MKE18" s="13"/>
      <c r="MKF18" s="13"/>
      <c r="MKG18" s="13"/>
      <c r="MKH18" s="13"/>
      <c r="MKI18" s="13"/>
      <c r="MKJ18" s="13"/>
      <c r="MKK18" s="13"/>
      <c r="MKL18" s="13"/>
      <c r="MKM18" s="13"/>
      <c r="MKN18" s="13"/>
      <c r="MKO18" s="13"/>
      <c r="MKP18" s="13"/>
      <c r="MKQ18" s="13"/>
      <c r="MKR18" s="13"/>
      <c r="MKS18" s="13"/>
      <c r="MKT18" s="13"/>
      <c r="MKU18" s="13"/>
      <c r="MKV18" s="13"/>
      <c r="MKW18" s="13"/>
      <c r="MKX18" s="13"/>
      <c r="MKY18" s="13"/>
      <c r="MKZ18" s="13"/>
      <c r="MLA18" s="13"/>
      <c r="MLB18" s="13"/>
      <c r="MLC18" s="13"/>
      <c r="MLD18" s="13"/>
      <c r="MLE18" s="13"/>
      <c r="MLF18" s="13"/>
      <c r="MLG18" s="13"/>
      <c r="MLH18" s="13"/>
      <c r="MLI18" s="13"/>
      <c r="MLJ18" s="13"/>
      <c r="MLK18" s="13"/>
      <c r="MLL18" s="13"/>
      <c r="MLM18" s="13"/>
      <c r="MLN18" s="13"/>
      <c r="MLO18" s="13"/>
      <c r="MLP18" s="13"/>
      <c r="MLQ18" s="13"/>
      <c r="MLR18" s="13"/>
      <c r="MLS18" s="13"/>
      <c r="MLT18" s="13"/>
      <c r="MLU18" s="13"/>
      <c r="MLV18" s="13"/>
      <c r="MLW18" s="13"/>
      <c r="MLX18" s="13"/>
      <c r="MLY18" s="13"/>
      <c r="MLZ18" s="13"/>
      <c r="MMA18" s="13"/>
      <c r="MMB18" s="13"/>
      <c r="MMC18" s="13"/>
      <c r="MMD18" s="13"/>
      <c r="MME18" s="13"/>
      <c r="MMF18" s="13"/>
      <c r="MMG18" s="13"/>
      <c r="MMH18" s="13"/>
      <c r="MMI18" s="13"/>
      <c r="MMJ18" s="13"/>
      <c r="MMK18" s="13"/>
      <c r="MML18" s="13"/>
      <c r="MMM18" s="13"/>
      <c r="MMN18" s="13"/>
      <c r="MMO18" s="13"/>
      <c r="MMP18" s="13"/>
      <c r="MMQ18" s="13"/>
      <c r="MMR18" s="13"/>
      <c r="MMS18" s="13"/>
      <c r="MMT18" s="13"/>
      <c r="MMU18" s="13"/>
      <c r="MMV18" s="13"/>
      <c r="MMW18" s="13"/>
      <c r="MMX18" s="13"/>
      <c r="MMY18" s="13"/>
      <c r="MMZ18" s="13"/>
      <c r="MNA18" s="13"/>
      <c r="MNB18" s="13"/>
      <c r="MNC18" s="13"/>
      <c r="MND18" s="13"/>
      <c r="MNE18" s="13"/>
      <c r="MNF18" s="13"/>
      <c r="MNG18" s="13"/>
      <c r="MNH18" s="13"/>
      <c r="MNI18" s="13"/>
      <c r="MNJ18" s="13"/>
      <c r="MNK18" s="13"/>
      <c r="MNL18" s="13"/>
      <c r="MNM18" s="13"/>
      <c r="MNN18" s="13"/>
      <c r="MNO18" s="13"/>
      <c r="MNP18" s="13"/>
      <c r="MNQ18" s="13"/>
      <c r="MNR18" s="13"/>
      <c r="MNS18" s="13"/>
      <c r="MNT18" s="13"/>
      <c r="MNU18" s="13"/>
      <c r="MNV18" s="13"/>
      <c r="MNW18" s="13"/>
      <c r="MNX18" s="13"/>
      <c r="MNY18" s="13"/>
      <c r="MNZ18" s="13"/>
      <c r="MOA18" s="13"/>
      <c r="MOB18" s="13"/>
      <c r="MOC18" s="13"/>
      <c r="MOD18" s="13"/>
      <c r="MOE18" s="13"/>
      <c r="MOF18" s="13"/>
      <c r="MOG18" s="13"/>
      <c r="MOH18" s="13"/>
      <c r="MOI18" s="13"/>
      <c r="MOJ18" s="13"/>
      <c r="MOK18" s="13"/>
      <c r="MOL18" s="13"/>
      <c r="MOM18" s="13"/>
      <c r="MON18" s="13"/>
      <c r="MOO18" s="13"/>
      <c r="MOP18" s="13"/>
      <c r="MOQ18" s="13"/>
      <c r="MOR18" s="13"/>
      <c r="MOS18" s="13"/>
      <c r="MOT18" s="13"/>
      <c r="MOU18" s="13"/>
      <c r="MOV18" s="13"/>
      <c r="MOW18" s="13"/>
      <c r="MOX18" s="13"/>
      <c r="MOY18" s="13"/>
      <c r="MOZ18" s="13"/>
      <c r="MPA18" s="13"/>
      <c r="MPB18" s="13"/>
      <c r="MPC18" s="13"/>
      <c r="MPD18" s="13"/>
      <c r="MPE18" s="13"/>
      <c r="MPF18" s="13"/>
      <c r="MPG18" s="13"/>
      <c r="MPH18" s="13"/>
      <c r="MPI18" s="13"/>
      <c r="MPJ18" s="13"/>
      <c r="MPK18" s="13"/>
      <c r="MPL18" s="13"/>
      <c r="MPM18" s="13"/>
      <c r="MPN18" s="13"/>
      <c r="MPO18" s="13"/>
      <c r="MPP18" s="13"/>
      <c r="MPQ18" s="13"/>
      <c r="MPR18" s="13"/>
      <c r="MPS18" s="13"/>
      <c r="MPT18" s="13"/>
      <c r="MPU18" s="13"/>
      <c r="MPV18" s="13"/>
      <c r="MPW18" s="13"/>
      <c r="MPX18" s="13"/>
      <c r="MPY18" s="13"/>
      <c r="MPZ18" s="13"/>
      <c r="MQA18" s="13"/>
      <c r="MQB18" s="13"/>
      <c r="MQC18" s="13"/>
      <c r="MQD18" s="13"/>
      <c r="MQE18" s="13"/>
      <c r="MQF18" s="13"/>
      <c r="MQG18" s="13"/>
      <c r="MQH18" s="13"/>
      <c r="MQI18" s="13"/>
      <c r="MQJ18" s="13"/>
      <c r="MQK18" s="13"/>
      <c r="MQL18" s="13"/>
      <c r="MQM18" s="13"/>
      <c r="MQN18" s="13"/>
      <c r="MQO18" s="13"/>
      <c r="MQP18" s="13"/>
      <c r="MQQ18" s="13"/>
      <c r="MQR18" s="13"/>
      <c r="MQS18" s="13"/>
      <c r="MQT18" s="13"/>
      <c r="MQU18" s="13"/>
      <c r="MQV18" s="13"/>
      <c r="MQW18" s="13"/>
      <c r="MQX18" s="13"/>
      <c r="MQY18" s="13"/>
      <c r="MQZ18" s="13"/>
      <c r="MRA18" s="13"/>
      <c r="MRB18" s="13"/>
      <c r="MRC18" s="13"/>
      <c r="MRD18" s="13"/>
      <c r="MRE18" s="13"/>
      <c r="MRF18" s="13"/>
      <c r="MRG18" s="13"/>
      <c r="MRH18" s="13"/>
      <c r="MRI18" s="13"/>
      <c r="MRJ18" s="13"/>
      <c r="MRK18" s="13"/>
      <c r="MRL18" s="13"/>
      <c r="MRM18" s="13"/>
      <c r="MRN18" s="13"/>
      <c r="MRO18" s="13"/>
      <c r="MRP18" s="13"/>
      <c r="MRQ18" s="13"/>
      <c r="MRR18" s="13"/>
      <c r="MRS18" s="13"/>
      <c r="MRT18" s="13"/>
      <c r="MRU18" s="13"/>
      <c r="MRV18" s="13"/>
      <c r="MRW18" s="13"/>
      <c r="MRX18" s="13"/>
      <c r="MRY18" s="13"/>
      <c r="MRZ18" s="13"/>
      <c r="MSA18" s="13"/>
      <c r="MSB18" s="13"/>
      <c r="MSC18" s="13"/>
      <c r="MSD18" s="13"/>
      <c r="MSE18" s="13"/>
      <c r="MSF18" s="13"/>
      <c r="MSG18" s="13"/>
      <c r="MSH18" s="13"/>
      <c r="MSI18" s="13"/>
      <c r="MSJ18" s="13"/>
      <c r="MSK18" s="13"/>
      <c r="MSL18" s="13"/>
      <c r="MSM18" s="13"/>
      <c r="MSN18" s="13"/>
      <c r="MSO18" s="13"/>
      <c r="MSP18" s="13"/>
      <c r="MSQ18" s="13"/>
      <c r="MSR18" s="13"/>
      <c r="MSS18" s="13"/>
      <c r="MST18" s="13"/>
      <c r="MSU18" s="13"/>
      <c r="MSV18" s="13"/>
      <c r="MSW18" s="13"/>
      <c r="MSX18" s="13"/>
      <c r="MSY18" s="13"/>
      <c r="MSZ18" s="13"/>
      <c r="MTA18" s="13"/>
      <c r="MTB18" s="13"/>
      <c r="MTC18" s="13"/>
      <c r="MTD18" s="13"/>
      <c r="MTE18" s="13"/>
      <c r="MTF18" s="13"/>
      <c r="MTG18" s="13"/>
      <c r="MTH18" s="13"/>
      <c r="MTI18" s="13"/>
      <c r="MTJ18" s="13"/>
      <c r="MTK18" s="13"/>
      <c r="MTL18" s="13"/>
      <c r="MTM18" s="13"/>
      <c r="MTN18" s="13"/>
      <c r="MTO18" s="13"/>
      <c r="MTP18" s="13"/>
      <c r="MTQ18" s="13"/>
      <c r="MTR18" s="13"/>
      <c r="MTS18" s="13"/>
      <c r="MTT18" s="13"/>
      <c r="MTU18" s="13"/>
      <c r="MTV18" s="13"/>
      <c r="MTW18" s="13"/>
      <c r="MTX18" s="13"/>
      <c r="MTY18" s="13"/>
      <c r="MTZ18" s="13"/>
      <c r="MUA18" s="13"/>
      <c r="MUB18" s="13"/>
      <c r="MUC18" s="13"/>
      <c r="MUD18" s="13"/>
      <c r="MUE18" s="13"/>
      <c r="MUF18" s="13"/>
      <c r="MUG18" s="13"/>
      <c r="MUH18" s="13"/>
      <c r="MUI18" s="13"/>
      <c r="MUJ18" s="13"/>
      <c r="MUK18" s="13"/>
      <c r="MUL18" s="13"/>
      <c r="MUM18" s="13"/>
      <c r="MUN18" s="13"/>
      <c r="MUO18" s="13"/>
      <c r="MUP18" s="13"/>
      <c r="MUQ18" s="13"/>
      <c r="MUR18" s="13"/>
      <c r="MUS18" s="13"/>
      <c r="MUT18" s="13"/>
      <c r="MUU18" s="13"/>
      <c r="MUV18" s="13"/>
      <c r="MUW18" s="13"/>
      <c r="MUX18" s="13"/>
      <c r="MUY18" s="13"/>
      <c r="MUZ18" s="13"/>
      <c r="MVA18" s="13"/>
      <c r="MVB18" s="13"/>
      <c r="MVC18" s="13"/>
      <c r="MVD18" s="13"/>
      <c r="MVE18" s="13"/>
      <c r="MVF18" s="13"/>
      <c r="MVG18" s="13"/>
      <c r="MVH18" s="13"/>
      <c r="MVI18" s="13"/>
      <c r="MVJ18" s="13"/>
      <c r="MVK18" s="13"/>
      <c r="MVL18" s="13"/>
      <c r="MVM18" s="13"/>
      <c r="MVN18" s="13"/>
      <c r="MVO18" s="13"/>
      <c r="MVP18" s="13"/>
      <c r="MVQ18" s="13"/>
      <c r="MVR18" s="13"/>
      <c r="MVS18" s="13"/>
      <c r="MVT18" s="13"/>
      <c r="MVU18" s="13"/>
      <c r="MVV18" s="13"/>
      <c r="MVW18" s="13"/>
      <c r="MVX18" s="13"/>
      <c r="MVY18" s="13"/>
      <c r="MVZ18" s="13"/>
      <c r="MWA18" s="13"/>
      <c r="MWB18" s="13"/>
      <c r="MWC18" s="13"/>
      <c r="MWD18" s="13"/>
      <c r="MWE18" s="13"/>
      <c r="MWF18" s="13"/>
      <c r="MWG18" s="13"/>
      <c r="MWH18" s="13"/>
      <c r="MWI18" s="13"/>
      <c r="MWJ18" s="13"/>
      <c r="MWK18" s="13"/>
      <c r="MWL18" s="13"/>
      <c r="MWM18" s="13"/>
      <c r="MWN18" s="13"/>
      <c r="MWO18" s="13"/>
      <c r="MWP18" s="13"/>
      <c r="MWQ18" s="13"/>
      <c r="MWR18" s="13"/>
      <c r="MWS18" s="13"/>
      <c r="MWT18" s="13"/>
      <c r="MWU18" s="13"/>
      <c r="MWV18" s="13"/>
      <c r="MWW18" s="13"/>
      <c r="MWX18" s="13"/>
      <c r="MWY18" s="13"/>
      <c r="MWZ18" s="13"/>
      <c r="MXA18" s="13"/>
      <c r="MXB18" s="13"/>
      <c r="MXC18" s="13"/>
      <c r="MXD18" s="13"/>
      <c r="MXE18" s="13"/>
      <c r="MXF18" s="13"/>
      <c r="MXG18" s="13"/>
      <c r="MXH18" s="13"/>
      <c r="MXI18" s="13"/>
      <c r="MXJ18" s="13"/>
      <c r="MXK18" s="13"/>
      <c r="MXL18" s="13"/>
      <c r="MXM18" s="13"/>
      <c r="MXN18" s="13"/>
      <c r="MXO18" s="13"/>
      <c r="MXP18" s="13"/>
      <c r="MXQ18" s="13"/>
      <c r="MXR18" s="13"/>
      <c r="MXS18" s="13"/>
      <c r="MXT18" s="13"/>
      <c r="MXU18" s="13"/>
      <c r="MXV18" s="13"/>
      <c r="MXW18" s="13"/>
      <c r="MXX18" s="13"/>
      <c r="MXY18" s="13"/>
      <c r="MXZ18" s="13"/>
      <c r="MYA18" s="13"/>
      <c r="MYB18" s="13"/>
      <c r="MYC18" s="13"/>
      <c r="MYD18" s="13"/>
      <c r="MYE18" s="13"/>
      <c r="MYF18" s="13"/>
      <c r="MYG18" s="13"/>
      <c r="MYH18" s="13"/>
      <c r="MYI18" s="13"/>
      <c r="MYJ18" s="13"/>
      <c r="MYK18" s="13"/>
      <c r="MYL18" s="13"/>
      <c r="MYM18" s="13"/>
      <c r="MYN18" s="13"/>
      <c r="MYO18" s="13"/>
      <c r="MYP18" s="13"/>
      <c r="MYQ18" s="13"/>
      <c r="MYR18" s="13"/>
      <c r="MYS18" s="13"/>
      <c r="MYT18" s="13"/>
      <c r="MYU18" s="13"/>
      <c r="MYV18" s="13"/>
      <c r="MYW18" s="13"/>
      <c r="MYX18" s="13"/>
      <c r="MYY18" s="13"/>
      <c r="MYZ18" s="13"/>
      <c r="MZA18" s="13"/>
      <c r="MZB18" s="13"/>
      <c r="MZC18" s="13"/>
      <c r="MZD18" s="13"/>
      <c r="MZE18" s="13"/>
      <c r="MZF18" s="13"/>
      <c r="MZG18" s="13"/>
      <c r="MZH18" s="13"/>
      <c r="MZI18" s="13"/>
      <c r="MZJ18" s="13"/>
      <c r="MZK18" s="13"/>
      <c r="MZL18" s="13"/>
      <c r="MZM18" s="13"/>
      <c r="MZN18" s="13"/>
      <c r="MZO18" s="13"/>
      <c r="MZP18" s="13"/>
      <c r="MZQ18" s="13"/>
      <c r="MZR18" s="13"/>
      <c r="MZS18" s="13"/>
      <c r="MZT18" s="13"/>
      <c r="MZU18" s="13"/>
      <c r="MZV18" s="13"/>
      <c r="MZW18" s="13"/>
      <c r="MZX18" s="13"/>
      <c r="MZY18" s="13"/>
      <c r="MZZ18" s="13"/>
      <c r="NAA18" s="13"/>
      <c r="NAB18" s="13"/>
      <c r="NAC18" s="13"/>
      <c r="NAD18" s="13"/>
      <c r="NAE18" s="13"/>
      <c r="NAF18" s="13"/>
      <c r="NAG18" s="13"/>
      <c r="NAH18" s="13"/>
      <c r="NAI18" s="13"/>
      <c r="NAJ18" s="13"/>
      <c r="NAK18" s="13"/>
      <c r="NAL18" s="13"/>
      <c r="NAM18" s="13"/>
      <c r="NAN18" s="13"/>
      <c r="NAO18" s="13"/>
      <c r="NAP18" s="13"/>
      <c r="NAQ18" s="13"/>
      <c r="NAR18" s="13"/>
      <c r="NAS18" s="13"/>
      <c r="NAT18" s="13"/>
      <c r="NAU18" s="13"/>
      <c r="NAV18" s="13"/>
      <c r="NAW18" s="13"/>
      <c r="NAX18" s="13"/>
      <c r="NAY18" s="13"/>
      <c r="NAZ18" s="13"/>
      <c r="NBA18" s="13"/>
      <c r="NBB18" s="13"/>
      <c r="NBC18" s="13"/>
      <c r="NBD18" s="13"/>
      <c r="NBE18" s="13"/>
      <c r="NBF18" s="13"/>
      <c r="NBG18" s="13"/>
      <c r="NBH18" s="13"/>
      <c r="NBI18" s="13"/>
      <c r="NBJ18" s="13"/>
      <c r="NBK18" s="13"/>
      <c r="NBL18" s="13"/>
      <c r="NBM18" s="13"/>
      <c r="NBN18" s="13"/>
      <c r="NBO18" s="13"/>
      <c r="NBP18" s="13"/>
      <c r="NBQ18" s="13"/>
      <c r="NBR18" s="13"/>
      <c r="NBS18" s="13"/>
      <c r="NBT18" s="13"/>
      <c r="NBU18" s="13"/>
      <c r="NBV18" s="13"/>
      <c r="NBW18" s="13"/>
      <c r="NBX18" s="13"/>
      <c r="NBY18" s="13"/>
      <c r="NBZ18" s="13"/>
      <c r="NCA18" s="13"/>
      <c r="NCB18" s="13"/>
      <c r="NCC18" s="13"/>
      <c r="NCD18" s="13"/>
      <c r="NCE18" s="13"/>
      <c r="NCF18" s="13"/>
      <c r="NCG18" s="13"/>
      <c r="NCH18" s="13"/>
      <c r="NCI18" s="13"/>
      <c r="NCJ18" s="13"/>
      <c r="NCK18" s="13"/>
      <c r="NCL18" s="13"/>
      <c r="NCM18" s="13"/>
      <c r="NCN18" s="13"/>
      <c r="NCO18" s="13"/>
      <c r="NCP18" s="13"/>
      <c r="NCQ18" s="13"/>
      <c r="NCR18" s="13"/>
      <c r="NCS18" s="13"/>
      <c r="NCT18" s="13"/>
      <c r="NCU18" s="13"/>
      <c r="NCV18" s="13"/>
      <c r="NCW18" s="13"/>
      <c r="NCX18" s="13"/>
      <c r="NCY18" s="13"/>
      <c r="NCZ18" s="13"/>
      <c r="NDA18" s="13"/>
      <c r="NDB18" s="13"/>
      <c r="NDC18" s="13"/>
      <c r="NDD18" s="13"/>
      <c r="NDE18" s="13"/>
      <c r="NDF18" s="13"/>
      <c r="NDG18" s="13"/>
      <c r="NDH18" s="13"/>
      <c r="NDI18" s="13"/>
      <c r="NDJ18" s="13"/>
      <c r="NDK18" s="13"/>
      <c r="NDL18" s="13"/>
      <c r="NDM18" s="13"/>
      <c r="NDN18" s="13"/>
      <c r="NDO18" s="13"/>
      <c r="NDP18" s="13"/>
      <c r="NDQ18" s="13"/>
      <c r="NDR18" s="13"/>
      <c r="NDS18" s="13"/>
      <c r="NDT18" s="13"/>
      <c r="NDU18" s="13"/>
      <c r="NDV18" s="13"/>
      <c r="NDW18" s="13"/>
      <c r="NDX18" s="13"/>
      <c r="NDY18" s="13"/>
      <c r="NDZ18" s="13"/>
      <c r="NEA18" s="13"/>
      <c r="NEB18" s="13"/>
      <c r="NEC18" s="13"/>
      <c r="NED18" s="13"/>
      <c r="NEE18" s="13"/>
      <c r="NEF18" s="13"/>
      <c r="NEG18" s="13"/>
      <c r="NEH18" s="13"/>
      <c r="NEI18" s="13"/>
      <c r="NEJ18" s="13"/>
      <c r="NEK18" s="13"/>
      <c r="NEL18" s="13"/>
      <c r="NEM18" s="13"/>
      <c r="NEN18" s="13"/>
      <c r="NEO18" s="13"/>
      <c r="NEP18" s="13"/>
      <c r="NEQ18" s="13"/>
      <c r="NER18" s="13"/>
      <c r="NES18" s="13"/>
      <c r="NET18" s="13"/>
      <c r="NEU18" s="13"/>
      <c r="NEV18" s="13"/>
      <c r="NEW18" s="13"/>
      <c r="NEX18" s="13"/>
      <c r="NEY18" s="13"/>
      <c r="NEZ18" s="13"/>
      <c r="NFA18" s="13"/>
      <c r="NFB18" s="13"/>
      <c r="NFC18" s="13"/>
      <c r="NFD18" s="13"/>
      <c r="NFE18" s="13"/>
      <c r="NFF18" s="13"/>
      <c r="NFG18" s="13"/>
      <c r="NFH18" s="13"/>
      <c r="NFI18" s="13"/>
      <c r="NFJ18" s="13"/>
      <c r="NFK18" s="13"/>
      <c r="NFL18" s="13"/>
      <c r="NFM18" s="13"/>
      <c r="NFN18" s="13"/>
      <c r="NFO18" s="13"/>
      <c r="NFP18" s="13"/>
      <c r="NFQ18" s="13"/>
      <c r="NFR18" s="13"/>
      <c r="NFS18" s="13"/>
      <c r="NFT18" s="13"/>
      <c r="NFU18" s="13"/>
      <c r="NFV18" s="13"/>
      <c r="NFW18" s="13"/>
      <c r="NFX18" s="13"/>
      <c r="NFY18" s="13"/>
      <c r="NFZ18" s="13"/>
      <c r="NGA18" s="13"/>
      <c r="NGB18" s="13"/>
      <c r="NGC18" s="13"/>
      <c r="NGD18" s="13"/>
      <c r="NGE18" s="13"/>
      <c r="NGF18" s="13"/>
      <c r="NGG18" s="13"/>
      <c r="NGH18" s="13"/>
      <c r="NGI18" s="13"/>
      <c r="NGJ18" s="13"/>
      <c r="NGK18" s="13"/>
      <c r="NGL18" s="13"/>
      <c r="NGM18" s="13"/>
      <c r="NGN18" s="13"/>
      <c r="NGO18" s="13"/>
      <c r="NGP18" s="13"/>
      <c r="NGQ18" s="13"/>
      <c r="NGR18" s="13"/>
      <c r="NGS18" s="13"/>
      <c r="NGT18" s="13"/>
      <c r="NGU18" s="13"/>
      <c r="NGV18" s="13"/>
      <c r="NGW18" s="13"/>
      <c r="NGX18" s="13"/>
      <c r="NGY18" s="13"/>
      <c r="NGZ18" s="13"/>
      <c r="NHA18" s="13"/>
      <c r="NHB18" s="13"/>
      <c r="NHC18" s="13"/>
      <c r="NHD18" s="13"/>
      <c r="NHE18" s="13"/>
      <c r="NHF18" s="13"/>
      <c r="NHG18" s="13"/>
      <c r="NHH18" s="13"/>
      <c r="NHI18" s="13"/>
      <c r="NHJ18" s="13"/>
      <c r="NHK18" s="13"/>
      <c r="NHL18" s="13"/>
      <c r="NHM18" s="13"/>
      <c r="NHN18" s="13"/>
      <c r="NHO18" s="13"/>
      <c r="NHP18" s="13"/>
      <c r="NHQ18" s="13"/>
      <c r="NHR18" s="13"/>
      <c r="NHS18" s="13"/>
      <c r="NHT18" s="13"/>
      <c r="NHU18" s="13"/>
      <c r="NHV18" s="13"/>
      <c r="NHW18" s="13"/>
      <c r="NHX18" s="13"/>
      <c r="NHY18" s="13"/>
      <c r="NHZ18" s="13"/>
      <c r="NIA18" s="13"/>
      <c r="NIB18" s="13"/>
      <c r="NIC18" s="13"/>
      <c r="NID18" s="13"/>
      <c r="NIE18" s="13"/>
      <c r="NIF18" s="13"/>
      <c r="NIG18" s="13"/>
      <c r="NIH18" s="13"/>
      <c r="NII18" s="13"/>
      <c r="NIJ18" s="13"/>
      <c r="NIK18" s="13"/>
      <c r="NIL18" s="13"/>
      <c r="NIM18" s="13"/>
      <c r="NIN18" s="13"/>
      <c r="NIO18" s="13"/>
      <c r="NIP18" s="13"/>
      <c r="NIQ18" s="13"/>
      <c r="NIR18" s="13"/>
      <c r="NIS18" s="13"/>
      <c r="NIT18" s="13"/>
      <c r="NIU18" s="13"/>
      <c r="NIV18" s="13"/>
      <c r="NIW18" s="13"/>
      <c r="NIX18" s="13"/>
      <c r="NIY18" s="13"/>
      <c r="NIZ18" s="13"/>
      <c r="NJA18" s="13"/>
      <c r="NJB18" s="13"/>
      <c r="NJC18" s="13"/>
      <c r="NJD18" s="13"/>
      <c r="NJE18" s="13"/>
      <c r="NJF18" s="13"/>
      <c r="NJG18" s="13"/>
      <c r="NJH18" s="13"/>
      <c r="NJI18" s="13"/>
      <c r="NJJ18" s="13"/>
      <c r="NJK18" s="13"/>
      <c r="NJL18" s="13"/>
      <c r="NJM18" s="13"/>
      <c r="NJN18" s="13"/>
      <c r="NJO18" s="13"/>
      <c r="NJP18" s="13"/>
      <c r="NJQ18" s="13"/>
      <c r="NJR18" s="13"/>
      <c r="NJS18" s="13"/>
      <c r="NJT18" s="13"/>
      <c r="NJU18" s="13"/>
      <c r="NJV18" s="13"/>
      <c r="NJW18" s="13"/>
      <c r="NJX18" s="13"/>
      <c r="NJY18" s="13"/>
      <c r="NJZ18" s="13"/>
      <c r="NKA18" s="13"/>
      <c r="NKB18" s="13"/>
      <c r="NKC18" s="13"/>
      <c r="NKD18" s="13"/>
      <c r="NKE18" s="13"/>
      <c r="NKF18" s="13"/>
      <c r="NKG18" s="13"/>
      <c r="NKH18" s="13"/>
      <c r="NKI18" s="13"/>
      <c r="NKJ18" s="13"/>
      <c r="NKK18" s="13"/>
      <c r="NKL18" s="13"/>
      <c r="NKM18" s="13"/>
      <c r="NKN18" s="13"/>
      <c r="NKO18" s="13"/>
      <c r="NKP18" s="13"/>
      <c r="NKQ18" s="13"/>
      <c r="NKR18" s="13"/>
      <c r="NKS18" s="13"/>
      <c r="NKT18" s="13"/>
      <c r="NKU18" s="13"/>
      <c r="NKV18" s="13"/>
      <c r="NKW18" s="13"/>
      <c r="NKX18" s="13"/>
      <c r="NKY18" s="13"/>
      <c r="NKZ18" s="13"/>
      <c r="NLA18" s="13"/>
      <c r="NLB18" s="13"/>
      <c r="NLC18" s="13"/>
      <c r="NLD18" s="13"/>
      <c r="NLE18" s="13"/>
      <c r="NLF18" s="13"/>
      <c r="NLG18" s="13"/>
      <c r="NLH18" s="13"/>
      <c r="NLI18" s="13"/>
      <c r="NLJ18" s="13"/>
      <c r="NLK18" s="13"/>
      <c r="NLL18" s="13"/>
      <c r="NLM18" s="13"/>
      <c r="NLN18" s="13"/>
      <c r="NLO18" s="13"/>
      <c r="NLP18" s="13"/>
      <c r="NLQ18" s="13"/>
      <c r="NLR18" s="13"/>
      <c r="NLS18" s="13"/>
      <c r="NLT18" s="13"/>
      <c r="NLU18" s="13"/>
      <c r="NLV18" s="13"/>
      <c r="NLW18" s="13"/>
      <c r="NLX18" s="13"/>
      <c r="NLY18" s="13"/>
      <c r="NLZ18" s="13"/>
      <c r="NMA18" s="13"/>
      <c r="NMB18" s="13"/>
      <c r="NMC18" s="13"/>
      <c r="NMD18" s="13"/>
      <c r="NME18" s="13"/>
      <c r="NMF18" s="13"/>
      <c r="NMG18" s="13"/>
      <c r="NMH18" s="13"/>
      <c r="NMI18" s="13"/>
      <c r="NMJ18" s="13"/>
      <c r="NMK18" s="13"/>
      <c r="NML18" s="13"/>
      <c r="NMM18" s="13"/>
      <c r="NMN18" s="13"/>
      <c r="NMO18" s="13"/>
      <c r="NMP18" s="13"/>
      <c r="NMQ18" s="13"/>
      <c r="NMR18" s="13"/>
      <c r="NMS18" s="13"/>
      <c r="NMT18" s="13"/>
      <c r="NMU18" s="13"/>
      <c r="NMV18" s="13"/>
      <c r="NMW18" s="13"/>
      <c r="NMX18" s="13"/>
      <c r="NMY18" s="13"/>
      <c r="NMZ18" s="13"/>
      <c r="NNA18" s="13"/>
      <c r="NNB18" s="13"/>
      <c r="NNC18" s="13"/>
      <c r="NND18" s="13"/>
      <c r="NNE18" s="13"/>
      <c r="NNF18" s="13"/>
      <c r="NNG18" s="13"/>
      <c r="NNH18" s="13"/>
      <c r="NNI18" s="13"/>
      <c r="NNJ18" s="13"/>
      <c r="NNK18" s="13"/>
      <c r="NNL18" s="13"/>
      <c r="NNM18" s="13"/>
      <c r="NNN18" s="13"/>
      <c r="NNO18" s="13"/>
      <c r="NNP18" s="13"/>
      <c r="NNQ18" s="13"/>
      <c r="NNR18" s="13"/>
      <c r="NNS18" s="13"/>
      <c r="NNT18" s="13"/>
      <c r="NNU18" s="13"/>
      <c r="NNV18" s="13"/>
      <c r="NNW18" s="13"/>
      <c r="NNX18" s="13"/>
      <c r="NNY18" s="13"/>
      <c r="NNZ18" s="13"/>
      <c r="NOA18" s="13"/>
      <c r="NOB18" s="13"/>
      <c r="NOC18" s="13"/>
      <c r="NOD18" s="13"/>
      <c r="NOE18" s="13"/>
      <c r="NOF18" s="13"/>
      <c r="NOG18" s="13"/>
      <c r="NOH18" s="13"/>
      <c r="NOI18" s="13"/>
      <c r="NOJ18" s="13"/>
      <c r="NOK18" s="13"/>
      <c r="NOL18" s="13"/>
      <c r="NOM18" s="13"/>
      <c r="NON18" s="13"/>
      <c r="NOO18" s="13"/>
      <c r="NOP18" s="13"/>
      <c r="NOQ18" s="13"/>
      <c r="NOR18" s="13"/>
      <c r="NOS18" s="13"/>
      <c r="NOT18" s="13"/>
      <c r="NOU18" s="13"/>
      <c r="NOV18" s="13"/>
      <c r="NOW18" s="13"/>
      <c r="NOX18" s="13"/>
      <c r="NOY18" s="13"/>
      <c r="NOZ18" s="13"/>
      <c r="NPA18" s="13"/>
      <c r="NPB18" s="13"/>
      <c r="NPC18" s="13"/>
      <c r="NPD18" s="13"/>
      <c r="NPE18" s="13"/>
      <c r="NPF18" s="13"/>
      <c r="NPG18" s="13"/>
      <c r="NPH18" s="13"/>
      <c r="NPI18" s="13"/>
      <c r="NPJ18" s="13"/>
      <c r="NPK18" s="13"/>
      <c r="NPL18" s="13"/>
      <c r="NPM18" s="13"/>
      <c r="NPN18" s="13"/>
      <c r="NPO18" s="13"/>
      <c r="NPP18" s="13"/>
      <c r="NPQ18" s="13"/>
      <c r="NPR18" s="13"/>
      <c r="NPS18" s="13"/>
      <c r="NPT18" s="13"/>
      <c r="NPU18" s="13"/>
      <c r="NPV18" s="13"/>
      <c r="NPW18" s="13"/>
      <c r="NPX18" s="13"/>
      <c r="NPY18" s="13"/>
      <c r="NPZ18" s="13"/>
      <c r="NQA18" s="13"/>
      <c r="NQB18" s="13"/>
      <c r="NQC18" s="13"/>
      <c r="NQD18" s="13"/>
      <c r="NQE18" s="13"/>
      <c r="NQF18" s="13"/>
      <c r="NQG18" s="13"/>
      <c r="NQH18" s="13"/>
      <c r="NQI18" s="13"/>
      <c r="NQJ18" s="13"/>
      <c r="NQK18" s="13"/>
      <c r="NQL18" s="13"/>
      <c r="NQM18" s="13"/>
      <c r="NQN18" s="13"/>
      <c r="NQO18" s="13"/>
      <c r="NQP18" s="13"/>
      <c r="NQQ18" s="13"/>
      <c r="NQR18" s="13"/>
      <c r="NQS18" s="13"/>
      <c r="NQT18" s="13"/>
      <c r="NQU18" s="13"/>
      <c r="NQV18" s="13"/>
      <c r="NQW18" s="13"/>
      <c r="NQX18" s="13"/>
      <c r="NQY18" s="13"/>
      <c r="NQZ18" s="13"/>
      <c r="NRA18" s="13"/>
      <c r="NRB18" s="13"/>
      <c r="NRC18" s="13"/>
      <c r="NRD18" s="13"/>
      <c r="NRE18" s="13"/>
      <c r="NRF18" s="13"/>
      <c r="NRG18" s="13"/>
      <c r="NRH18" s="13"/>
      <c r="NRI18" s="13"/>
      <c r="NRJ18" s="13"/>
      <c r="NRK18" s="13"/>
      <c r="NRL18" s="13"/>
      <c r="NRM18" s="13"/>
      <c r="NRN18" s="13"/>
      <c r="NRO18" s="13"/>
      <c r="NRP18" s="13"/>
      <c r="NRQ18" s="13"/>
      <c r="NRR18" s="13"/>
      <c r="NRS18" s="13"/>
      <c r="NRT18" s="13"/>
      <c r="NRU18" s="13"/>
      <c r="NRV18" s="13"/>
      <c r="NRW18" s="13"/>
      <c r="NRX18" s="13"/>
      <c r="NRY18" s="13"/>
      <c r="NRZ18" s="13"/>
      <c r="NSA18" s="13"/>
      <c r="NSB18" s="13"/>
      <c r="NSC18" s="13"/>
      <c r="NSD18" s="13"/>
      <c r="NSE18" s="13"/>
      <c r="NSF18" s="13"/>
      <c r="NSG18" s="13"/>
      <c r="NSH18" s="13"/>
      <c r="NSI18" s="13"/>
      <c r="NSJ18" s="13"/>
      <c r="NSK18" s="13"/>
      <c r="NSL18" s="13"/>
      <c r="NSM18" s="13"/>
      <c r="NSN18" s="13"/>
      <c r="NSO18" s="13"/>
      <c r="NSP18" s="13"/>
      <c r="NSQ18" s="13"/>
      <c r="NSR18" s="13"/>
      <c r="NSS18" s="13"/>
      <c r="NST18" s="13"/>
      <c r="NSU18" s="13"/>
      <c r="NSV18" s="13"/>
      <c r="NSW18" s="13"/>
      <c r="NSX18" s="13"/>
      <c r="NSY18" s="13"/>
      <c r="NSZ18" s="13"/>
      <c r="NTA18" s="13"/>
      <c r="NTB18" s="13"/>
      <c r="NTC18" s="13"/>
      <c r="NTD18" s="13"/>
      <c r="NTE18" s="13"/>
      <c r="NTF18" s="13"/>
      <c r="NTG18" s="13"/>
      <c r="NTH18" s="13"/>
      <c r="NTI18" s="13"/>
      <c r="NTJ18" s="13"/>
      <c r="NTK18" s="13"/>
      <c r="NTL18" s="13"/>
      <c r="NTM18" s="13"/>
      <c r="NTN18" s="13"/>
      <c r="NTO18" s="13"/>
      <c r="NTP18" s="13"/>
      <c r="NTQ18" s="13"/>
      <c r="NTR18" s="13"/>
      <c r="NTS18" s="13"/>
      <c r="NTT18" s="13"/>
      <c r="NTU18" s="13"/>
      <c r="NTV18" s="13"/>
      <c r="NTW18" s="13"/>
      <c r="NTX18" s="13"/>
      <c r="NTY18" s="13"/>
      <c r="NTZ18" s="13"/>
      <c r="NUA18" s="13"/>
      <c r="NUB18" s="13"/>
      <c r="NUC18" s="13"/>
      <c r="NUD18" s="13"/>
      <c r="NUE18" s="13"/>
      <c r="NUF18" s="13"/>
      <c r="NUG18" s="13"/>
      <c r="NUH18" s="13"/>
      <c r="NUI18" s="13"/>
      <c r="NUJ18" s="13"/>
      <c r="NUK18" s="13"/>
      <c r="NUL18" s="13"/>
      <c r="NUM18" s="13"/>
      <c r="NUN18" s="13"/>
      <c r="NUO18" s="13"/>
      <c r="NUP18" s="13"/>
      <c r="NUQ18" s="13"/>
      <c r="NUR18" s="13"/>
      <c r="NUS18" s="13"/>
      <c r="NUT18" s="13"/>
      <c r="NUU18" s="13"/>
      <c r="NUV18" s="13"/>
      <c r="NUW18" s="13"/>
      <c r="NUX18" s="13"/>
      <c r="NUY18" s="13"/>
      <c r="NUZ18" s="13"/>
      <c r="NVA18" s="13"/>
      <c r="NVB18" s="13"/>
      <c r="NVC18" s="13"/>
      <c r="NVD18" s="13"/>
      <c r="NVE18" s="13"/>
      <c r="NVF18" s="13"/>
      <c r="NVG18" s="13"/>
      <c r="NVH18" s="13"/>
      <c r="NVI18" s="13"/>
      <c r="NVJ18" s="13"/>
      <c r="NVK18" s="13"/>
      <c r="NVL18" s="13"/>
      <c r="NVM18" s="13"/>
      <c r="NVN18" s="13"/>
      <c r="NVO18" s="13"/>
      <c r="NVP18" s="13"/>
      <c r="NVQ18" s="13"/>
      <c r="NVR18" s="13"/>
      <c r="NVS18" s="13"/>
      <c r="NVT18" s="13"/>
      <c r="NVU18" s="13"/>
      <c r="NVV18" s="13"/>
      <c r="NVW18" s="13"/>
      <c r="NVX18" s="13"/>
      <c r="NVY18" s="13"/>
      <c r="NVZ18" s="13"/>
      <c r="NWA18" s="13"/>
      <c r="NWB18" s="13"/>
      <c r="NWC18" s="13"/>
      <c r="NWD18" s="13"/>
      <c r="NWE18" s="13"/>
      <c r="NWF18" s="13"/>
      <c r="NWG18" s="13"/>
      <c r="NWH18" s="13"/>
      <c r="NWI18" s="13"/>
      <c r="NWJ18" s="13"/>
      <c r="NWK18" s="13"/>
      <c r="NWL18" s="13"/>
      <c r="NWM18" s="13"/>
      <c r="NWN18" s="13"/>
      <c r="NWO18" s="13"/>
      <c r="NWP18" s="13"/>
      <c r="NWQ18" s="13"/>
      <c r="NWR18" s="13"/>
      <c r="NWS18" s="13"/>
      <c r="NWT18" s="13"/>
      <c r="NWU18" s="13"/>
      <c r="NWV18" s="13"/>
      <c r="NWW18" s="13"/>
      <c r="NWX18" s="13"/>
      <c r="NWY18" s="13"/>
      <c r="NWZ18" s="13"/>
      <c r="NXA18" s="13"/>
      <c r="NXB18" s="13"/>
      <c r="NXC18" s="13"/>
      <c r="NXD18" s="13"/>
      <c r="NXE18" s="13"/>
      <c r="NXF18" s="13"/>
      <c r="NXG18" s="13"/>
      <c r="NXH18" s="13"/>
      <c r="NXI18" s="13"/>
      <c r="NXJ18" s="13"/>
      <c r="NXK18" s="13"/>
      <c r="NXL18" s="13"/>
      <c r="NXM18" s="13"/>
      <c r="NXN18" s="13"/>
      <c r="NXO18" s="13"/>
      <c r="NXP18" s="13"/>
      <c r="NXQ18" s="13"/>
      <c r="NXR18" s="13"/>
      <c r="NXS18" s="13"/>
      <c r="NXT18" s="13"/>
      <c r="NXU18" s="13"/>
      <c r="NXV18" s="13"/>
      <c r="NXW18" s="13"/>
      <c r="NXX18" s="13"/>
      <c r="NXY18" s="13"/>
      <c r="NXZ18" s="13"/>
      <c r="NYA18" s="13"/>
      <c r="NYB18" s="13"/>
      <c r="NYC18" s="13"/>
      <c r="NYD18" s="13"/>
      <c r="NYE18" s="13"/>
      <c r="NYF18" s="13"/>
      <c r="NYG18" s="13"/>
      <c r="NYH18" s="13"/>
      <c r="NYI18" s="13"/>
      <c r="NYJ18" s="13"/>
      <c r="NYK18" s="13"/>
      <c r="NYL18" s="13"/>
      <c r="NYM18" s="13"/>
      <c r="NYN18" s="13"/>
      <c r="NYO18" s="13"/>
      <c r="NYP18" s="13"/>
      <c r="NYQ18" s="13"/>
      <c r="NYR18" s="13"/>
      <c r="NYS18" s="13"/>
      <c r="NYT18" s="13"/>
      <c r="NYU18" s="13"/>
      <c r="NYV18" s="13"/>
      <c r="NYW18" s="13"/>
      <c r="NYX18" s="13"/>
      <c r="NYY18" s="13"/>
      <c r="NYZ18" s="13"/>
      <c r="NZA18" s="13"/>
      <c r="NZB18" s="13"/>
      <c r="NZC18" s="13"/>
      <c r="NZD18" s="13"/>
      <c r="NZE18" s="13"/>
      <c r="NZF18" s="13"/>
      <c r="NZG18" s="13"/>
      <c r="NZH18" s="13"/>
      <c r="NZI18" s="13"/>
      <c r="NZJ18" s="13"/>
      <c r="NZK18" s="13"/>
      <c r="NZL18" s="13"/>
      <c r="NZM18" s="13"/>
      <c r="NZN18" s="13"/>
      <c r="NZO18" s="13"/>
      <c r="NZP18" s="13"/>
      <c r="NZQ18" s="13"/>
      <c r="NZR18" s="13"/>
      <c r="NZS18" s="13"/>
      <c r="NZT18" s="13"/>
      <c r="NZU18" s="13"/>
      <c r="NZV18" s="13"/>
      <c r="NZW18" s="13"/>
      <c r="NZX18" s="13"/>
      <c r="NZY18" s="13"/>
      <c r="NZZ18" s="13"/>
      <c r="OAA18" s="13"/>
      <c r="OAB18" s="13"/>
      <c r="OAC18" s="13"/>
      <c r="OAD18" s="13"/>
      <c r="OAE18" s="13"/>
      <c r="OAF18" s="13"/>
      <c r="OAG18" s="13"/>
      <c r="OAH18" s="13"/>
      <c r="OAI18" s="13"/>
      <c r="OAJ18" s="13"/>
      <c r="OAK18" s="13"/>
      <c r="OAL18" s="13"/>
      <c r="OAM18" s="13"/>
      <c r="OAN18" s="13"/>
      <c r="OAO18" s="13"/>
      <c r="OAP18" s="13"/>
      <c r="OAQ18" s="13"/>
      <c r="OAR18" s="13"/>
      <c r="OAS18" s="13"/>
      <c r="OAT18" s="13"/>
      <c r="OAU18" s="13"/>
      <c r="OAV18" s="13"/>
      <c r="OAW18" s="13"/>
      <c r="OAX18" s="13"/>
      <c r="OAY18" s="13"/>
      <c r="OAZ18" s="13"/>
      <c r="OBA18" s="13"/>
      <c r="OBB18" s="13"/>
      <c r="OBC18" s="13"/>
      <c r="OBD18" s="13"/>
      <c r="OBE18" s="13"/>
      <c r="OBF18" s="13"/>
      <c r="OBG18" s="13"/>
      <c r="OBH18" s="13"/>
      <c r="OBI18" s="13"/>
      <c r="OBJ18" s="13"/>
      <c r="OBK18" s="13"/>
      <c r="OBL18" s="13"/>
      <c r="OBM18" s="13"/>
      <c r="OBN18" s="13"/>
      <c r="OBO18" s="13"/>
      <c r="OBP18" s="13"/>
      <c r="OBQ18" s="13"/>
      <c r="OBR18" s="13"/>
      <c r="OBS18" s="13"/>
      <c r="OBT18" s="13"/>
      <c r="OBU18" s="13"/>
      <c r="OBV18" s="13"/>
      <c r="OBW18" s="13"/>
      <c r="OBX18" s="13"/>
      <c r="OBY18" s="13"/>
      <c r="OBZ18" s="13"/>
      <c r="OCA18" s="13"/>
      <c r="OCB18" s="13"/>
      <c r="OCC18" s="13"/>
      <c r="OCD18" s="13"/>
      <c r="OCE18" s="13"/>
      <c r="OCF18" s="13"/>
      <c r="OCG18" s="13"/>
      <c r="OCH18" s="13"/>
      <c r="OCI18" s="13"/>
      <c r="OCJ18" s="13"/>
      <c r="OCK18" s="13"/>
      <c r="OCL18" s="13"/>
      <c r="OCM18" s="13"/>
      <c r="OCN18" s="13"/>
      <c r="OCO18" s="13"/>
      <c r="OCP18" s="13"/>
      <c r="OCQ18" s="13"/>
      <c r="OCR18" s="13"/>
      <c r="OCS18" s="13"/>
      <c r="OCT18" s="13"/>
      <c r="OCU18" s="13"/>
      <c r="OCV18" s="13"/>
      <c r="OCW18" s="13"/>
      <c r="OCX18" s="13"/>
      <c r="OCY18" s="13"/>
      <c r="OCZ18" s="13"/>
      <c r="ODA18" s="13"/>
      <c r="ODB18" s="13"/>
      <c r="ODC18" s="13"/>
      <c r="ODD18" s="13"/>
      <c r="ODE18" s="13"/>
      <c r="ODF18" s="13"/>
      <c r="ODG18" s="13"/>
      <c r="ODH18" s="13"/>
      <c r="ODI18" s="13"/>
      <c r="ODJ18" s="13"/>
      <c r="ODK18" s="13"/>
      <c r="ODL18" s="13"/>
      <c r="ODM18" s="13"/>
      <c r="ODN18" s="13"/>
      <c r="ODO18" s="13"/>
      <c r="ODP18" s="13"/>
      <c r="ODQ18" s="13"/>
      <c r="ODR18" s="13"/>
      <c r="ODS18" s="13"/>
      <c r="ODT18" s="13"/>
      <c r="ODU18" s="13"/>
      <c r="ODV18" s="13"/>
      <c r="ODW18" s="13"/>
      <c r="ODX18" s="13"/>
      <c r="ODY18" s="13"/>
      <c r="ODZ18" s="13"/>
      <c r="OEA18" s="13"/>
      <c r="OEB18" s="13"/>
      <c r="OEC18" s="13"/>
      <c r="OED18" s="13"/>
      <c r="OEE18" s="13"/>
      <c r="OEF18" s="13"/>
      <c r="OEG18" s="13"/>
      <c r="OEH18" s="13"/>
      <c r="OEI18" s="13"/>
      <c r="OEJ18" s="13"/>
      <c r="OEK18" s="13"/>
      <c r="OEL18" s="13"/>
      <c r="OEM18" s="13"/>
      <c r="OEN18" s="13"/>
      <c r="OEO18" s="13"/>
      <c r="OEP18" s="13"/>
      <c r="OEQ18" s="13"/>
      <c r="OER18" s="13"/>
      <c r="OES18" s="13"/>
      <c r="OET18" s="13"/>
      <c r="OEU18" s="13"/>
      <c r="OEV18" s="13"/>
      <c r="OEW18" s="13"/>
      <c r="OEX18" s="13"/>
      <c r="OEY18" s="13"/>
      <c r="OEZ18" s="13"/>
      <c r="OFA18" s="13"/>
      <c r="OFB18" s="13"/>
      <c r="OFC18" s="13"/>
      <c r="OFD18" s="13"/>
      <c r="OFE18" s="13"/>
      <c r="OFF18" s="13"/>
      <c r="OFG18" s="13"/>
      <c r="OFH18" s="13"/>
      <c r="OFI18" s="13"/>
      <c r="OFJ18" s="13"/>
      <c r="OFK18" s="13"/>
      <c r="OFL18" s="13"/>
      <c r="OFM18" s="13"/>
      <c r="OFN18" s="13"/>
      <c r="OFO18" s="13"/>
      <c r="OFP18" s="13"/>
      <c r="OFQ18" s="13"/>
      <c r="OFR18" s="13"/>
      <c r="OFS18" s="13"/>
      <c r="OFT18" s="13"/>
      <c r="OFU18" s="13"/>
      <c r="OFV18" s="13"/>
      <c r="OFW18" s="13"/>
      <c r="OFX18" s="13"/>
      <c r="OFY18" s="13"/>
      <c r="OFZ18" s="13"/>
      <c r="OGA18" s="13"/>
      <c r="OGB18" s="13"/>
      <c r="OGC18" s="13"/>
      <c r="OGD18" s="13"/>
      <c r="OGE18" s="13"/>
      <c r="OGF18" s="13"/>
      <c r="OGG18" s="13"/>
      <c r="OGH18" s="13"/>
      <c r="OGI18" s="13"/>
      <c r="OGJ18" s="13"/>
      <c r="OGK18" s="13"/>
      <c r="OGL18" s="13"/>
      <c r="OGM18" s="13"/>
      <c r="OGN18" s="13"/>
      <c r="OGO18" s="13"/>
      <c r="OGP18" s="13"/>
      <c r="OGQ18" s="13"/>
      <c r="OGR18" s="13"/>
      <c r="OGS18" s="13"/>
      <c r="OGT18" s="13"/>
      <c r="OGU18" s="13"/>
      <c r="OGV18" s="13"/>
      <c r="OGW18" s="13"/>
      <c r="OGX18" s="13"/>
      <c r="OGY18" s="13"/>
      <c r="OGZ18" s="13"/>
      <c r="OHA18" s="13"/>
      <c r="OHB18" s="13"/>
      <c r="OHC18" s="13"/>
      <c r="OHD18" s="13"/>
      <c r="OHE18" s="13"/>
      <c r="OHF18" s="13"/>
      <c r="OHG18" s="13"/>
      <c r="OHH18" s="13"/>
      <c r="OHI18" s="13"/>
      <c r="OHJ18" s="13"/>
      <c r="OHK18" s="13"/>
      <c r="OHL18" s="13"/>
      <c r="OHM18" s="13"/>
      <c r="OHN18" s="13"/>
      <c r="OHO18" s="13"/>
      <c r="OHP18" s="13"/>
      <c r="OHQ18" s="13"/>
      <c r="OHR18" s="13"/>
      <c r="OHS18" s="13"/>
      <c r="OHT18" s="13"/>
      <c r="OHU18" s="13"/>
      <c r="OHV18" s="13"/>
      <c r="OHW18" s="13"/>
      <c r="OHX18" s="13"/>
      <c r="OHY18" s="13"/>
      <c r="OHZ18" s="13"/>
      <c r="OIA18" s="13"/>
      <c r="OIB18" s="13"/>
      <c r="OIC18" s="13"/>
      <c r="OID18" s="13"/>
      <c r="OIE18" s="13"/>
      <c r="OIF18" s="13"/>
      <c r="OIG18" s="13"/>
      <c r="OIH18" s="13"/>
      <c r="OII18" s="13"/>
      <c r="OIJ18" s="13"/>
      <c r="OIK18" s="13"/>
      <c r="OIL18" s="13"/>
      <c r="OIM18" s="13"/>
      <c r="OIN18" s="13"/>
      <c r="OIO18" s="13"/>
      <c r="OIP18" s="13"/>
      <c r="OIQ18" s="13"/>
      <c r="OIR18" s="13"/>
      <c r="OIS18" s="13"/>
      <c r="OIT18" s="13"/>
      <c r="OIU18" s="13"/>
      <c r="OIV18" s="13"/>
      <c r="OIW18" s="13"/>
      <c r="OIX18" s="13"/>
      <c r="OIY18" s="13"/>
      <c r="OIZ18" s="13"/>
      <c r="OJA18" s="13"/>
      <c r="OJB18" s="13"/>
      <c r="OJC18" s="13"/>
      <c r="OJD18" s="13"/>
      <c r="OJE18" s="13"/>
      <c r="OJF18" s="13"/>
      <c r="OJG18" s="13"/>
      <c r="OJH18" s="13"/>
      <c r="OJI18" s="13"/>
      <c r="OJJ18" s="13"/>
      <c r="OJK18" s="13"/>
      <c r="OJL18" s="13"/>
      <c r="OJM18" s="13"/>
      <c r="OJN18" s="13"/>
      <c r="OJO18" s="13"/>
      <c r="OJP18" s="13"/>
      <c r="OJQ18" s="13"/>
      <c r="OJR18" s="13"/>
      <c r="OJS18" s="13"/>
      <c r="OJT18" s="13"/>
      <c r="OJU18" s="13"/>
      <c r="OJV18" s="13"/>
      <c r="OJW18" s="13"/>
      <c r="OJX18" s="13"/>
      <c r="OJY18" s="13"/>
      <c r="OJZ18" s="13"/>
      <c r="OKA18" s="13"/>
      <c r="OKB18" s="13"/>
      <c r="OKC18" s="13"/>
      <c r="OKD18" s="13"/>
      <c r="OKE18" s="13"/>
      <c r="OKF18" s="13"/>
      <c r="OKG18" s="13"/>
      <c r="OKH18" s="13"/>
      <c r="OKI18" s="13"/>
      <c r="OKJ18" s="13"/>
      <c r="OKK18" s="13"/>
      <c r="OKL18" s="13"/>
      <c r="OKM18" s="13"/>
      <c r="OKN18" s="13"/>
      <c r="OKO18" s="13"/>
      <c r="OKP18" s="13"/>
      <c r="OKQ18" s="13"/>
      <c r="OKR18" s="13"/>
      <c r="OKS18" s="13"/>
      <c r="OKT18" s="13"/>
      <c r="OKU18" s="13"/>
      <c r="OKV18" s="13"/>
      <c r="OKW18" s="13"/>
      <c r="OKX18" s="13"/>
      <c r="OKY18" s="13"/>
      <c r="OKZ18" s="13"/>
      <c r="OLA18" s="13"/>
      <c r="OLB18" s="13"/>
      <c r="OLC18" s="13"/>
      <c r="OLD18" s="13"/>
      <c r="OLE18" s="13"/>
      <c r="OLF18" s="13"/>
      <c r="OLG18" s="13"/>
      <c r="OLH18" s="13"/>
      <c r="OLI18" s="13"/>
      <c r="OLJ18" s="13"/>
      <c r="OLK18" s="13"/>
      <c r="OLL18" s="13"/>
      <c r="OLM18" s="13"/>
      <c r="OLN18" s="13"/>
      <c r="OLO18" s="13"/>
      <c r="OLP18" s="13"/>
      <c r="OLQ18" s="13"/>
      <c r="OLR18" s="13"/>
      <c r="OLS18" s="13"/>
      <c r="OLT18" s="13"/>
      <c r="OLU18" s="13"/>
      <c r="OLV18" s="13"/>
      <c r="OLW18" s="13"/>
      <c r="OLX18" s="13"/>
      <c r="OLY18" s="13"/>
      <c r="OLZ18" s="13"/>
      <c r="OMA18" s="13"/>
      <c r="OMB18" s="13"/>
      <c r="OMC18" s="13"/>
      <c r="OMD18" s="13"/>
      <c r="OME18" s="13"/>
      <c r="OMF18" s="13"/>
      <c r="OMG18" s="13"/>
      <c r="OMH18" s="13"/>
      <c r="OMI18" s="13"/>
      <c r="OMJ18" s="13"/>
      <c r="OMK18" s="13"/>
      <c r="OML18" s="13"/>
      <c r="OMM18" s="13"/>
      <c r="OMN18" s="13"/>
      <c r="OMO18" s="13"/>
      <c r="OMP18" s="13"/>
      <c r="OMQ18" s="13"/>
      <c r="OMR18" s="13"/>
      <c r="OMS18" s="13"/>
      <c r="OMT18" s="13"/>
      <c r="OMU18" s="13"/>
      <c r="OMV18" s="13"/>
      <c r="OMW18" s="13"/>
      <c r="OMX18" s="13"/>
      <c r="OMY18" s="13"/>
      <c r="OMZ18" s="13"/>
      <c r="ONA18" s="13"/>
      <c r="ONB18" s="13"/>
      <c r="ONC18" s="13"/>
      <c r="OND18" s="13"/>
      <c r="ONE18" s="13"/>
      <c r="ONF18" s="13"/>
      <c r="ONG18" s="13"/>
      <c r="ONH18" s="13"/>
      <c r="ONI18" s="13"/>
      <c r="ONJ18" s="13"/>
      <c r="ONK18" s="13"/>
      <c r="ONL18" s="13"/>
      <c r="ONM18" s="13"/>
      <c r="ONN18" s="13"/>
      <c r="ONO18" s="13"/>
      <c r="ONP18" s="13"/>
      <c r="ONQ18" s="13"/>
      <c r="ONR18" s="13"/>
      <c r="ONS18" s="13"/>
      <c r="ONT18" s="13"/>
      <c r="ONU18" s="13"/>
      <c r="ONV18" s="13"/>
      <c r="ONW18" s="13"/>
      <c r="ONX18" s="13"/>
      <c r="ONY18" s="13"/>
      <c r="ONZ18" s="13"/>
      <c r="OOA18" s="13"/>
      <c r="OOB18" s="13"/>
      <c r="OOC18" s="13"/>
      <c r="OOD18" s="13"/>
      <c r="OOE18" s="13"/>
      <c r="OOF18" s="13"/>
      <c r="OOG18" s="13"/>
      <c r="OOH18" s="13"/>
      <c r="OOI18" s="13"/>
      <c r="OOJ18" s="13"/>
      <c r="OOK18" s="13"/>
      <c r="OOL18" s="13"/>
      <c r="OOM18" s="13"/>
      <c r="OON18" s="13"/>
      <c r="OOO18" s="13"/>
      <c r="OOP18" s="13"/>
      <c r="OOQ18" s="13"/>
      <c r="OOR18" s="13"/>
      <c r="OOS18" s="13"/>
      <c r="OOT18" s="13"/>
      <c r="OOU18" s="13"/>
      <c r="OOV18" s="13"/>
      <c r="OOW18" s="13"/>
      <c r="OOX18" s="13"/>
      <c r="OOY18" s="13"/>
      <c r="OOZ18" s="13"/>
      <c r="OPA18" s="13"/>
      <c r="OPB18" s="13"/>
      <c r="OPC18" s="13"/>
      <c r="OPD18" s="13"/>
      <c r="OPE18" s="13"/>
      <c r="OPF18" s="13"/>
      <c r="OPG18" s="13"/>
      <c r="OPH18" s="13"/>
      <c r="OPI18" s="13"/>
      <c r="OPJ18" s="13"/>
      <c r="OPK18" s="13"/>
      <c r="OPL18" s="13"/>
      <c r="OPM18" s="13"/>
      <c r="OPN18" s="13"/>
      <c r="OPO18" s="13"/>
      <c r="OPP18" s="13"/>
      <c r="OPQ18" s="13"/>
      <c r="OPR18" s="13"/>
      <c r="OPS18" s="13"/>
      <c r="OPT18" s="13"/>
      <c r="OPU18" s="13"/>
      <c r="OPV18" s="13"/>
      <c r="OPW18" s="13"/>
      <c r="OPX18" s="13"/>
      <c r="OPY18" s="13"/>
      <c r="OPZ18" s="13"/>
      <c r="OQA18" s="13"/>
      <c r="OQB18" s="13"/>
      <c r="OQC18" s="13"/>
      <c r="OQD18" s="13"/>
      <c r="OQE18" s="13"/>
      <c r="OQF18" s="13"/>
      <c r="OQG18" s="13"/>
      <c r="OQH18" s="13"/>
      <c r="OQI18" s="13"/>
      <c r="OQJ18" s="13"/>
      <c r="OQK18" s="13"/>
      <c r="OQL18" s="13"/>
      <c r="OQM18" s="13"/>
      <c r="OQN18" s="13"/>
      <c r="OQO18" s="13"/>
      <c r="OQP18" s="13"/>
      <c r="OQQ18" s="13"/>
      <c r="OQR18" s="13"/>
      <c r="OQS18" s="13"/>
      <c r="OQT18" s="13"/>
      <c r="OQU18" s="13"/>
      <c r="OQV18" s="13"/>
      <c r="OQW18" s="13"/>
      <c r="OQX18" s="13"/>
      <c r="OQY18" s="13"/>
      <c r="OQZ18" s="13"/>
      <c r="ORA18" s="13"/>
      <c r="ORB18" s="13"/>
      <c r="ORC18" s="13"/>
      <c r="ORD18" s="13"/>
      <c r="ORE18" s="13"/>
      <c r="ORF18" s="13"/>
      <c r="ORG18" s="13"/>
      <c r="ORH18" s="13"/>
      <c r="ORI18" s="13"/>
      <c r="ORJ18" s="13"/>
      <c r="ORK18" s="13"/>
      <c r="ORL18" s="13"/>
      <c r="ORM18" s="13"/>
      <c r="ORN18" s="13"/>
      <c r="ORO18" s="13"/>
      <c r="ORP18" s="13"/>
      <c r="ORQ18" s="13"/>
      <c r="ORR18" s="13"/>
      <c r="ORS18" s="13"/>
      <c r="ORT18" s="13"/>
      <c r="ORU18" s="13"/>
      <c r="ORV18" s="13"/>
      <c r="ORW18" s="13"/>
      <c r="ORX18" s="13"/>
      <c r="ORY18" s="13"/>
      <c r="ORZ18" s="13"/>
      <c r="OSA18" s="13"/>
      <c r="OSB18" s="13"/>
      <c r="OSC18" s="13"/>
      <c r="OSD18" s="13"/>
      <c r="OSE18" s="13"/>
      <c r="OSF18" s="13"/>
      <c r="OSG18" s="13"/>
      <c r="OSH18" s="13"/>
      <c r="OSI18" s="13"/>
      <c r="OSJ18" s="13"/>
      <c r="OSK18" s="13"/>
      <c r="OSL18" s="13"/>
      <c r="OSM18" s="13"/>
      <c r="OSN18" s="13"/>
      <c r="OSO18" s="13"/>
      <c r="OSP18" s="13"/>
      <c r="OSQ18" s="13"/>
      <c r="OSR18" s="13"/>
      <c r="OSS18" s="13"/>
      <c r="OST18" s="13"/>
      <c r="OSU18" s="13"/>
      <c r="OSV18" s="13"/>
      <c r="OSW18" s="13"/>
      <c r="OSX18" s="13"/>
      <c r="OSY18" s="13"/>
      <c r="OSZ18" s="13"/>
      <c r="OTA18" s="13"/>
      <c r="OTB18" s="13"/>
      <c r="OTC18" s="13"/>
      <c r="OTD18" s="13"/>
      <c r="OTE18" s="13"/>
      <c r="OTF18" s="13"/>
      <c r="OTG18" s="13"/>
      <c r="OTH18" s="13"/>
      <c r="OTI18" s="13"/>
      <c r="OTJ18" s="13"/>
      <c r="OTK18" s="13"/>
      <c r="OTL18" s="13"/>
      <c r="OTM18" s="13"/>
      <c r="OTN18" s="13"/>
      <c r="OTO18" s="13"/>
      <c r="OTP18" s="13"/>
      <c r="OTQ18" s="13"/>
      <c r="OTR18" s="13"/>
      <c r="OTS18" s="13"/>
      <c r="OTT18" s="13"/>
      <c r="OTU18" s="13"/>
      <c r="OTV18" s="13"/>
      <c r="OTW18" s="13"/>
      <c r="OTX18" s="13"/>
      <c r="OTY18" s="13"/>
      <c r="OTZ18" s="13"/>
      <c r="OUA18" s="13"/>
      <c r="OUB18" s="13"/>
      <c r="OUC18" s="13"/>
      <c r="OUD18" s="13"/>
      <c r="OUE18" s="13"/>
      <c r="OUF18" s="13"/>
      <c r="OUG18" s="13"/>
      <c r="OUH18" s="13"/>
      <c r="OUI18" s="13"/>
      <c r="OUJ18" s="13"/>
      <c r="OUK18" s="13"/>
      <c r="OUL18" s="13"/>
      <c r="OUM18" s="13"/>
      <c r="OUN18" s="13"/>
      <c r="OUO18" s="13"/>
      <c r="OUP18" s="13"/>
      <c r="OUQ18" s="13"/>
      <c r="OUR18" s="13"/>
      <c r="OUS18" s="13"/>
      <c r="OUT18" s="13"/>
      <c r="OUU18" s="13"/>
      <c r="OUV18" s="13"/>
      <c r="OUW18" s="13"/>
      <c r="OUX18" s="13"/>
      <c r="OUY18" s="13"/>
      <c r="OUZ18" s="13"/>
      <c r="OVA18" s="13"/>
      <c r="OVB18" s="13"/>
      <c r="OVC18" s="13"/>
      <c r="OVD18" s="13"/>
      <c r="OVE18" s="13"/>
      <c r="OVF18" s="13"/>
      <c r="OVG18" s="13"/>
      <c r="OVH18" s="13"/>
      <c r="OVI18" s="13"/>
      <c r="OVJ18" s="13"/>
      <c r="OVK18" s="13"/>
      <c r="OVL18" s="13"/>
      <c r="OVM18" s="13"/>
      <c r="OVN18" s="13"/>
      <c r="OVO18" s="13"/>
      <c r="OVP18" s="13"/>
      <c r="OVQ18" s="13"/>
      <c r="OVR18" s="13"/>
      <c r="OVS18" s="13"/>
      <c r="OVT18" s="13"/>
      <c r="OVU18" s="13"/>
      <c r="OVV18" s="13"/>
      <c r="OVW18" s="13"/>
      <c r="OVX18" s="13"/>
      <c r="OVY18" s="13"/>
      <c r="OVZ18" s="13"/>
      <c r="OWA18" s="13"/>
      <c r="OWB18" s="13"/>
      <c r="OWC18" s="13"/>
      <c r="OWD18" s="13"/>
      <c r="OWE18" s="13"/>
      <c r="OWF18" s="13"/>
      <c r="OWG18" s="13"/>
      <c r="OWH18" s="13"/>
      <c r="OWI18" s="13"/>
      <c r="OWJ18" s="13"/>
      <c r="OWK18" s="13"/>
      <c r="OWL18" s="13"/>
      <c r="OWM18" s="13"/>
      <c r="OWN18" s="13"/>
      <c r="OWO18" s="13"/>
      <c r="OWP18" s="13"/>
      <c r="OWQ18" s="13"/>
      <c r="OWR18" s="13"/>
      <c r="OWS18" s="13"/>
      <c r="OWT18" s="13"/>
      <c r="OWU18" s="13"/>
      <c r="OWV18" s="13"/>
      <c r="OWW18" s="13"/>
      <c r="OWX18" s="13"/>
      <c r="OWY18" s="13"/>
      <c r="OWZ18" s="13"/>
      <c r="OXA18" s="13"/>
      <c r="OXB18" s="13"/>
      <c r="OXC18" s="13"/>
      <c r="OXD18" s="13"/>
      <c r="OXE18" s="13"/>
      <c r="OXF18" s="13"/>
      <c r="OXG18" s="13"/>
      <c r="OXH18" s="13"/>
      <c r="OXI18" s="13"/>
      <c r="OXJ18" s="13"/>
      <c r="OXK18" s="13"/>
      <c r="OXL18" s="13"/>
      <c r="OXM18" s="13"/>
      <c r="OXN18" s="13"/>
      <c r="OXO18" s="13"/>
      <c r="OXP18" s="13"/>
      <c r="OXQ18" s="13"/>
      <c r="OXR18" s="13"/>
      <c r="OXS18" s="13"/>
      <c r="OXT18" s="13"/>
      <c r="OXU18" s="13"/>
      <c r="OXV18" s="13"/>
      <c r="OXW18" s="13"/>
      <c r="OXX18" s="13"/>
      <c r="OXY18" s="13"/>
      <c r="OXZ18" s="13"/>
      <c r="OYA18" s="13"/>
      <c r="OYB18" s="13"/>
      <c r="OYC18" s="13"/>
      <c r="OYD18" s="13"/>
      <c r="OYE18" s="13"/>
      <c r="OYF18" s="13"/>
      <c r="OYG18" s="13"/>
      <c r="OYH18" s="13"/>
      <c r="OYI18" s="13"/>
      <c r="OYJ18" s="13"/>
      <c r="OYK18" s="13"/>
      <c r="OYL18" s="13"/>
      <c r="OYM18" s="13"/>
      <c r="OYN18" s="13"/>
      <c r="OYO18" s="13"/>
      <c r="OYP18" s="13"/>
      <c r="OYQ18" s="13"/>
      <c r="OYR18" s="13"/>
      <c r="OYS18" s="13"/>
      <c r="OYT18" s="13"/>
      <c r="OYU18" s="13"/>
      <c r="OYV18" s="13"/>
      <c r="OYW18" s="13"/>
      <c r="OYX18" s="13"/>
      <c r="OYY18" s="13"/>
      <c r="OYZ18" s="13"/>
      <c r="OZA18" s="13"/>
      <c r="OZB18" s="13"/>
      <c r="OZC18" s="13"/>
      <c r="OZD18" s="13"/>
      <c r="OZE18" s="13"/>
      <c r="OZF18" s="13"/>
      <c r="OZG18" s="13"/>
      <c r="OZH18" s="13"/>
      <c r="OZI18" s="13"/>
      <c r="OZJ18" s="13"/>
      <c r="OZK18" s="13"/>
      <c r="OZL18" s="13"/>
      <c r="OZM18" s="13"/>
      <c r="OZN18" s="13"/>
      <c r="OZO18" s="13"/>
      <c r="OZP18" s="13"/>
      <c r="OZQ18" s="13"/>
      <c r="OZR18" s="13"/>
      <c r="OZS18" s="13"/>
      <c r="OZT18" s="13"/>
      <c r="OZU18" s="13"/>
      <c r="OZV18" s="13"/>
      <c r="OZW18" s="13"/>
      <c r="OZX18" s="13"/>
      <c r="OZY18" s="13"/>
      <c r="OZZ18" s="13"/>
      <c r="PAA18" s="13"/>
      <c r="PAB18" s="13"/>
      <c r="PAC18" s="13"/>
      <c r="PAD18" s="13"/>
      <c r="PAE18" s="13"/>
      <c r="PAF18" s="13"/>
      <c r="PAG18" s="13"/>
      <c r="PAH18" s="13"/>
      <c r="PAI18" s="13"/>
      <c r="PAJ18" s="13"/>
      <c r="PAK18" s="13"/>
      <c r="PAL18" s="13"/>
      <c r="PAM18" s="13"/>
      <c r="PAN18" s="13"/>
      <c r="PAO18" s="13"/>
      <c r="PAP18" s="13"/>
      <c r="PAQ18" s="13"/>
      <c r="PAR18" s="13"/>
      <c r="PAS18" s="13"/>
      <c r="PAT18" s="13"/>
      <c r="PAU18" s="13"/>
      <c r="PAV18" s="13"/>
      <c r="PAW18" s="13"/>
      <c r="PAX18" s="13"/>
      <c r="PAY18" s="13"/>
      <c r="PAZ18" s="13"/>
      <c r="PBA18" s="13"/>
      <c r="PBB18" s="13"/>
      <c r="PBC18" s="13"/>
      <c r="PBD18" s="13"/>
      <c r="PBE18" s="13"/>
      <c r="PBF18" s="13"/>
      <c r="PBG18" s="13"/>
      <c r="PBH18" s="13"/>
      <c r="PBI18" s="13"/>
      <c r="PBJ18" s="13"/>
      <c r="PBK18" s="13"/>
      <c r="PBL18" s="13"/>
      <c r="PBM18" s="13"/>
      <c r="PBN18" s="13"/>
      <c r="PBO18" s="13"/>
      <c r="PBP18" s="13"/>
      <c r="PBQ18" s="13"/>
      <c r="PBR18" s="13"/>
      <c r="PBS18" s="13"/>
      <c r="PBT18" s="13"/>
      <c r="PBU18" s="13"/>
      <c r="PBV18" s="13"/>
      <c r="PBW18" s="13"/>
      <c r="PBX18" s="13"/>
      <c r="PBY18" s="13"/>
      <c r="PBZ18" s="13"/>
      <c r="PCA18" s="13"/>
      <c r="PCB18" s="13"/>
      <c r="PCC18" s="13"/>
      <c r="PCD18" s="13"/>
      <c r="PCE18" s="13"/>
      <c r="PCF18" s="13"/>
      <c r="PCG18" s="13"/>
      <c r="PCH18" s="13"/>
      <c r="PCI18" s="13"/>
      <c r="PCJ18" s="13"/>
      <c r="PCK18" s="13"/>
      <c r="PCL18" s="13"/>
      <c r="PCM18" s="13"/>
      <c r="PCN18" s="13"/>
      <c r="PCO18" s="13"/>
      <c r="PCP18" s="13"/>
      <c r="PCQ18" s="13"/>
      <c r="PCR18" s="13"/>
      <c r="PCS18" s="13"/>
      <c r="PCT18" s="13"/>
      <c r="PCU18" s="13"/>
      <c r="PCV18" s="13"/>
      <c r="PCW18" s="13"/>
      <c r="PCX18" s="13"/>
      <c r="PCY18" s="13"/>
      <c r="PCZ18" s="13"/>
      <c r="PDA18" s="13"/>
      <c r="PDB18" s="13"/>
      <c r="PDC18" s="13"/>
      <c r="PDD18" s="13"/>
      <c r="PDE18" s="13"/>
      <c r="PDF18" s="13"/>
      <c r="PDG18" s="13"/>
      <c r="PDH18" s="13"/>
      <c r="PDI18" s="13"/>
      <c r="PDJ18" s="13"/>
      <c r="PDK18" s="13"/>
      <c r="PDL18" s="13"/>
      <c r="PDM18" s="13"/>
      <c r="PDN18" s="13"/>
      <c r="PDO18" s="13"/>
      <c r="PDP18" s="13"/>
      <c r="PDQ18" s="13"/>
      <c r="PDR18" s="13"/>
      <c r="PDS18" s="13"/>
      <c r="PDT18" s="13"/>
      <c r="PDU18" s="13"/>
      <c r="PDV18" s="13"/>
      <c r="PDW18" s="13"/>
      <c r="PDX18" s="13"/>
      <c r="PDY18" s="13"/>
      <c r="PDZ18" s="13"/>
      <c r="PEA18" s="13"/>
      <c r="PEB18" s="13"/>
      <c r="PEC18" s="13"/>
      <c r="PED18" s="13"/>
      <c r="PEE18" s="13"/>
      <c r="PEF18" s="13"/>
      <c r="PEG18" s="13"/>
      <c r="PEH18" s="13"/>
      <c r="PEI18" s="13"/>
      <c r="PEJ18" s="13"/>
      <c r="PEK18" s="13"/>
      <c r="PEL18" s="13"/>
      <c r="PEM18" s="13"/>
      <c r="PEN18" s="13"/>
      <c r="PEO18" s="13"/>
      <c r="PEP18" s="13"/>
      <c r="PEQ18" s="13"/>
      <c r="PER18" s="13"/>
      <c r="PES18" s="13"/>
      <c r="PET18" s="13"/>
      <c r="PEU18" s="13"/>
      <c r="PEV18" s="13"/>
      <c r="PEW18" s="13"/>
      <c r="PEX18" s="13"/>
      <c r="PEY18" s="13"/>
      <c r="PEZ18" s="13"/>
      <c r="PFA18" s="13"/>
      <c r="PFB18" s="13"/>
      <c r="PFC18" s="13"/>
      <c r="PFD18" s="13"/>
      <c r="PFE18" s="13"/>
      <c r="PFF18" s="13"/>
      <c r="PFG18" s="13"/>
      <c r="PFH18" s="13"/>
      <c r="PFI18" s="13"/>
      <c r="PFJ18" s="13"/>
      <c r="PFK18" s="13"/>
      <c r="PFL18" s="13"/>
      <c r="PFM18" s="13"/>
      <c r="PFN18" s="13"/>
      <c r="PFO18" s="13"/>
      <c r="PFP18" s="13"/>
      <c r="PFQ18" s="13"/>
      <c r="PFR18" s="13"/>
      <c r="PFS18" s="13"/>
      <c r="PFT18" s="13"/>
      <c r="PFU18" s="13"/>
      <c r="PFV18" s="13"/>
      <c r="PFW18" s="13"/>
      <c r="PFX18" s="13"/>
      <c r="PFY18" s="13"/>
      <c r="PFZ18" s="13"/>
      <c r="PGA18" s="13"/>
      <c r="PGB18" s="13"/>
      <c r="PGC18" s="13"/>
      <c r="PGD18" s="13"/>
      <c r="PGE18" s="13"/>
      <c r="PGF18" s="13"/>
      <c r="PGG18" s="13"/>
      <c r="PGH18" s="13"/>
      <c r="PGI18" s="13"/>
      <c r="PGJ18" s="13"/>
      <c r="PGK18" s="13"/>
      <c r="PGL18" s="13"/>
      <c r="PGM18" s="13"/>
      <c r="PGN18" s="13"/>
      <c r="PGO18" s="13"/>
      <c r="PGP18" s="13"/>
      <c r="PGQ18" s="13"/>
      <c r="PGR18" s="13"/>
      <c r="PGS18" s="13"/>
      <c r="PGT18" s="13"/>
      <c r="PGU18" s="13"/>
      <c r="PGV18" s="13"/>
      <c r="PGW18" s="13"/>
      <c r="PGX18" s="13"/>
      <c r="PGY18" s="13"/>
      <c r="PGZ18" s="13"/>
      <c r="PHA18" s="13"/>
      <c r="PHB18" s="13"/>
      <c r="PHC18" s="13"/>
      <c r="PHD18" s="13"/>
      <c r="PHE18" s="13"/>
      <c r="PHF18" s="13"/>
      <c r="PHG18" s="13"/>
      <c r="PHH18" s="13"/>
      <c r="PHI18" s="13"/>
      <c r="PHJ18" s="13"/>
      <c r="PHK18" s="13"/>
      <c r="PHL18" s="13"/>
      <c r="PHM18" s="13"/>
      <c r="PHN18" s="13"/>
      <c r="PHO18" s="13"/>
      <c r="PHP18" s="13"/>
      <c r="PHQ18" s="13"/>
      <c r="PHR18" s="13"/>
      <c r="PHS18" s="13"/>
      <c r="PHT18" s="13"/>
      <c r="PHU18" s="13"/>
      <c r="PHV18" s="13"/>
      <c r="PHW18" s="13"/>
      <c r="PHX18" s="13"/>
      <c r="PHY18" s="13"/>
      <c r="PHZ18" s="13"/>
      <c r="PIA18" s="13"/>
      <c r="PIB18" s="13"/>
      <c r="PIC18" s="13"/>
      <c r="PID18" s="13"/>
      <c r="PIE18" s="13"/>
      <c r="PIF18" s="13"/>
      <c r="PIG18" s="13"/>
      <c r="PIH18" s="13"/>
      <c r="PII18" s="13"/>
      <c r="PIJ18" s="13"/>
      <c r="PIK18" s="13"/>
      <c r="PIL18" s="13"/>
      <c r="PIM18" s="13"/>
      <c r="PIN18" s="13"/>
      <c r="PIO18" s="13"/>
      <c r="PIP18" s="13"/>
      <c r="PIQ18" s="13"/>
      <c r="PIR18" s="13"/>
      <c r="PIS18" s="13"/>
      <c r="PIT18" s="13"/>
      <c r="PIU18" s="13"/>
      <c r="PIV18" s="13"/>
      <c r="PIW18" s="13"/>
      <c r="PIX18" s="13"/>
      <c r="PIY18" s="13"/>
      <c r="PIZ18" s="13"/>
      <c r="PJA18" s="13"/>
      <c r="PJB18" s="13"/>
      <c r="PJC18" s="13"/>
      <c r="PJD18" s="13"/>
      <c r="PJE18" s="13"/>
      <c r="PJF18" s="13"/>
      <c r="PJG18" s="13"/>
      <c r="PJH18" s="13"/>
      <c r="PJI18" s="13"/>
      <c r="PJJ18" s="13"/>
      <c r="PJK18" s="13"/>
      <c r="PJL18" s="13"/>
      <c r="PJM18" s="13"/>
      <c r="PJN18" s="13"/>
      <c r="PJO18" s="13"/>
      <c r="PJP18" s="13"/>
      <c r="PJQ18" s="13"/>
      <c r="PJR18" s="13"/>
      <c r="PJS18" s="13"/>
      <c r="PJT18" s="13"/>
      <c r="PJU18" s="13"/>
      <c r="PJV18" s="13"/>
      <c r="PJW18" s="13"/>
      <c r="PJX18" s="13"/>
      <c r="PJY18" s="13"/>
      <c r="PJZ18" s="13"/>
      <c r="PKA18" s="13"/>
      <c r="PKB18" s="13"/>
      <c r="PKC18" s="13"/>
      <c r="PKD18" s="13"/>
      <c r="PKE18" s="13"/>
      <c r="PKF18" s="13"/>
      <c r="PKG18" s="13"/>
      <c r="PKH18" s="13"/>
      <c r="PKI18" s="13"/>
      <c r="PKJ18" s="13"/>
      <c r="PKK18" s="13"/>
      <c r="PKL18" s="13"/>
      <c r="PKM18" s="13"/>
      <c r="PKN18" s="13"/>
      <c r="PKO18" s="13"/>
      <c r="PKP18" s="13"/>
      <c r="PKQ18" s="13"/>
      <c r="PKR18" s="13"/>
      <c r="PKS18" s="13"/>
      <c r="PKT18" s="13"/>
      <c r="PKU18" s="13"/>
      <c r="PKV18" s="13"/>
      <c r="PKW18" s="13"/>
      <c r="PKX18" s="13"/>
      <c r="PKY18" s="13"/>
      <c r="PKZ18" s="13"/>
      <c r="PLA18" s="13"/>
      <c r="PLB18" s="13"/>
      <c r="PLC18" s="13"/>
      <c r="PLD18" s="13"/>
      <c r="PLE18" s="13"/>
      <c r="PLF18" s="13"/>
      <c r="PLG18" s="13"/>
      <c r="PLH18" s="13"/>
      <c r="PLI18" s="13"/>
      <c r="PLJ18" s="13"/>
      <c r="PLK18" s="13"/>
      <c r="PLL18" s="13"/>
      <c r="PLM18" s="13"/>
      <c r="PLN18" s="13"/>
      <c r="PLO18" s="13"/>
      <c r="PLP18" s="13"/>
      <c r="PLQ18" s="13"/>
      <c r="PLR18" s="13"/>
      <c r="PLS18" s="13"/>
      <c r="PLT18" s="13"/>
      <c r="PLU18" s="13"/>
      <c r="PLV18" s="13"/>
      <c r="PLW18" s="13"/>
      <c r="PLX18" s="13"/>
      <c r="PLY18" s="13"/>
      <c r="PLZ18" s="13"/>
      <c r="PMA18" s="13"/>
      <c r="PMB18" s="13"/>
      <c r="PMC18" s="13"/>
      <c r="PMD18" s="13"/>
      <c r="PME18" s="13"/>
      <c r="PMF18" s="13"/>
      <c r="PMG18" s="13"/>
      <c r="PMH18" s="13"/>
      <c r="PMI18" s="13"/>
      <c r="PMJ18" s="13"/>
      <c r="PMK18" s="13"/>
      <c r="PML18" s="13"/>
      <c r="PMM18" s="13"/>
      <c r="PMN18" s="13"/>
      <c r="PMO18" s="13"/>
      <c r="PMP18" s="13"/>
      <c r="PMQ18" s="13"/>
      <c r="PMR18" s="13"/>
      <c r="PMS18" s="13"/>
      <c r="PMT18" s="13"/>
      <c r="PMU18" s="13"/>
      <c r="PMV18" s="13"/>
      <c r="PMW18" s="13"/>
      <c r="PMX18" s="13"/>
      <c r="PMY18" s="13"/>
      <c r="PMZ18" s="13"/>
      <c r="PNA18" s="13"/>
      <c r="PNB18" s="13"/>
      <c r="PNC18" s="13"/>
      <c r="PND18" s="13"/>
      <c r="PNE18" s="13"/>
      <c r="PNF18" s="13"/>
      <c r="PNG18" s="13"/>
      <c r="PNH18" s="13"/>
      <c r="PNI18" s="13"/>
      <c r="PNJ18" s="13"/>
      <c r="PNK18" s="13"/>
      <c r="PNL18" s="13"/>
      <c r="PNM18" s="13"/>
      <c r="PNN18" s="13"/>
      <c r="PNO18" s="13"/>
      <c r="PNP18" s="13"/>
      <c r="PNQ18" s="13"/>
      <c r="PNR18" s="13"/>
      <c r="PNS18" s="13"/>
      <c r="PNT18" s="13"/>
      <c r="PNU18" s="13"/>
      <c r="PNV18" s="13"/>
      <c r="PNW18" s="13"/>
      <c r="PNX18" s="13"/>
      <c r="PNY18" s="13"/>
      <c r="PNZ18" s="13"/>
      <c r="POA18" s="13"/>
      <c r="POB18" s="13"/>
      <c r="POC18" s="13"/>
      <c r="POD18" s="13"/>
      <c r="POE18" s="13"/>
      <c r="POF18" s="13"/>
      <c r="POG18" s="13"/>
      <c r="POH18" s="13"/>
      <c r="POI18" s="13"/>
      <c r="POJ18" s="13"/>
      <c r="POK18" s="13"/>
      <c r="POL18" s="13"/>
      <c r="POM18" s="13"/>
      <c r="PON18" s="13"/>
      <c r="POO18" s="13"/>
      <c r="POP18" s="13"/>
      <c r="POQ18" s="13"/>
      <c r="POR18" s="13"/>
      <c r="POS18" s="13"/>
      <c r="POT18" s="13"/>
      <c r="POU18" s="13"/>
      <c r="POV18" s="13"/>
      <c r="POW18" s="13"/>
      <c r="POX18" s="13"/>
      <c r="POY18" s="13"/>
      <c r="POZ18" s="13"/>
      <c r="PPA18" s="13"/>
      <c r="PPB18" s="13"/>
      <c r="PPC18" s="13"/>
      <c r="PPD18" s="13"/>
      <c r="PPE18" s="13"/>
      <c r="PPF18" s="13"/>
      <c r="PPG18" s="13"/>
      <c r="PPH18" s="13"/>
      <c r="PPI18" s="13"/>
      <c r="PPJ18" s="13"/>
      <c r="PPK18" s="13"/>
      <c r="PPL18" s="13"/>
      <c r="PPM18" s="13"/>
      <c r="PPN18" s="13"/>
      <c r="PPO18" s="13"/>
      <c r="PPP18" s="13"/>
      <c r="PPQ18" s="13"/>
      <c r="PPR18" s="13"/>
      <c r="PPS18" s="13"/>
      <c r="PPT18" s="13"/>
      <c r="PPU18" s="13"/>
      <c r="PPV18" s="13"/>
      <c r="PPW18" s="13"/>
      <c r="PPX18" s="13"/>
      <c r="PPY18" s="13"/>
      <c r="PPZ18" s="13"/>
      <c r="PQA18" s="13"/>
      <c r="PQB18" s="13"/>
      <c r="PQC18" s="13"/>
      <c r="PQD18" s="13"/>
      <c r="PQE18" s="13"/>
      <c r="PQF18" s="13"/>
      <c r="PQG18" s="13"/>
      <c r="PQH18" s="13"/>
      <c r="PQI18" s="13"/>
      <c r="PQJ18" s="13"/>
      <c r="PQK18" s="13"/>
      <c r="PQL18" s="13"/>
      <c r="PQM18" s="13"/>
      <c r="PQN18" s="13"/>
      <c r="PQO18" s="13"/>
      <c r="PQP18" s="13"/>
      <c r="PQQ18" s="13"/>
      <c r="PQR18" s="13"/>
      <c r="PQS18" s="13"/>
      <c r="PQT18" s="13"/>
      <c r="PQU18" s="13"/>
      <c r="PQV18" s="13"/>
      <c r="PQW18" s="13"/>
      <c r="PQX18" s="13"/>
      <c r="PQY18" s="13"/>
      <c r="PQZ18" s="13"/>
      <c r="PRA18" s="13"/>
      <c r="PRB18" s="13"/>
      <c r="PRC18" s="13"/>
      <c r="PRD18" s="13"/>
      <c r="PRE18" s="13"/>
      <c r="PRF18" s="13"/>
      <c r="PRG18" s="13"/>
      <c r="PRH18" s="13"/>
      <c r="PRI18" s="13"/>
      <c r="PRJ18" s="13"/>
      <c r="PRK18" s="13"/>
      <c r="PRL18" s="13"/>
      <c r="PRM18" s="13"/>
      <c r="PRN18" s="13"/>
      <c r="PRO18" s="13"/>
      <c r="PRP18" s="13"/>
      <c r="PRQ18" s="13"/>
      <c r="PRR18" s="13"/>
      <c r="PRS18" s="13"/>
      <c r="PRT18" s="13"/>
      <c r="PRU18" s="13"/>
      <c r="PRV18" s="13"/>
      <c r="PRW18" s="13"/>
      <c r="PRX18" s="13"/>
      <c r="PRY18" s="13"/>
      <c r="PRZ18" s="13"/>
      <c r="PSA18" s="13"/>
      <c r="PSB18" s="13"/>
      <c r="PSC18" s="13"/>
      <c r="PSD18" s="13"/>
      <c r="PSE18" s="13"/>
      <c r="PSF18" s="13"/>
      <c r="PSG18" s="13"/>
      <c r="PSH18" s="13"/>
      <c r="PSI18" s="13"/>
      <c r="PSJ18" s="13"/>
      <c r="PSK18" s="13"/>
      <c r="PSL18" s="13"/>
      <c r="PSM18" s="13"/>
      <c r="PSN18" s="13"/>
      <c r="PSO18" s="13"/>
      <c r="PSP18" s="13"/>
      <c r="PSQ18" s="13"/>
      <c r="PSR18" s="13"/>
      <c r="PSS18" s="13"/>
      <c r="PST18" s="13"/>
      <c r="PSU18" s="13"/>
      <c r="PSV18" s="13"/>
      <c r="PSW18" s="13"/>
      <c r="PSX18" s="13"/>
      <c r="PSY18" s="13"/>
      <c r="PSZ18" s="13"/>
      <c r="PTA18" s="13"/>
      <c r="PTB18" s="13"/>
      <c r="PTC18" s="13"/>
      <c r="PTD18" s="13"/>
      <c r="PTE18" s="13"/>
      <c r="PTF18" s="13"/>
      <c r="PTG18" s="13"/>
      <c r="PTH18" s="13"/>
      <c r="PTI18" s="13"/>
      <c r="PTJ18" s="13"/>
      <c r="PTK18" s="13"/>
      <c r="PTL18" s="13"/>
      <c r="PTM18" s="13"/>
      <c r="PTN18" s="13"/>
      <c r="PTO18" s="13"/>
      <c r="PTP18" s="13"/>
      <c r="PTQ18" s="13"/>
      <c r="PTR18" s="13"/>
      <c r="PTS18" s="13"/>
      <c r="PTT18" s="13"/>
      <c r="PTU18" s="13"/>
      <c r="PTV18" s="13"/>
      <c r="PTW18" s="13"/>
      <c r="PTX18" s="13"/>
      <c r="PTY18" s="13"/>
      <c r="PTZ18" s="13"/>
      <c r="PUA18" s="13"/>
      <c r="PUB18" s="13"/>
      <c r="PUC18" s="13"/>
      <c r="PUD18" s="13"/>
      <c r="PUE18" s="13"/>
      <c r="PUF18" s="13"/>
      <c r="PUG18" s="13"/>
      <c r="PUH18" s="13"/>
      <c r="PUI18" s="13"/>
      <c r="PUJ18" s="13"/>
      <c r="PUK18" s="13"/>
      <c r="PUL18" s="13"/>
      <c r="PUM18" s="13"/>
      <c r="PUN18" s="13"/>
      <c r="PUO18" s="13"/>
      <c r="PUP18" s="13"/>
      <c r="PUQ18" s="13"/>
      <c r="PUR18" s="13"/>
      <c r="PUS18" s="13"/>
      <c r="PUT18" s="13"/>
      <c r="PUU18" s="13"/>
      <c r="PUV18" s="13"/>
      <c r="PUW18" s="13"/>
      <c r="PUX18" s="13"/>
      <c r="PUY18" s="13"/>
      <c r="PUZ18" s="13"/>
      <c r="PVA18" s="13"/>
      <c r="PVB18" s="13"/>
      <c r="PVC18" s="13"/>
      <c r="PVD18" s="13"/>
      <c r="PVE18" s="13"/>
      <c r="PVF18" s="13"/>
      <c r="PVG18" s="13"/>
      <c r="PVH18" s="13"/>
      <c r="PVI18" s="13"/>
      <c r="PVJ18" s="13"/>
      <c r="PVK18" s="13"/>
      <c r="PVL18" s="13"/>
      <c r="PVM18" s="13"/>
      <c r="PVN18" s="13"/>
      <c r="PVO18" s="13"/>
      <c r="PVP18" s="13"/>
      <c r="PVQ18" s="13"/>
      <c r="PVR18" s="13"/>
      <c r="PVS18" s="13"/>
      <c r="PVT18" s="13"/>
      <c r="PVU18" s="13"/>
      <c r="PVV18" s="13"/>
      <c r="PVW18" s="13"/>
      <c r="PVX18" s="13"/>
      <c r="PVY18" s="13"/>
      <c r="PVZ18" s="13"/>
      <c r="PWA18" s="13"/>
      <c r="PWB18" s="13"/>
      <c r="PWC18" s="13"/>
      <c r="PWD18" s="13"/>
      <c r="PWE18" s="13"/>
      <c r="PWF18" s="13"/>
      <c r="PWG18" s="13"/>
      <c r="PWH18" s="13"/>
      <c r="PWI18" s="13"/>
      <c r="PWJ18" s="13"/>
      <c r="PWK18" s="13"/>
      <c r="PWL18" s="13"/>
      <c r="PWM18" s="13"/>
      <c r="PWN18" s="13"/>
      <c r="PWO18" s="13"/>
      <c r="PWP18" s="13"/>
      <c r="PWQ18" s="13"/>
      <c r="PWR18" s="13"/>
      <c r="PWS18" s="13"/>
      <c r="PWT18" s="13"/>
      <c r="PWU18" s="13"/>
      <c r="PWV18" s="13"/>
      <c r="PWW18" s="13"/>
      <c r="PWX18" s="13"/>
      <c r="PWY18" s="13"/>
      <c r="PWZ18" s="13"/>
      <c r="PXA18" s="13"/>
      <c r="PXB18" s="13"/>
      <c r="PXC18" s="13"/>
      <c r="PXD18" s="13"/>
      <c r="PXE18" s="13"/>
      <c r="PXF18" s="13"/>
      <c r="PXG18" s="13"/>
      <c r="PXH18" s="13"/>
      <c r="PXI18" s="13"/>
      <c r="PXJ18" s="13"/>
      <c r="PXK18" s="13"/>
      <c r="PXL18" s="13"/>
      <c r="PXM18" s="13"/>
      <c r="PXN18" s="13"/>
      <c r="PXO18" s="13"/>
      <c r="PXP18" s="13"/>
      <c r="PXQ18" s="13"/>
      <c r="PXR18" s="13"/>
      <c r="PXS18" s="13"/>
      <c r="PXT18" s="13"/>
      <c r="PXU18" s="13"/>
      <c r="PXV18" s="13"/>
      <c r="PXW18" s="13"/>
      <c r="PXX18" s="13"/>
      <c r="PXY18" s="13"/>
      <c r="PXZ18" s="13"/>
      <c r="PYA18" s="13"/>
      <c r="PYB18" s="13"/>
      <c r="PYC18" s="13"/>
      <c r="PYD18" s="13"/>
      <c r="PYE18" s="13"/>
      <c r="PYF18" s="13"/>
      <c r="PYG18" s="13"/>
      <c r="PYH18" s="13"/>
      <c r="PYI18" s="13"/>
      <c r="PYJ18" s="13"/>
      <c r="PYK18" s="13"/>
      <c r="PYL18" s="13"/>
      <c r="PYM18" s="13"/>
      <c r="PYN18" s="13"/>
      <c r="PYO18" s="13"/>
      <c r="PYP18" s="13"/>
      <c r="PYQ18" s="13"/>
      <c r="PYR18" s="13"/>
      <c r="PYS18" s="13"/>
      <c r="PYT18" s="13"/>
      <c r="PYU18" s="13"/>
      <c r="PYV18" s="13"/>
      <c r="PYW18" s="13"/>
      <c r="PYX18" s="13"/>
      <c r="PYY18" s="13"/>
      <c r="PYZ18" s="13"/>
      <c r="PZA18" s="13"/>
      <c r="PZB18" s="13"/>
      <c r="PZC18" s="13"/>
      <c r="PZD18" s="13"/>
      <c r="PZE18" s="13"/>
      <c r="PZF18" s="13"/>
      <c r="PZG18" s="13"/>
      <c r="PZH18" s="13"/>
      <c r="PZI18" s="13"/>
      <c r="PZJ18" s="13"/>
      <c r="PZK18" s="13"/>
      <c r="PZL18" s="13"/>
      <c r="PZM18" s="13"/>
      <c r="PZN18" s="13"/>
      <c r="PZO18" s="13"/>
      <c r="PZP18" s="13"/>
      <c r="PZQ18" s="13"/>
      <c r="PZR18" s="13"/>
      <c r="PZS18" s="13"/>
      <c r="PZT18" s="13"/>
      <c r="PZU18" s="13"/>
      <c r="PZV18" s="13"/>
      <c r="PZW18" s="13"/>
      <c r="PZX18" s="13"/>
      <c r="PZY18" s="13"/>
      <c r="PZZ18" s="13"/>
      <c r="QAA18" s="13"/>
      <c r="QAB18" s="13"/>
      <c r="QAC18" s="13"/>
      <c r="QAD18" s="13"/>
      <c r="QAE18" s="13"/>
      <c r="QAF18" s="13"/>
      <c r="QAG18" s="13"/>
      <c r="QAH18" s="13"/>
      <c r="QAI18" s="13"/>
      <c r="QAJ18" s="13"/>
      <c r="QAK18" s="13"/>
      <c r="QAL18" s="13"/>
      <c r="QAM18" s="13"/>
      <c r="QAN18" s="13"/>
      <c r="QAO18" s="13"/>
      <c r="QAP18" s="13"/>
      <c r="QAQ18" s="13"/>
      <c r="QAR18" s="13"/>
      <c r="QAS18" s="13"/>
      <c r="QAT18" s="13"/>
      <c r="QAU18" s="13"/>
      <c r="QAV18" s="13"/>
      <c r="QAW18" s="13"/>
      <c r="QAX18" s="13"/>
      <c r="QAY18" s="13"/>
      <c r="QAZ18" s="13"/>
      <c r="QBA18" s="13"/>
      <c r="QBB18" s="13"/>
      <c r="QBC18" s="13"/>
      <c r="QBD18" s="13"/>
      <c r="QBE18" s="13"/>
      <c r="QBF18" s="13"/>
      <c r="QBG18" s="13"/>
      <c r="QBH18" s="13"/>
      <c r="QBI18" s="13"/>
      <c r="QBJ18" s="13"/>
      <c r="QBK18" s="13"/>
      <c r="QBL18" s="13"/>
      <c r="QBM18" s="13"/>
      <c r="QBN18" s="13"/>
      <c r="QBO18" s="13"/>
      <c r="QBP18" s="13"/>
      <c r="QBQ18" s="13"/>
      <c r="QBR18" s="13"/>
      <c r="QBS18" s="13"/>
      <c r="QBT18" s="13"/>
      <c r="QBU18" s="13"/>
      <c r="QBV18" s="13"/>
      <c r="QBW18" s="13"/>
      <c r="QBX18" s="13"/>
      <c r="QBY18" s="13"/>
      <c r="QBZ18" s="13"/>
      <c r="QCA18" s="13"/>
      <c r="QCB18" s="13"/>
      <c r="QCC18" s="13"/>
      <c r="QCD18" s="13"/>
      <c r="QCE18" s="13"/>
      <c r="QCF18" s="13"/>
      <c r="QCG18" s="13"/>
      <c r="QCH18" s="13"/>
      <c r="QCI18" s="13"/>
      <c r="QCJ18" s="13"/>
      <c r="QCK18" s="13"/>
      <c r="QCL18" s="13"/>
      <c r="QCM18" s="13"/>
      <c r="QCN18" s="13"/>
      <c r="QCO18" s="13"/>
      <c r="QCP18" s="13"/>
      <c r="QCQ18" s="13"/>
      <c r="QCR18" s="13"/>
      <c r="QCS18" s="13"/>
      <c r="QCT18" s="13"/>
      <c r="QCU18" s="13"/>
      <c r="QCV18" s="13"/>
      <c r="QCW18" s="13"/>
      <c r="QCX18" s="13"/>
      <c r="QCY18" s="13"/>
      <c r="QCZ18" s="13"/>
      <c r="QDA18" s="13"/>
      <c r="QDB18" s="13"/>
      <c r="QDC18" s="13"/>
      <c r="QDD18" s="13"/>
      <c r="QDE18" s="13"/>
      <c r="QDF18" s="13"/>
      <c r="QDG18" s="13"/>
      <c r="QDH18" s="13"/>
      <c r="QDI18" s="13"/>
      <c r="QDJ18" s="13"/>
      <c r="QDK18" s="13"/>
      <c r="QDL18" s="13"/>
      <c r="QDM18" s="13"/>
      <c r="QDN18" s="13"/>
      <c r="QDO18" s="13"/>
      <c r="QDP18" s="13"/>
      <c r="QDQ18" s="13"/>
      <c r="QDR18" s="13"/>
      <c r="QDS18" s="13"/>
      <c r="QDT18" s="13"/>
      <c r="QDU18" s="13"/>
      <c r="QDV18" s="13"/>
      <c r="QDW18" s="13"/>
      <c r="QDX18" s="13"/>
      <c r="QDY18" s="13"/>
      <c r="QDZ18" s="13"/>
      <c r="QEA18" s="13"/>
      <c r="QEB18" s="13"/>
      <c r="QEC18" s="13"/>
      <c r="QED18" s="13"/>
      <c r="QEE18" s="13"/>
      <c r="QEF18" s="13"/>
      <c r="QEG18" s="13"/>
      <c r="QEH18" s="13"/>
      <c r="QEI18" s="13"/>
      <c r="QEJ18" s="13"/>
      <c r="QEK18" s="13"/>
      <c r="QEL18" s="13"/>
      <c r="QEM18" s="13"/>
      <c r="QEN18" s="13"/>
      <c r="QEO18" s="13"/>
      <c r="QEP18" s="13"/>
      <c r="QEQ18" s="13"/>
      <c r="QER18" s="13"/>
      <c r="QES18" s="13"/>
      <c r="QET18" s="13"/>
      <c r="QEU18" s="13"/>
      <c r="QEV18" s="13"/>
      <c r="QEW18" s="13"/>
      <c r="QEX18" s="13"/>
      <c r="QEY18" s="13"/>
      <c r="QEZ18" s="13"/>
      <c r="QFA18" s="13"/>
      <c r="QFB18" s="13"/>
      <c r="QFC18" s="13"/>
      <c r="QFD18" s="13"/>
      <c r="QFE18" s="13"/>
      <c r="QFF18" s="13"/>
      <c r="QFG18" s="13"/>
      <c r="QFH18" s="13"/>
      <c r="QFI18" s="13"/>
      <c r="QFJ18" s="13"/>
      <c r="QFK18" s="13"/>
      <c r="QFL18" s="13"/>
      <c r="QFM18" s="13"/>
      <c r="QFN18" s="13"/>
      <c r="QFO18" s="13"/>
      <c r="QFP18" s="13"/>
      <c r="QFQ18" s="13"/>
      <c r="QFR18" s="13"/>
      <c r="QFS18" s="13"/>
      <c r="QFT18" s="13"/>
      <c r="QFU18" s="13"/>
      <c r="QFV18" s="13"/>
      <c r="QFW18" s="13"/>
      <c r="QFX18" s="13"/>
      <c r="QFY18" s="13"/>
      <c r="QFZ18" s="13"/>
      <c r="QGA18" s="13"/>
      <c r="QGB18" s="13"/>
      <c r="QGC18" s="13"/>
      <c r="QGD18" s="13"/>
      <c r="QGE18" s="13"/>
      <c r="QGF18" s="13"/>
      <c r="QGG18" s="13"/>
      <c r="QGH18" s="13"/>
      <c r="QGI18" s="13"/>
      <c r="QGJ18" s="13"/>
      <c r="QGK18" s="13"/>
      <c r="QGL18" s="13"/>
      <c r="QGM18" s="13"/>
      <c r="QGN18" s="13"/>
      <c r="QGO18" s="13"/>
      <c r="QGP18" s="13"/>
      <c r="QGQ18" s="13"/>
      <c r="QGR18" s="13"/>
      <c r="QGS18" s="13"/>
      <c r="QGT18" s="13"/>
      <c r="QGU18" s="13"/>
      <c r="QGV18" s="13"/>
      <c r="QGW18" s="13"/>
      <c r="QGX18" s="13"/>
      <c r="QGY18" s="13"/>
      <c r="QGZ18" s="13"/>
      <c r="QHA18" s="13"/>
      <c r="QHB18" s="13"/>
      <c r="QHC18" s="13"/>
      <c r="QHD18" s="13"/>
      <c r="QHE18" s="13"/>
      <c r="QHF18" s="13"/>
      <c r="QHG18" s="13"/>
      <c r="QHH18" s="13"/>
      <c r="QHI18" s="13"/>
      <c r="QHJ18" s="13"/>
      <c r="QHK18" s="13"/>
      <c r="QHL18" s="13"/>
      <c r="QHM18" s="13"/>
      <c r="QHN18" s="13"/>
      <c r="QHO18" s="13"/>
      <c r="QHP18" s="13"/>
      <c r="QHQ18" s="13"/>
      <c r="QHR18" s="13"/>
      <c r="QHS18" s="13"/>
      <c r="QHT18" s="13"/>
      <c r="QHU18" s="13"/>
      <c r="QHV18" s="13"/>
      <c r="QHW18" s="13"/>
      <c r="QHX18" s="13"/>
      <c r="QHY18" s="13"/>
      <c r="QHZ18" s="13"/>
      <c r="QIA18" s="13"/>
      <c r="QIB18" s="13"/>
      <c r="QIC18" s="13"/>
      <c r="QID18" s="13"/>
      <c r="QIE18" s="13"/>
      <c r="QIF18" s="13"/>
      <c r="QIG18" s="13"/>
      <c r="QIH18" s="13"/>
      <c r="QII18" s="13"/>
      <c r="QIJ18" s="13"/>
      <c r="QIK18" s="13"/>
      <c r="QIL18" s="13"/>
      <c r="QIM18" s="13"/>
      <c r="QIN18" s="13"/>
      <c r="QIO18" s="13"/>
      <c r="QIP18" s="13"/>
      <c r="QIQ18" s="13"/>
      <c r="QIR18" s="13"/>
      <c r="QIS18" s="13"/>
      <c r="QIT18" s="13"/>
      <c r="QIU18" s="13"/>
      <c r="QIV18" s="13"/>
      <c r="QIW18" s="13"/>
      <c r="QIX18" s="13"/>
      <c r="QIY18" s="13"/>
      <c r="QIZ18" s="13"/>
      <c r="QJA18" s="13"/>
      <c r="QJB18" s="13"/>
      <c r="QJC18" s="13"/>
      <c r="QJD18" s="13"/>
      <c r="QJE18" s="13"/>
      <c r="QJF18" s="13"/>
      <c r="QJG18" s="13"/>
      <c r="QJH18" s="13"/>
      <c r="QJI18" s="13"/>
      <c r="QJJ18" s="13"/>
      <c r="QJK18" s="13"/>
      <c r="QJL18" s="13"/>
      <c r="QJM18" s="13"/>
      <c r="QJN18" s="13"/>
      <c r="QJO18" s="13"/>
      <c r="QJP18" s="13"/>
      <c r="QJQ18" s="13"/>
      <c r="QJR18" s="13"/>
      <c r="QJS18" s="13"/>
      <c r="QJT18" s="13"/>
      <c r="QJU18" s="13"/>
      <c r="QJV18" s="13"/>
      <c r="QJW18" s="13"/>
      <c r="QJX18" s="13"/>
      <c r="QJY18" s="13"/>
      <c r="QJZ18" s="13"/>
      <c r="QKA18" s="13"/>
      <c r="QKB18" s="13"/>
      <c r="QKC18" s="13"/>
      <c r="QKD18" s="13"/>
      <c r="QKE18" s="13"/>
      <c r="QKF18" s="13"/>
      <c r="QKG18" s="13"/>
      <c r="QKH18" s="13"/>
      <c r="QKI18" s="13"/>
      <c r="QKJ18" s="13"/>
      <c r="QKK18" s="13"/>
      <c r="QKL18" s="13"/>
      <c r="QKM18" s="13"/>
      <c r="QKN18" s="13"/>
      <c r="QKO18" s="13"/>
      <c r="QKP18" s="13"/>
      <c r="QKQ18" s="13"/>
      <c r="QKR18" s="13"/>
      <c r="QKS18" s="13"/>
      <c r="QKT18" s="13"/>
      <c r="QKU18" s="13"/>
      <c r="QKV18" s="13"/>
      <c r="QKW18" s="13"/>
      <c r="QKX18" s="13"/>
      <c r="QKY18" s="13"/>
      <c r="QKZ18" s="13"/>
      <c r="QLA18" s="13"/>
      <c r="QLB18" s="13"/>
      <c r="QLC18" s="13"/>
      <c r="QLD18" s="13"/>
      <c r="QLE18" s="13"/>
      <c r="QLF18" s="13"/>
      <c r="QLG18" s="13"/>
      <c r="QLH18" s="13"/>
      <c r="QLI18" s="13"/>
      <c r="QLJ18" s="13"/>
      <c r="QLK18" s="13"/>
      <c r="QLL18" s="13"/>
      <c r="QLM18" s="13"/>
      <c r="QLN18" s="13"/>
      <c r="QLO18" s="13"/>
      <c r="QLP18" s="13"/>
      <c r="QLQ18" s="13"/>
      <c r="QLR18" s="13"/>
      <c r="QLS18" s="13"/>
      <c r="QLT18" s="13"/>
      <c r="QLU18" s="13"/>
      <c r="QLV18" s="13"/>
      <c r="QLW18" s="13"/>
      <c r="QLX18" s="13"/>
      <c r="QLY18" s="13"/>
      <c r="QLZ18" s="13"/>
      <c r="QMA18" s="13"/>
      <c r="QMB18" s="13"/>
      <c r="QMC18" s="13"/>
      <c r="QMD18" s="13"/>
      <c r="QME18" s="13"/>
      <c r="QMF18" s="13"/>
      <c r="QMG18" s="13"/>
      <c r="QMH18" s="13"/>
      <c r="QMI18" s="13"/>
      <c r="QMJ18" s="13"/>
      <c r="QMK18" s="13"/>
      <c r="QML18" s="13"/>
      <c r="QMM18" s="13"/>
      <c r="QMN18" s="13"/>
      <c r="QMO18" s="13"/>
      <c r="QMP18" s="13"/>
      <c r="QMQ18" s="13"/>
      <c r="QMR18" s="13"/>
      <c r="QMS18" s="13"/>
      <c r="QMT18" s="13"/>
      <c r="QMU18" s="13"/>
      <c r="QMV18" s="13"/>
      <c r="QMW18" s="13"/>
      <c r="QMX18" s="13"/>
      <c r="QMY18" s="13"/>
      <c r="QMZ18" s="13"/>
      <c r="QNA18" s="13"/>
      <c r="QNB18" s="13"/>
      <c r="QNC18" s="13"/>
      <c r="QND18" s="13"/>
      <c r="QNE18" s="13"/>
      <c r="QNF18" s="13"/>
      <c r="QNG18" s="13"/>
      <c r="QNH18" s="13"/>
      <c r="QNI18" s="13"/>
      <c r="QNJ18" s="13"/>
      <c r="QNK18" s="13"/>
      <c r="QNL18" s="13"/>
      <c r="QNM18" s="13"/>
      <c r="QNN18" s="13"/>
      <c r="QNO18" s="13"/>
      <c r="QNP18" s="13"/>
      <c r="QNQ18" s="13"/>
      <c r="QNR18" s="13"/>
      <c r="QNS18" s="13"/>
      <c r="QNT18" s="13"/>
      <c r="QNU18" s="13"/>
      <c r="QNV18" s="13"/>
      <c r="QNW18" s="13"/>
      <c r="QNX18" s="13"/>
      <c r="QNY18" s="13"/>
      <c r="QNZ18" s="13"/>
      <c r="QOA18" s="13"/>
      <c r="QOB18" s="13"/>
      <c r="QOC18" s="13"/>
      <c r="QOD18" s="13"/>
      <c r="QOE18" s="13"/>
      <c r="QOF18" s="13"/>
      <c r="QOG18" s="13"/>
      <c r="QOH18" s="13"/>
      <c r="QOI18" s="13"/>
      <c r="QOJ18" s="13"/>
      <c r="QOK18" s="13"/>
      <c r="QOL18" s="13"/>
      <c r="QOM18" s="13"/>
      <c r="QON18" s="13"/>
      <c r="QOO18" s="13"/>
      <c r="QOP18" s="13"/>
      <c r="QOQ18" s="13"/>
      <c r="QOR18" s="13"/>
      <c r="QOS18" s="13"/>
      <c r="QOT18" s="13"/>
      <c r="QOU18" s="13"/>
      <c r="QOV18" s="13"/>
      <c r="QOW18" s="13"/>
      <c r="QOX18" s="13"/>
      <c r="QOY18" s="13"/>
      <c r="QOZ18" s="13"/>
      <c r="QPA18" s="13"/>
      <c r="QPB18" s="13"/>
      <c r="QPC18" s="13"/>
      <c r="QPD18" s="13"/>
      <c r="QPE18" s="13"/>
      <c r="QPF18" s="13"/>
      <c r="QPG18" s="13"/>
      <c r="QPH18" s="13"/>
      <c r="QPI18" s="13"/>
      <c r="QPJ18" s="13"/>
      <c r="QPK18" s="13"/>
      <c r="QPL18" s="13"/>
      <c r="QPM18" s="13"/>
      <c r="QPN18" s="13"/>
      <c r="QPO18" s="13"/>
      <c r="QPP18" s="13"/>
      <c r="QPQ18" s="13"/>
      <c r="QPR18" s="13"/>
      <c r="QPS18" s="13"/>
      <c r="QPT18" s="13"/>
      <c r="QPU18" s="13"/>
      <c r="QPV18" s="13"/>
      <c r="QPW18" s="13"/>
      <c r="QPX18" s="13"/>
      <c r="QPY18" s="13"/>
      <c r="QPZ18" s="13"/>
      <c r="QQA18" s="13"/>
      <c r="QQB18" s="13"/>
      <c r="QQC18" s="13"/>
      <c r="QQD18" s="13"/>
      <c r="QQE18" s="13"/>
      <c r="QQF18" s="13"/>
      <c r="QQG18" s="13"/>
      <c r="QQH18" s="13"/>
      <c r="QQI18" s="13"/>
      <c r="QQJ18" s="13"/>
      <c r="QQK18" s="13"/>
      <c r="QQL18" s="13"/>
      <c r="QQM18" s="13"/>
      <c r="QQN18" s="13"/>
      <c r="QQO18" s="13"/>
      <c r="QQP18" s="13"/>
      <c r="QQQ18" s="13"/>
      <c r="QQR18" s="13"/>
      <c r="QQS18" s="13"/>
      <c r="QQT18" s="13"/>
      <c r="QQU18" s="13"/>
      <c r="QQV18" s="13"/>
      <c r="QQW18" s="13"/>
      <c r="QQX18" s="13"/>
      <c r="QQY18" s="13"/>
      <c r="QQZ18" s="13"/>
      <c r="QRA18" s="13"/>
      <c r="QRB18" s="13"/>
      <c r="QRC18" s="13"/>
      <c r="QRD18" s="13"/>
      <c r="QRE18" s="13"/>
      <c r="QRF18" s="13"/>
      <c r="QRG18" s="13"/>
      <c r="QRH18" s="13"/>
      <c r="QRI18" s="13"/>
      <c r="QRJ18" s="13"/>
      <c r="QRK18" s="13"/>
      <c r="QRL18" s="13"/>
      <c r="QRM18" s="13"/>
      <c r="QRN18" s="13"/>
      <c r="QRO18" s="13"/>
      <c r="QRP18" s="13"/>
      <c r="QRQ18" s="13"/>
      <c r="QRR18" s="13"/>
      <c r="QRS18" s="13"/>
      <c r="QRT18" s="13"/>
      <c r="QRU18" s="13"/>
      <c r="QRV18" s="13"/>
      <c r="QRW18" s="13"/>
      <c r="QRX18" s="13"/>
      <c r="QRY18" s="13"/>
      <c r="QRZ18" s="13"/>
      <c r="QSA18" s="13"/>
      <c r="QSB18" s="13"/>
      <c r="QSC18" s="13"/>
      <c r="QSD18" s="13"/>
      <c r="QSE18" s="13"/>
      <c r="QSF18" s="13"/>
      <c r="QSG18" s="13"/>
      <c r="QSH18" s="13"/>
      <c r="QSI18" s="13"/>
      <c r="QSJ18" s="13"/>
      <c r="QSK18" s="13"/>
      <c r="QSL18" s="13"/>
      <c r="QSM18" s="13"/>
      <c r="QSN18" s="13"/>
      <c r="QSO18" s="13"/>
      <c r="QSP18" s="13"/>
      <c r="QSQ18" s="13"/>
      <c r="QSR18" s="13"/>
      <c r="QSS18" s="13"/>
      <c r="QST18" s="13"/>
      <c r="QSU18" s="13"/>
      <c r="QSV18" s="13"/>
      <c r="QSW18" s="13"/>
      <c r="QSX18" s="13"/>
      <c r="QSY18" s="13"/>
      <c r="QSZ18" s="13"/>
      <c r="QTA18" s="13"/>
      <c r="QTB18" s="13"/>
      <c r="QTC18" s="13"/>
      <c r="QTD18" s="13"/>
      <c r="QTE18" s="13"/>
      <c r="QTF18" s="13"/>
      <c r="QTG18" s="13"/>
      <c r="QTH18" s="13"/>
      <c r="QTI18" s="13"/>
      <c r="QTJ18" s="13"/>
      <c r="QTK18" s="13"/>
      <c r="QTL18" s="13"/>
      <c r="QTM18" s="13"/>
      <c r="QTN18" s="13"/>
      <c r="QTO18" s="13"/>
      <c r="QTP18" s="13"/>
      <c r="QTQ18" s="13"/>
      <c r="QTR18" s="13"/>
      <c r="QTS18" s="13"/>
      <c r="QTT18" s="13"/>
      <c r="QTU18" s="13"/>
      <c r="QTV18" s="13"/>
      <c r="QTW18" s="13"/>
      <c r="QTX18" s="13"/>
      <c r="QTY18" s="13"/>
      <c r="QTZ18" s="13"/>
      <c r="QUA18" s="13"/>
      <c r="QUB18" s="13"/>
      <c r="QUC18" s="13"/>
      <c r="QUD18" s="13"/>
      <c r="QUE18" s="13"/>
      <c r="QUF18" s="13"/>
      <c r="QUG18" s="13"/>
      <c r="QUH18" s="13"/>
      <c r="QUI18" s="13"/>
      <c r="QUJ18" s="13"/>
      <c r="QUK18" s="13"/>
      <c r="QUL18" s="13"/>
      <c r="QUM18" s="13"/>
      <c r="QUN18" s="13"/>
      <c r="QUO18" s="13"/>
      <c r="QUP18" s="13"/>
      <c r="QUQ18" s="13"/>
      <c r="QUR18" s="13"/>
      <c r="QUS18" s="13"/>
      <c r="QUT18" s="13"/>
      <c r="QUU18" s="13"/>
      <c r="QUV18" s="13"/>
      <c r="QUW18" s="13"/>
      <c r="QUX18" s="13"/>
      <c r="QUY18" s="13"/>
      <c r="QUZ18" s="13"/>
      <c r="QVA18" s="13"/>
      <c r="QVB18" s="13"/>
      <c r="QVC18" s="13"/>
      <c r="QVD18" s="13"/>
      <c r="QVE18" s="13"/>
      <c r="QVF18" s="13"/>
      <c r="QVG18" s="13"/>
      <c r="QVH18" s="13"/>
      <c r="QVI18" s="13"/>
      <c r="QVJ18" s="13"/>
      <c r="QVK18" s="13"/>
      <c r="QVL18" s="13"/>
      <c r="QVM18" s="13"/>
      <c r="QVN18" s="13"/>
      <c r="QVO18" s="13"/>
      <c r="QVP18" s="13"/>
      <c r="QVQ18" s="13"/>
      <c r="QVR18" s="13"/>
      <c r="QVS18" s="13"/>
      <c r="QVT18" s="13"/>
      <c r="QVU18" s="13"/>
      <c r="QVV18" s="13"/>
      <c r="QVW18" s="13"/>
      <c r="QVX18" s="13"/>
      <c r="QVY18" s="13"/>
      <c r="QVZ18" s="13"/>
      <c r="QWA18" s="13"/>
      <c r="QWB18" s="13"/>
      <c r="QWC18" s="13"/>
      <c r="QWD18" s="13"/>
      <c r="QWE18" s="13"/>
      <c r="QWF18" s="13"/>
      <c r="QWG18" s="13"/>
      <c r="QWH18" s="13"/>
      <c r="QWI18" s="13"/>
      <c r="QWJ18" s="13"/>
      <c r="QWK18" s="13"/>
      <c r="QWL18" s="13"/>
      <c r="QWM18" s="13"/>
      <c r="QWN18" s="13"/>
      <c r="QWO18" s="13"/>
      <c r="QWP18" s="13"/>
      <c r="QWQ18" s="13"/>
      <c r="QWR18" s="13"/>
      <c r="QWS18" s="13"/>
      <c r="QWT18" s="13"/>
      <c r="QWU18" s="13"/>
      <c r="QWV18" s="13"/>
      <c r="QWW18" s="13"/>
      <c r="QWX18" s="13"/>
      <c r="QWY18" s="13"/>
      <c r="QWZ18" s="13"/>
      <c r="QXA18" s="13"/>
      <c r="QXB18" s="13"/>
      <c r="QXC18" s="13"/>
      <c r="QXD18" s="13"/>
      <c r="QXE18" s="13"/>
      <c r="QXF18" s="13"/>
      <c r="QXG18" s="13"/>
      <c r="QXH18" s="13"/>
      <c r="QXI18" s="13"/>
      <c r="QXJ18" s="13"/>
      <c r="QXK18" s="13"/>
      <c r="QXL18" s="13"/>
      <c r="QXM18" s="13"/>
      <c r="QXN18" s="13"/>
      <c r="QXO18" s="13"/>
      <c r="QXP18" s="13"/>
      <c r="QXQ18" s="13"/>
      <c r="QXR18" s="13"/>
      <c r="QXS18" s="13"/>
      <c r="QXT18" s="13"/>
      <c r="QXU18" s="13"/>
      <c r="QXV18" s="13"/>
      <c r="QXW18" s="13"/>
      <c r="QXX18" s="13"/>
      <c r="QXY18" s="13"/>
      <c r="QXZ18" s="13"/>
      <c r="QYA18" s="13"/>
      <c r="QYB18" s="13"/>
      <c r="QYC18" s="13"/>
      <c r="QYD18" s="13"/>
      <c r="QYE18" s="13"/>
      <c r="QYF18" s="13"/>
      <c r="QYG18" s="13"/>
      <c r="QYH18" s="13"/>
      <c r="QYI18" s="13"/>
      <c r="QYJ18" s="13"/>
      <c r="QYK18" s="13"/>
      <c r="QYL18" s="13"/>
      <c r="QYM18" s="13"/>
      <c r="QYN18" s="13"/>
      <c r="QYO18" s="13"/>
      <c r="QYP18" s="13"/>
      <c r="QYQ18" s="13"/>
      <c r="QYR18" s="13"/>
      <c r="QYS18" s="13"/>
      <c r="QYT18" s="13"/>
      <c r="QYU18" s="13"/>
      <c r="QYV18" s="13"/>
      <c r="QYW18" s="13"/>
      <c r="QYX18" s="13"/>
      <c r="QYY18" s="13"/>
      <c r="QYZ18" s="13"/>
      <c r="QZA18" s="13"/>
      <c r="QZB18" s="13"/>
      <c r="QZC18" s="13"/>
      <c r="QZD18" s="13"/>
      <c r="QZE18" s="13"/>
      <c r="QZF18" s="13"/>
      <c r="QZG18" s="13"/>
      <c r="QZH18" s="13"/>
      <c r="QZI18" s="13"/>
      <c r="QZJ18" s="13"/>
      <c r="QZK18" s="13"/>
      <c r="QZL18" s="13"/>
      <c r="QZM18" s="13"/>
      <c r="QZN18" s="13"/>
      <c r="QZO18" s="13"/>
      <c r="QZP18" s="13"/>
      <c r="QZQ18" s="13"/>
      <c r="QZR18" s="13"/>
      <c r="QZS18" s="13"/>
      <c r="QZT18" s="13"/>
      <c r="QZU18" s="13"/>
      <c r="QZV18" s="13"/>
      <c r="QZW18" s="13"/>
      <c r="QZX18" s="13"/>
      <c r="QZY18" s="13"/>
      <c r="QZZ18" s="13"/>
      <c r="RAA18" s="13"/>
      <c r="RAB18" s="13"/>
      <c r="RAC18" s="13"/>
      <c r="RAD18" s="13"/>
      <c r="RAE18" s="13"/>
      <c r="RAF18" s="13"/>
      <c r="RAG18" s="13"/>
      <c r="RAH18" s="13"/>
      <c r="RAI18" s="13"/>
      <c r="RAJ18" s="13"/>
      <c r="RAK18" s="13"/>
      <c r="RAL18" s="13"/>
      <c r="RAM18" s="13"/>
      <c r="RAN18" s="13"/>
      <c r="RAO18" s="13"/>
      <c r="RAP18" s="13"/>
      <c r="RAQ18" s="13"/>
      <c r="RAR18" s="13"/>
      <c r="RAS18" s="13"/>
      <c r="RAT18" s="13"/>
      <c r="RAU18" s="13"/>
      <c r="RAV18" s="13"/>
      <c r="RAW18" s="13"/>
      <c r="RAX18" s="13"/>
      <c r="RAY18" s="13"/>
      <c r="RAZ18" s="13"/>
      <c r="RBA18" s="13"/>
      <c r="RBB18" s="13"/>
      <c r="RBC18" s="13"/>
      <c r="RBD18" s="13"/>
      <c r="RBE18" s="13"/>
      <c r="RBF18" s="13"/>
      <c r="RBG18" s="13"/>
      <c r="RBH18" s="13"/>
      <c r="RBI18" s="13"/>
      <c r="RBJ18" s="13"/>
      <c r="RBK18" s="13"/>
      <c r="RBL18" s="13"/>
      <c r="RBM18" s="13"/>
      <c r="RBN18" s="13"/>
      <c r="RBO18" s="13"/>
      <c r="RBP18" s="13"/>
      <c r="RBQ18" s="13"/>
      <c r="RBR18" s="13"/>
      <c r="RBS18" s="13"/>
      <c r="RBT18" s="13"/>
      <c r="RBU18" s="13"/>
      <c r="RBV18" s="13"/>
      <c r="RBW18" s="13"/>
      <c r="RBX18" s="13"/>
      <c r="RBY18" s="13"/>
      <c r="RBZ18" s="13"/>
      <c r="RCA18" s="13"/>
      <c r="RCB18" s="13"/>
      <c r="RCC18" s="13"/>
      <c r="RCD18" s="13"/>
      <c r="RCE18" s="13"/>
      <c r="RCF18" s="13"/>
      <c r="RCG18" s="13"/>
      <c r="RCH18" s="13"/>
      <c r="RCI18" s="13"/>
      <c r="RCJ18" s="13"/>
      <c r="RCK18" s="13"/>
      <c r="RCL18" s="13"/>
      <c r="RCM18" s="13"/>
      <c r="RCN18" s="13"/>
      <c r="RCO18" s="13"/>
      <c r="RCP18" s="13"/>
      <c r="RCQ18" s="13"/>
      <c r="RCR18" s="13"/>
      <c r="RCS18" s="13"/>
      <c r="RCT18" s="13"/>
      <c r="RCU18" s="13"/>
      <c r="RCV18" s="13"/>
      <c r="RCW18" s="13"/>
      <c r="RCX18" s="13"/>
      <c r="RCY18" s="13"/>
      <c r="RCZ18" s="13"/>
      <c r="RDA18" s="13"/>
      <c r="RDB18" s="13"/>
      <c r="RDC18" s="13"/>
      <c r="RDD18" s="13"/>
      <c r="RDE18" s="13"/>
      <c r="RDF18" s="13"/>
      <c r="RDG18" s="13"/>
      <c r="RDH18" s="13"/>
      <c r="RDI18" s="13"/>
      <c r="RDJ18" s="13"/>
      <c r="RDK18" s="13"/>
      <c r="RDL18" s="13"/>
      <c r="RDM18" s="13"/>
      <c r="RDN18" s="13"/>
      <c r="RDO18" s="13"/>
      <c r="RDP18" s="13"/>
      <c r="RDQ18" s="13"/>
      <c r="RDR18" s="13"/>
      <c r="RDS18" s="13"/>
      <c r="RDT18" s="13"/>
      <c r="RDU18" s="13"/>
      <c r="RDV18" s="13"/>
      <c r="RDW18" s="13"/>
      <c r="RDX18" s="13"/>
      <c r="RDY18" s="13"/>
      <c r="RDZ18" s="13"/>
      <c r="REA18" s="13"/>
      <c r="REB18" s="13"/>
      <c r="REC18" s="13"/>
      <c r="RED18" s="13"/>
      <c r="REE18" s="13"/>
      <c r="REF18" s="13"/>
      <c r="REG18" s="13"/>
      <c r="REH18" s="13"/>
      <c r="REI18" s="13"/>
      <c r="REJ18" s="13"/>
      <c r="REK18" s="13"/>
      <c r="REL18" s="13"/>
      <c r="REM18" s="13"/>
      <c r="REN18" s="13"/>
      <c r="REO18" s="13"/>
      <c r="REP18" s="13"/>
      <c r="REQ18" s="13"/>
      <c r="RER18" s="13"/>
      <c r="RES18" s="13"/>
      <c r="RET18" s="13"/>
      <c r="REU18" s="13"/>
      <c r="REV18" s="13"/>
      <c r="REW18" s="13"/>
      <c r="REX18" s="13"/>
      <c r="REY18" s="13"/>
      <c r="REZ18" s="13"/>
      <c r="RFA18" s="13"/>
      <c r="RFB18" s="13"/>
      <c r="RFC18" s="13"/>
      <c r="RFD18" s="13"/>
      <c r="RFE18" s="13"/>
      <c r="RFF18" s="13"/>
      <c r="RFG18" s="13"/>
      <c r="RFH18" s="13"/>
      <c r="RFI18" s="13"/>
      <c r="RFJ18" s="13"/>
      <c r="RFK18" s="13"/>
      <c r="RFL18" s="13"/>
      <c r="RFM18" s="13"/>
      <c r="RFN18" s="13"/>
      <c r="RFO18" s="13"/>
      <c r="RFP18" s="13"/>
      <c r="RFQ18" s="13"/>
      <c r="RFR18" s="13"/>
      <c r="RFS18" s="13"/>
      <c r="RFT18" s="13"/>
      <c r="RFU18" s="13"/>
      <c r="RFV18" s="13"/>
      <c r="RFW18" s="13"/>
      <c r="RFX18" s="13"/>
      <c r="RFY18" s="13"/>
      <c r="RFZ18" s="13"/>
      <c r="RGA18" s="13"/>
      <c r="RGB18" s="13"/>
      <c r="RGC18" s="13"/>
      <c r="RGD18" s="13"/>
      <c r="RGE18" s="13"/>
      <c r="RGF18" s="13"/>
      <c r="RGG18" s="13"/>
      <c r="RGH18" s="13"/>
      <c r="RGI18" s="13"/>
      <c r="RGJ18" s="13"/>
      <c r="RGK18" s="13"/>
      <c r="RGL18" s="13"/>
      <c r="RGM18" s="13"/>
      <c r="RGN18" s="13"/>
      <c r="RGO18" s="13"/>
      <c r="RGP18" s="13"/>
      <c r="RGQ18" s="13"/>
      <c r="RGR18" s="13"/>
      <c r="RGS18" s="13"/>
      <c r="RGT18" s="13"/>
      <c r="RGU18" s="13"/>
      <c r="RGV18" s="13"/>
      <c r="RGW18" s="13"/>
      <c r="RGX18" s="13"/>
      <c r="RGY18" s="13"/>
      <c r="RGZ18" s="13"/>
      <c r="RHA18" s="13"/>
      <c r="RHB18" s="13"/>
      <c r="RHC18" s="13"/>
      <c r="RHD18" s="13"/>
      <c r="RHE18" s="13"/>
      <c r="RHF18" s="13"/>
      <c r="RHG18" s="13"/>
      <c r="RHH18" s="13"/>
      <c r="RHI18" s="13"/>
      <c r="RHJ18" s="13"/>
      <c r="RHK18" s="13"/>
      <c r="RHL18" s="13"/>
      <c r="RHM18" s="13"/>
      <c r="RHN18" s="13"/>
      <c r="RHO18" s="13"/>
      <c r="RHP18" s="13"/>
      <c r="RHQ18" s="13"/>
      <c r="RHR18" s="13"/>
      <c r="RHS18" s="13"/>
      <c r="RHT18" s="13"/>
      <c r="RHU18" s="13"/>
      <c r="RHV18" s="13"/>
      <c r="RHW18" s="13"/>
      <c r="RHX18" s="13"/>
      <c r="RHY18" s="13"/>
      <c r="RHZ18" s="13"/>
      <c r="RIA18" s="13"/>
      <c r="RIB18" s="13"/>
      <c r="RIC18" s="13"/>
      <c r="RID18" s="13"/>
      <c r="RIE18" s="13"/>
      <c r="RIF18" s="13"/>
      <c r="RIG18" s="13"/>
      <c r="RIH18" s="13"/>
      <c r="RII18" s="13"/>
      <c r="RIJ18" s="13"/>
      <c r="RIK18" s="13"/>
      <c r="RIL18" s="13"/>
      <c r="RIM18" s="13"/>
      <c r="RIN18" s="13"/>
      <c r="RIO18" s="13"/>
      <c r="RIP18" s="13"/>
      <c r="RIQ18" s="13"/>
      <c r="RIR18" s="13"/>
      <c r="RIS18" s="13"/>
      <c r="RIT18" s="13"/>
      <c r="RIU18" s="13"/>
      <c r="RIV18" s="13"/>
      <c r="RIW18" s="13"/>
      <c r="RIX18" s="13"/>
      <c r="RIY18" s="13"/>
      <c r="RIZ18" s="13"/>
      <c r="RJA18" s="13"/>
      <c r="RJB18" s="13"/>
      <c r="RJC18" s="13"/>
      <c r="RJD18" s="13"/>
      <c r="RJE18" s="13"/>
      <c r="RJF18" s="13"/>
      <c r="RJG18" s="13"/>
      <c r="RJH18" s="13"/>
      <c r="RJI18" s="13"/>
      <c r="RJJ18" s="13"/>
      <c r="RJK18" s="13"/>
      <c r="RJL18" s="13"/>
      <c r="RJM18" s="13"/>
      <c r="RJN18" s="13"/>
      <c r="RJO18" s="13"/>
      <c r="RJP18" s="13"/>
      <c r="RJQ18" s="13"/>
      <c r="RJR18" s="13"/>
      <c r="RJS18" s="13"/>
      <c r="RJT18" s="13"/>
      <c r="RJU18" s="13"/>
      <c r="RJV18" s="13"/>
      <c r="RJW18" s="13"/>
      <c r="RJX18" s="13"/>
      <c r="RJY18" s="13"/>
      <c r="RJZ18" s="13"/>
      <c r="RKA18" s="13"/>
      <c r="RKB18" s="13"/>
      <c r="RKC18" s="13"/>
      <c r="RKD18" s="13"/>
      <c r="RKE18" s="13"/>
      <c r="RKF18" s="13"/>
      <c r="RKG18" s="13"/>
      <c r="RKH18" s="13"/>
      <c r="RKI18" s="13"/>
      <c r="RKJ18" s="13"/>
      <c r="RKK18" s="13"/>
      <c r="RKL18" s="13"/>
      <c r="RKM18" s="13"/>
      <c r="RKN18" s="13"/>
      <c r="RKO18" s="13"/>
      <c r="RKP18" s="13"/>
      <c r="RKQ18" s="13"/>
      <c r="RKR18" s="13"/>
      <c r="RKS18" s="13"/>
      <c r="RKT18" s="13"/>
      <c r="RKU18" s="13"/>
      <c r="RKV18" s="13"/>
      <c r="RKW18" s="13"/>
      <c r="RKX18" s="13"/>
      <c r="RKY18" s="13"/>
      <c r="RKZ18" s="13"/>
      <c r="RLA18" s="13"/>
      <c r="RLB18" s="13"/>
      <c r="RLC18" s="13"/>
      <c r="RLD18" s="13"/>
      <c r="RLE18" s="13"/>
      <c r="RLF18" s="13"/>
      <c r="RLG18" s="13"/>
      <c r="RLH18" s="13"/>
      <c r="RLI18" s="13"/>
      <c r="RLJ18" s="13"/>
      <c r="RLK18" s="13"/>
      <c r="RLL18" s="13"/>
      <c r="RLM18" s="13"/>
      <c r="RLN18" s="13"/>
      <c r="RLO18" s="13"/>
      <c r="RLP18" s="13"/>
      <c r="RLQ18" s="13"/>
      <c r="RLR18" s="13"/>
      <c r="RLS18" s="13"/>
      <c r="RLT18" s="13"/>
      <c r="RLU18" s="13"/>
      <c r="RLV18" s="13"/>
      <c r="RLW18" s="13"/>
      <c r="RLX18" s="13"/>
      <c r="RLY18" s="13"/>
      <c r="RLZ18" s="13"/>
      <c r="RMA18" s="13"/>
      <c r="RMB18" s="13"/>
      <c r="RMC18" s="13"/>
      <c r="RMD18" s="13"/>
      <c r="RME18" s="13"/>
      <c r="RMF18" s="13"/>
      <c r="RMG18" s="13"/>
      <c r="RMH18" s="13"/>
      <c r="RMI18" s="13"/>
      <c r="RMJ18" s="13"/>
      <c r="RMK18" s="13"/>
      <c r="RML18" s="13"/>
      <c r="RMM18" s="13"/>
      <c r="RMN18" s="13"/>
      <c r="RMO18" s="13"/>
      <c r="RMP18" s="13"/>
      <c r="RMQ18" s="13"/>
      <c r="RMR18" s="13"/>
      <c r="RMS18" s="13"/>
      <c r="RMT18" s="13"/>
      <c r="RMU18" s="13"/>
      <c r="RMV18" s="13"/>
      <c r="RMW18" s="13"/>
      <c r="RMX18" s="13"/>
      <c r="RMY18" s="13"/>
      <c r="RMZ18" s="13"/>
      <c r="RNA18" s="13"/>
      <c r="RNB18" s="13"/>
      <c r="RNC18" s="13"/>
      <c r="RND18" s="13"/>
      <c r="RNE18" s="13"/>
      <c r="RNF18" s="13"/>
      <c r="RNG18" s="13"/>
      <c r="RNH18" s="13"/>
      <c r="RNI18" s="13"/>
      <c r="RNJ18" s="13"/>
      <c r="RNK18" s="13"/>
      <c r="RNL18" s="13"/>
      <c r="RNM18" s="13"/>
      <c r="RNN18" s="13"/>
      <c r="RNO18" s="13"/>
      <c r="RNP18" s="13"/>
      <c r="RNQ18" s="13"/>
      <c r="RNR18" s="13"/>
      <c r="RNS18" s="13"/>
      <c r="RNT18" s="13"/>
      <c r="RNU18" s="13"/>
      <c r="RNV18" s="13"/>
      <c r="RNW18" s="13"/>
      <c r="RNX18" s="13"/>
      <c r="RNY18" s="13"/>
      <c r="RNZ18" s="13"/>
      <c r="ROA18" s="13"/>
      <c r="ROB18" s="13"/>
      <c r="ROC18" s="13"/>
      <c r="ROD18" s="13"/>
      <c r="ROE18" s="13"/>
      <c r="ROF18" s="13"/>
      <c r="ROG18" s="13"/>
      <c r="ROH18" s="13"/>
      <c r="ROI18" s="13"/>
      <c r="ROJ18" s="13"/>
      <c r="ROK18" s="13"/>
      <c r="ROL18" s="13"/>
      <c r="ROM18" s="13"/>
      <c r="RON18" s="13"/>
      <c r="ROO18" s="13"/>
      <c r="ROP18" s="13"/>
      <c r="ROQ18" s="13"/>
      <c r="ROR18" s="13"/>
      <c r="ROS18" s="13"/>
      <c r="ROT18" s="13"/>
      <c r="ROU18" s="13"/>
      <c r="ROV18" s="13"/>
      <c r="ROW18" s="13"/>
      <c r="ROX18" s="13"/>
      <c r="ROY18" s="13"/>
      <c r="ROZ18" s="13"/>
      <c r="RPA18" s="13"/>
      <c r="RPB18" s="13"/>
      <c r="RPC18" s="13"/>
      <c r="RPD18" s="13"/>
      <c r="RPE18" s="13"/>
      <c r="RPF18" s="13"/>
      <c r="RPG18" s="13"/>
      <c r="RPH18" s="13"/>
      <c r="RPI18" s="13"/>
      <c r="RPJ18" s="13"/>
      <c r="RPK18" s="13"/>
      <c r="RPL18" s="13"/>
      <c r="RPM18" s="13"/>
      <c r="RPN18" s="13"/>
      <c r="RPO18" s="13"/>
      <c r="RPP18" s="13"/>
      <c r="RPQ18" s="13"/>
      <c r="RPR18" s="13"/>
      <c r="RPS18" s="13"/>
      <c r="RPT18" s="13"/>
      <c r="RPU18" s="13"/>
      <c r="RPV18" s="13"/>
      <c r="RPW18" s="13"/>
      <c r="RPX18" s="13"/>
      <c r="RPY18" s="13"/>
      <c r="RPZ18" s="13"/>
      <c r="RQA18" s="13"/>
      <c r="RQB18" s="13"/>
      <c r="RQC18" s="13"/>
      <c r="RQD18" s="13"/>
      <c r="RQE18" s="13"/>
      <c r="RQF18" s="13"/>
      <c r="RQG18" s="13"/>
      <c r="RQH18" s="13"/>
      <c r="RQI18" s="13"/>
      <c r="RQJ18" s="13"/>
      <c r="RQK18" s="13"/>
      <c r="RQL18" s="13"/>
      <c r="RQM18" s="13"/>
      <c r="RQN18" s="13"/>
      <c r="RQO18" s="13"/>
      <c r="RQP18" s="13"/>
      <c r="RQQ18" s="13"/>
      <c r="RQR18" s="13"/>
      <c r="RQS18" s="13"/>
      <c r="RQT18" s="13"/>
      <c r="RQU18" s="13"/>
      <c r="RQV18" s="13"/>
      <c r="RQW18" s="13"/>
      <c r="RQX18" s="13"/>
      <c r="RQY18" s="13"/>
      <c r="RQZ18" s="13"/>
      <c r="RRA18" s="13"/>
      <c r="RRB18" s="13"/>
      <c r="RRC18" s="13"/>
      <c r="RRD18" s="13"/>
      <c r="RRE18" s="13"/>
      <c r="RRF18" s="13"/>
      <c r="RRG18" s="13"/>
      <c r="RRH18" s="13"/>
      <c r="RRI18" s="13"/>
      <c r="RRJ18" s="13"/>
      <c r="RRK18" s="13"/>
      <c r="RRL18" s="13"/>
      <c r="RRM18" s="13"/>
      <c r="RRN18" s="13"/>
      <c r="RRO18" s="13"/>
      <c r="RRP18" s="13"/>
      <c r="RRQ18" s="13"/>
      <c r="RRR18" s="13"/>
      <c r="RRS18" s="13"/>
      <c r="RRT18" s="13"/>
      <c r="RRU18" s="13"/>
      <c r="RRV18" s="13"/>
      <c r="RRW18" s="13"/>
      <c r="RRX18" s="13"/>
      <c r="RRY18" s="13"/>
      <c r="RRZ18" s="13"/>
      <c r="RSA18" s="13"/>
      <c r="RSB18" s="13"/>
      <c r="RSC18" s="13"/>
      <c r="RSD18" s="13"/>
      <c r="RSE18" s="13"/>
      <c r="RSF18" s="13"/>
      <c r="RSG18" s="13"/>
      <c r="RSH18" s="13"/>
      <c r="RSI18" s="13"/>
      <c r="RSJ18" s="13"/>
      <c r="RSK18" s="13"/>
      <c r="RSL18" s="13"/>
      <c r="RSM18" s="13"/>
      <c r="RSN18" s="13"/>
      <c r="RSO18" s="13"/>
      <c r="RSP18" s="13"/>
      <c r="RSQ18" s="13"/>
      <c r="RSR18" s="13"/>
      <c r="RSS18" s="13"/>
      <c r="RST18" s="13"/>
      <c r="RSU18" s="13"/>
      <c r="RSV18" s="13"/>
      <c r="RSW18" s="13"/>
      <c r="RSX18" s="13"/>
      <c r="RSY18" s="13"/>
      <c r="RSZ18" s="13"/>
      <c r="RTA18" s="13"/>
      <c r="RTB18" s="13"/>
      <c r="RTC18" s="13"/>
      <c r="RTD18" s="13"/>
      <c r="RTE18" s="13"/>
      <c r="RTF18" s="13"/>
      <c r="RTG18" s="13"/>
      <c r="RTH18" s="13"/>
      <c r="RTI18" s="13"/>
      <c r="RTJ18" s="13"/>
      <c r="RTK18" s="13"/>
      <c r="RTL18" s="13"/>
      <c r="RTM18" s="13"/>
      <c r="RTN18" s="13"/>
      <c r="RTO18" s="13"/>
      <c r="RTP18" s="13"/>
      <c r="RTQ18" s="13"/>
      <c r="RTR18" s="13"/>
      <c r="RTS18" s="13"/>
      <c r="RTT18" s="13"/>
      <c r="RTU18" s="13"/>
      <c r="RTV18" s="13"/>
      <c r="RTW18" s="13"/>
      <c r="RTX18" s="13"/>
      <c r="RTY18" s="13"/>
      <c r="RTZ18" s="13"/>
      <c r="RUA18" s="13"/>
      <c r="RUB18" s="13"/>
      <c r="RUC18" s="13"/>
      <c r="RUD18" s="13"/>
      <c r="RUE18" s="13"/>
      <c r="RUF18" s="13"/>
      <c r="RUG18" s="13"/>
      <c r="RUH18" s="13"/>
      <c r="RUI18" s="13"/>
      <c r="RUJ18" s="13"/>
      <c r="RUK18" s="13"/>
      <c r="RUL18" s="13"/>
      <c r="RUM18" s="13"/>
      <c r="RUN18" s="13"/>
      <c r="RUO18" s="13"/>
      <c r="RUP18" s="13"/>
      <c r="RUQ18" s="13"/>
      <c r="RUR18" s="13"/>
      <c r="RUS18" s="13"/>
      <c r="RUT18" s="13"/>
      <c r="RUU18" s="13"/>
      <c r="RUV18" s="13"/>
      <c r="RUW18" s="13"/>
      <c r="RUX18" s="13"/>
      <c r="RUY18" s="13"/>
      <c r="RUZ18" s="13"/>
      <c r="RVA18" s="13"/>
      <c r="RVB18" s="13"/>
      <c r="RVC18" s="13"/>
      <c r="RVD18" s="13"/>
      <c r="RVE18" s="13"/>
      <c r="RVF18" s="13"/>
      <c r="RVG18" s="13"/>
      <c r="RVH18" s="13"/>
      <c r="RVI18" s="13"/>
      <c r="RVJ18" s="13"/>
      <c r="RVK18" s="13"/>
      <c r="RVL18" s="13"/>
      <c r="RVM18" s="13"/>
      <c r="RVN18" s="13"/>
      <c r="RVO18" s="13"/>
      <c r="RVP18" s="13"/>
      <c r="RVQ18" s="13"/>
      <c r="RVR18" s="13"/>
      <c r="RVS18" s="13"/>
      <c r="RVT18" s="13"/>
      <c r="RVU18" s="13"/>
      <c r="RVV18" s="13"/>
      <c r="RVW18" s="13"/>
      <c r="RVX18" s="13"/>
      <c r="RVY18" s="13"/>
      <c r="RVZ18" s="13"/>
      <c r="RWA18" s="13"/>
      <c r="RWB18" s="13"/>
      <c r="RWC18" s="13"/>
      <c r="RWD18" s="13"/>
      <c r="RWE18" s="13"/>
      <c r="RWF18" s="13"/>
      <c r="RWG18" s="13"/>
      <c r="RWH18" s="13"/>
      <c r="RWI18" s="13"/>
      <c r="RWJ18" s="13"/>
      <c r="RWK18" s="13"/>
      <c r="RWL18" s="13"/>
      <c r="RWM18" s="13"/>
      <c r="RWN18" s="13"/>
      <c r="RWO18" s="13"/>
      <c r="RWP18" s="13"/>
      <c r="RWQ18" s="13"/>
      <c r="RWR18" s="13"/>
      <c r="RWS18" s="13"/>
      <c r="RWT18" s="13"/>
      <c r="RWU18" s="13"/>
      <c r="RWV18" s="13"/>
      <c r="RWW18" s="13"/>
      <c r="RWX18" s="13"/>
      <c r="RWY18" s="13"/>
      <c r="RWZ18" s="13"/>
      <c r="RXA18" s="13"/>
      <c r="RXB18" s="13"/>
      <c r="RXC18" s="13"/>
      <c r="RXD18" s="13"/>
      <c r="RXE18" s="13"/>
      <c r="RXF18" s="13"/>
      <c r="RXG18" s="13"/>
      <c r="RXH18" s="13"/>
      <c r="RXI18" s="13"/>
      <c r="RXJ18" s="13"/>
      <c r="RXK18" s="13"/>
      <c r="RXL18" s="13"/>
      <c r="RXM18" s="13"/>
      <c r="RXN18" s="13"/>
      <c r="RXO18" s="13"/>
      <c r="RXP18" s="13"/>
      <c r="RXQ18" s="13"/>
      <c r="RXR18" s="13"/>
      <c r="RXS18" s="13"/>
      <c r="RXT18" s="13"/>
      <c r="RXU18" s="13"/>
      <c r="RXV18" s="13"/>
      <c r="RXW18" s="13"/>
      <c r="RXX18" s="13"/>
      <c r="RXY18" s="13"/>
      <c r="RXZ18" s="13"/>
      <c r="RYA18" s="13"/>
      <c r="RYB18" s="13"/>
      <c r="RYC18" s="13"/>
      <c r="RYD18" s="13"/>
      <c r="RYE18" s="13"/>
      <c r="RYF18" s="13"/>
      <c r="RYG18" s="13"/>
      <c r="RYH18" s="13"/>
      <c r="RYI18" s="13"/>
      <c r="RYJ18" s="13"/>
      <c r="RYK18" s="13"/>
      <c r="RYL18" s="13"/>
      <c r="RYM18" s="13"/>
      <c r="RYN18" s="13"/>
      <c r="RYO18" s="13"/>
      <c r="RYP18" s="13"/>
      <c r="RYQ18" s="13"/>
      <c r="RYR18" s="13"/>
      <c r="RYS18" s="13"/>
      <c r="RYT18" s="13"/>
      <c r="RYU18" s="13"/>
      <c r="RYV18" s="13"/>
      <c r="RYW18" s="13"/>
      <c r="RYX18" s="13"/>
      <c r="RYY18" s="13"/>
      <c r="RYZ18" s="13"/>
      <c r="RZA18" s="13"/>
      <c r="RZB18" s="13"/>
      <c r="RZC18" s="13"/>
      <c r="RZD18" s="13"/>
      <c r="RZE18" s="13"/>
      <c r="RZF18" s="13"/>
      <c r="RZG18" s="13"/>
      <c r="RZH18" s="13"/>
      <c r="RZI18" s="13"/>
      <c r="RZJ18" s="13"/>
      <c r="RZK18" s="13"/>
      <c r="RZL18" s="13"/>
      <c r="RZM18" s="13"/>
      <c r="RZN18" s="13"/>
      <c r="RZO18" s="13"/>
      <c r="RZP18" s="13"/>
      <c r="RZQ18" s="13"/>
      <c r="RZR18" s="13"/>
      <c r="RZS18" s="13"/>
      <c r="RZT18" s="13"/>
      <c r="RZU18" s="13"/>
      <c r="RZV18" s="13"/>
      <c r="RZW18" s="13"/>
      <c r="RZX18" s="13"/>
      <c r="RZY18" s="13"/>
      <c r="RZZ18" s="13"/>
      <c r="SAA18" s="13"/>
      <c r="SAB18" s="13"/>
      <c r="SAC18" s="13"/>
      <c r="SAD18" s="13"/>
      <c r="SAE18" s="13"/>
      <c r="SAF18" s="13"/>
      <c r="SAG18" s="13"/>
      <c r="SAH18" s="13"/>
      <c r="SAI18" s="13"/>
      <c r="SAJ18" s="13"/>
      <c r="SAK18" s="13"/>
      <c r="SAL18" s="13"/>
      <c r="SAM18" s="13"/>
      <c r="SAN18" s="13"/>
      <c r="SAO18" s="13"/>
      <c r="SAP18" s="13"/>
      <c r="SAQ18" s="13"/>
      <c r="SAR18" s="13"/>
      <c r="SAS18" s="13"/>
      <c r="SAT18" s="13"/>
      <c r="SAU18" s="13"/>
      <c r="SAV18" s="13"/>
      <c r="SAW18" s="13"/>
      <c r="SAX18" s="13"/>
      <c r="SAY18" s="13"/>
      <c r="SAZ18" s="13"/>
      <c r="SBA18" s="13"/>
      <c r="SBB18" s="13"/>
      <c r="SBC18" s="13"/>
      <c r="SBD18" s="13"/>
      <c r="SBE18" s="13"/>
      <c r="SBF18" s="13"/>
      <c r="SBG18" s="13"/>
      <c r="SBH18" s="13"/>
      <c r="SBI18" s="13"/>
      <c r="SBJ18" s="13"/>
      <c r="SBK18" s="13"/>
      <c r="SBL18" s="13"/>
      <c r="SBM18" s="13"/>
      <c r="SBN18" s="13"/>
      <c r="SBO18" s="13"/>
      <c r="SBP18" s="13"/>
      <c r="SBQ18" s="13"/>
      <c r="SBR18" s="13"/>
      <c r="SBS18" s="13"/>
      <c r="SBT18" s="13"/>
      <c r="SBU18" s="13"/>
      <c r="SBV18" s="13"/>
      <c r="SBW18" s="13"/>
      <c r="SBX18" s="13"/>
      <c r="SBY18" s="13"/>
      <c r="SBZ18" s="13"/>
      <c r="SCA18" s="13"/>
      <c r="SCB18" s="13"/>
      <c r="SCC18" s="13"/>
      <c r="SCD18" s="13"/>
      <c r="SCE18" s="13"/>
      <c r="SCF18" s="13"/>
      <c r="SCG18" s="13"/>
      <c r="SCH18" s="13"/>
      <c r="SCI18" s="13"/>
      <c r="SCJ18" s="13"/>
      <c r="SCK18" s="13"/>
      <c r="SCL18" s="13"/>
      <c r="SCM18" s="13"/>
      <c r="SCN18" s="13"/>
      <c r="SCO18" s="13"/>
      <c r="SCP18" s="13"/>
      <c r="SCQ18" s="13"/>
      <c r="SCR18" s="13"/>
      <c r="SCS18" s="13"/>
      <c r="SCT18" s="13"/>
      <c r="SCU18" s="13"/>
      <c r="SCV18" s="13"/>
      <c r="SCW18" s="13"/>
      <c r="SCX18" s="13"/>
      <c r="SCY18" s="13"/>
      <c r="SCZ18" s="13"/>
      <c r="SDA18" s="13"/>
      <c r="SDB18" s="13"/>
      <c r="SDC18" s="13"/>
      <c r="SDD18" s="13"/>
      <c r="SDE18" s="13"/>
      <c r="SDF18" s="13"/>
      <c r="SDG18" s="13"/>
      <c r="SDH18" s="13"/>
      <c r="SDI18" s="13"/>
      <c r="SDJ18" s="13"/>
      <c r="SDK18" s="13"/>
      <c r="SDL18" s="13"/>
      <c r="SDM18" s="13"/>
      <c r="SDN18" s="13"/>
      <c r="SDO18" s="13"/>
      <c r="SDP18" s="13"/>
      <c r="SDQ18" s="13"/>
      <c r="SDR18" s="13"/>
      <c r="SDS18" s="13"/>
      <c r="SDT18" s="13"/>
      <c r="SDU18" s="13"/>
      <c r="SDV18" s="13"/>
      <c r="SDW18" s="13"/>
      <c r="SDX18" s="13"/>
      <c r="SDY18" s="13"/>
      <c r="SDZ18" s="13"/>
      <c r="SEA18" s="13"/>
      <c r="SEB18" s="13"/>
      <c r="SEC18" s="13"/>
      <c r="SED18" s="13"/>
      <c r="SEE18" s="13"/>
      <c r="SEF18" s="13"/>
      <c r="SEG18" s="13"/>
      <c r="SEH18" s="13"/>
      <c r="SEI18" s="13"/>
      <c r="SEJ18" s="13"/>
      <c r="SEK18" s="13"/>
      <c r="SEL18" s="13"/>
      <c r="SEM18" s="13"/>
      <c r="SEN18" s="13"/>
      <c r="SEO18" s="13"/>
      <c r="SEP18" s="13"/>
      <c r="SEQ18" s="13"/>
      <c r="SER18" s="13"/>
      <c r="SES18" s="13"/>
      <c r="SET18" s="13"/>
      <c r="SEU18" s="13"/>
      <c r="SEV18" s="13"/>
      <c r="SEW18" s="13"/>
      <c r="SEX18" s="13"/>
      <c r="SEY18" s="13"/>
      <c r="SEZ18" s="13"/>
      <c r="SFA18" s="13"/>
      <c r="SFB18" s="13"/>
      <c r="SFC18" s="13"/>
      <c r="SFD18" s="13"/>
      <c r="SFE18" s="13"/>
      <c r="SFF18" s="13"/>
      <c r="SFG18" s="13"/>
      <c r="SFH18" s="13"/>
      <c r="SFI18" s="13"/>
      <c r="SFJ18" s="13"/>
      <c r="SFK18" s="13"/>
      <c r="SFL18" s="13"/>
      <c r="SFM18" s="13"/>
      <c r="SFN18" s="13"/>
      <c r="SFO18" s="13"/>
      <c r="SFP18" s="13"/>
      <c r="SFQ18" s="13"/>
      <c r="SFR18" s="13"/>
      <c r="SFS18" s="13"/>
      <c r="SFT18" s="13"/>
      <c r="SFU18" s="13"/>
      <c r="SFV18" s="13"/>
      <c r="SFW18" s="13"/>
      <c r="SFX18" s="13"/>
      <c r="SFY18" s="13"/>
      <c r="SFZ18" s="13"/>
      <c r="SGA18" s="13"/>
      <c r="SGB18" s="13"/>
      <c r="SGC18" s="13"/>
      <c r="SGD18" s="13"/>
      <c r="SGE18" s="13"/>
      <c r="SGF18" s="13"/>
      <c r="SGG18" s="13"/>
      <c r="SGH18" s="13"/>
      <c r="SGI18" s="13"/>
      <c r="SGJ18" s="13"/>
      <c r="SGK18" s="13"/>
      <c r="SGL18" s="13"/>
      <c r="SGM18" s="13"/>
      <c r="SGN18" s="13"/>
      <c r="SGO18" s="13"/>
      <c r="SGP18" s="13"/>
      <c r="SGQ18" s="13"/>
      <c r="SGR18" s="13"/>
      <c r="SGS18" s="13"/>
      <c r="SGT18" s="13"/>
      <c r="SGU18" s="13"/>
      <c r="SGV18" s="13"/>
      <c r="SGW18" s="13"/>
      <c r="SGX18" s="13"/>
      <c r="SGY18" s="13"/>
      <c r="SGZ18" s="13"/>
      <c r="SHA18" s="13"/>
      <c r="SHB18" s="13"/>
      <c r="SHC18" s="13"/>
      <c r="SHD18" s="13"/>
      <c r="SHE18" s="13"/>
      <c r="SHF18" s="13"/>
      <c r="SHG18" s="13"/>
      <c r="SHH18" s="13"/>
      <c r="SHI18" s="13"/>
      <c r="SHJ18" s="13"/>
      <c r="SHK18" s="13"/>
      <c r="SHL18" s="13"/>
      <c r="SHM18" s="13"/>
      <c r="SHN18" s="13"/>
      <c r="SHO18" s="13"/>
      <c r="SHP18" s="13"/>
      <c r="SHQ18" s="13"/>
      <c r="SHR18" s="13"/>
      <c r="SHS18" s="13"/>
      <c r="SHT18" s="13"/>
      <c r="SHU18" s="13"/>
      <c r="SHV18" s="13"/>
      <c r="SHW18" s="13"/>
      <c r="SHX18" s="13"/>
      <c r="SHY18" s="13"/>
      <c r="SHZ18" s="13"/>
      <c r="SIA18" s="13"/>
      <c r="SIB18" s="13"/>
      <c r="SIC18" s="13"/>
      <c r="SID18" s="13"/>
      <c r="SIE18" s="13"/>
      <c r="SIF18" s="13"/>
      <c r="SIG18" s="13"/>
      <c r="SIH18" s="13"/>
      <c r="SII18" s="13"/>
      <c r="SIJ18" s="13"/>
      <c r="SIK18" s="13"/>
      <c r="SIL18" s="13"/>
      <c r="SIM18" s="13"/>
      <c r="SIN18" s="13"/>
      <c r="SIO18" s="13"/>
      <c r="SIP18" s="13"/>
      <c r="SIQ18" s="13"/>
      <c r="SIR18" s="13"/>
      <c r="SIS18" s="13"/>
      <c r="SIT18" s="13"/>
      <c r="SIU18" s="13"/>
      <c r="SIV18" s="13"/>
      <c r="SIW18" s="13"/>
      <c r="SIX18" s="13"/>
      <c r="SIY18" s="13"/>
      <c r="SIZ18" s="13"/>
      <c r="SJA18" s="13"/>
      <c r="SJB18" s="13"/>
      <c r="SJC18" s="13"/>
      <c r="SJD18" s="13"/>
      <c r="SJE18" s="13"/>
      <c r="SJF18" s="13"/>
      <c r="SJG18" s="13"/>
      <c r="SJH18" s="13"/>
      <c r="SJI18" s="13"/>
      <c r="SJJ18" s="13"/>
      <c r="SJK18" s="13"/>
      <c r="SJL18" s="13"/>
      <c r="SJM18" s="13"/>
      <c r="SJN18" s="13"/>
      <c r="SJO18" s="13"/>
      <c r="SJP18" s="13"/>
      <c r="SJQ18" s="13"/>
      <c r="SJR18" s="13"/>
      <c r="SJS18" s="13"/>
      <c r="SJT18" s="13"/>
      <c r="SJU18" s="13"/>
      <c r="SJV18" s="13"/>
      <c r="SJW18" s="13"/>
      <c r="SJX18" s="13"/>
      <c r="SJY18" s="13"/>
      <c r="SJZ18" s="13"/>
      <c r="SKA18" s="13"/>
      <c r="SKB18" s="13"/>
      <c r="SKC18" s="13"/>
      <c r="SKD18" s="13"/>
      <c r="SKE18" s="13"/>
      <c r="SKF18" s="13"/>
      <c r="SKG18" s="13"/>
      <c r="SKH18" s="13"/>
      <c r="SKI18" s="13"/>
      <c r="SKJ18" s="13"/>
      <c r="SKK18" s="13"/>
      <c r="SKL18" s="13"/>
      <c r="SKM18" s="13"/>
      <c r="SKN18" s="13"/>
      <c r="SKO18" s="13"/>
      <c r="SKP18" s="13"/>
      <c r="SKQ18" s="13"/>
      <c r="SKR18" s="13"/>
      <c r="SKS18" s="13"/>
      <c r="SKT18" s="13"/>
      <c r="SKU18" s="13"/>
      <c r="SKV18" s="13"/>
      <c r="SKW18" s="13"/>
      <c r="SKX18" s="13"/>
      <c r="SKY18" s="13"/>
      <c r="SKZ18" s="13"/>
      <c r="SLA18" s="13"/>
      <c r="SLB18" s="13"/>
      <c r="SLC18" s="13"/>
      <c r="SLD18" s="13"/>
      <c r="SLE18" s="13"/>
      <c r="SLF18" s="13"/>
      <c r="SLG18" s="13"/>
      <c r="SLH18" s="13"/>
      <c r="SLI18" s="13"/>
      <c r="SLJ18" s="13"/>
      <c r="SLK18" s="13"/>
      <c r="SLL18" s="13"/>
      <c r="SLM18" s="13"/>
      <c r="SLN18" s="13"/>
      <c r="SLO18" s="13"/>
      <c r="SLP18" s="13"/>
      <c r="SLQ18" s="13"/>
      <c r="SLR18" s="13"/>
      <c r="SLS18" s="13"/>
      <c r="SLT18" s="13"/>
      <c r="SLU18" s="13"/>
      <c r="SLV18" s="13"/>
      <c r="SLW18" s="13"/>
      <c r="SLX18" s="13"/>
      <c r="SLY18" s="13"/>
      <c r="SLZ18" s="13"/>
      <c r="SMA18" s="13"/>
      <c r="SMB18" s="13"/>
      <c r="SMC18" s="13"/>
      <c r="SMD18" s="13"/>
      <c r="SME18" s="13"/>
      <c r="SMF18" s="13"/>
      <c r="SMG18" s="13"/>
      <c r="SMH18" s="13"/>
      <c r="SMI18" s="13"/>
      <c r="SMJ18" s="13"/>
      <c r="SMK18" s="13"/>
      <c r="SML18" s="13"/>
      <c r="SMM18" s="13"/>
      <c r="SMN18" s="13"/>
      <c r="SMO18" s="13"/>
      <c r="SMP18" s="13"/>
      <c r="SMQ18" s="13"/>
      <c r="SMR18" s="13"/>
      <c r="SMS18" s="13"/>
      <c r="SMT18" s="13"/>
      <c r="SMU18" s="13"/>
      <c r="SMV18" s="13"/>
      <c r="SMW18" s="13"/>
      <c r="SMX18" s="13"/>
      <c r="SMY18" s="13"/>
      <c r="SMZ18" s="13"/>
      <c r="SNA18" s="13"/>
      <c r="SNB18" s="13"/>
      <c r="SNC18" s="13"/>
      <c r="SND18" s="13"/>
      <c r="SNE18" s="13"/>
      <c r="SNF18" s="13"/>
      <c r="SNG18" s="13"/>
      <c r="SNH18" s="13"/>
      <c r="SNI18" s="13"/>
      <c r="SNJ18" s="13"/>
      <c r="SNK18" s="13"/>
      <c r="SNL18" s="13"/>
      <c r="SNM18" s="13"/>
      <c r="SNN18" s="13"/>
      <c r="SNO18" s="13"/>
      <c r="SNP18" s="13"/>
      <c r="SNQ18" s="13"/>
      <c r="SNR18" s="13"/>
      <c r="SNS18" s="13"/>
      <c r="SNT18" s="13"/>
      <c r="SNU18" s="13"/>
      <c r="SNV18" s="13"/>
      <c r="SNW18" s="13"/>
      <c r="SNX18" s="13"/>
      <c r="SNY18" s="13"/>
      <c r="SNZ18" s="13"/>
      <c r="SOA18" s="13"/>
      <c r="SOB18" s="13"/>
      <c r="SOC18" s="13"/>
      <c r="SOD18" s="13"/>
      <c r="SOE18" s="13"/>
      <c r="SOF18" s="13"/>
      <c r="SOG18" s="13"/>
      <c r="SOH18" s="13"/>
      <c r="SOI18" s="13"/>
      <c r="SOJ18" s="13"/>
      <c r="SOK18" s="13"/>
      <c r="SOL18" s="13"/>
      <c r="SOM18" s="13"/>
      <c r="SON18" s="13"/>
      <c r="SOO18" s="13"/>
      <c r="SOP18" s="13"/>
      <c r="SOQ18" s="13"/>
      <c r="SOR18" s="13"/>
      <c r="SOS18" s="13"/>
      <c r="SOT18" s="13"/>
      <c r="SOU18" s="13"/>
      <c r="SOV18" s="13"/>
      <c r="SOW18" s="13"/>
      <c r="SOX18" s="13"/>
      <c r="SOY18" s="13"/>
      <c r="SOZ18" s="13"/>
      <c r="SPA18" s="13"/>
      <c r="SPB18" s="13"/>
      <c r="SPC18" s="13"/>
      <c r="SPD18" s="13"/>
      <c r="SPE18" s="13"/>
      <c r="SPF18" s="13"/>
      <c r="SPG18" s="13"/>
      <c r="SPH18" s="13"/>
      <c r="SPI18" s="13"/>
      <c r="SPJ18" s="13"/>
      <c r="SPK18" s="13"/>
      <c r="SPL18" s="13"/>
      <c r="SPM18" s="13"/>
      <c r="SPN18" s="13"/>
      <c r="SPO18" s="13"/>
      <c r="SPP18" s="13"/>
      <c r="SPQ18" s="13"/>
      <c r="SPR18" s="13"/>
      <c r="SPS18" s="13"/>
      <c r="SPT18" s="13"/>
      <c r="SPU18" s="13"/>
      <c r="SPV18" s="13"/>
      <c r="SPW18" s="13"/>
      <c r="SPX18" s="13"/>
      <c r="SPY18" s="13"/>
      <c r="SPZ18" s="13"/>
      <c r="SQA18" s="13"/>
      <c r="SQB18" s="13"/>
      <c r="SQC18" s="13"/>
      <c r="SQD18" s="13"/>
      <c r="SQE18" s="13"/>
      <c r="SQF18" s="13"/>
      <c r="SQG18" s="13"/>
      <c r="SQH18" s="13"/>
      <c r="SQI18" s="13"/>
      <c r="SQJ18" s="13"/>
      <c r="SQK18" s="13"/>
      <c r="SQL18" s="13"/>
      <c r="SQM18" s="13"/>
      <c r="SQN18" s="13"/>
      <c r="SQO18" s="13"/>
      <c r="SQP18" s="13"/>
      <c r="SQQ18" s="13"/>
      <c r="SQR18" s="13"/>
      <c r="SQS18" s="13"/>
      <c r="SQT18" s="13"/>
      <c r="SQU18" s="13"/>
      <c r="SQV18" s="13"/>
      <c r="SQW18" s="13"/>
      <c r="SQX18" s="13"/>
      <c r="SQY18" s="13"/>
      <c r="SQZ18" s="13"/>
      <c r="SRA18" s="13"/>
      <c r="SRB18" s="13"/>
      <c r="SRC18" s="13"/>
      <c r="SRD18" s="13"/>
      <c r="SRE18" s="13"/>
      <c r="SRF18" s="13"/>
      <c r="SRG18" s="13"/>
      <c r="SRH18" s="13"/>
      <c r="SRI18" s="13"/>
      <c r="SRJ18" s="13"/>
      <c r="SRK18" s="13"/>
      <c r="SRL18" s="13"/>
      <c r="SRM18" s="13"/>
      <c r="SRN18" s="13"/>
      <c r="SRO18" s="13"/>
      <c r="SRP18" s="13"/>
      <c r="SRQ18" s="13"/>
      <c r="SRR18" s="13"/>
      <c r="SRS18" s="13"/>
      <c r="SRT18" s="13"/>
      <c r="SRU18" s="13"/>
      <c r="SRV18" s="13"/>
      <c r="SRW18" s="13"/>
      <c r="SRX18" s="13"/>
      <c r="SRY18" s="13"/>
      <c r="SRZ18" s="13"/>
      <c r="SSA18" s="13"/>
      <c r="SSB18" s="13"/>
      <c r="SSC18" s="13"/>
      <c r="SSD18" s="13"/>
      <c r="SSE18" s="13"/>
      <c r="SSF18" s="13"/>
      <c r="SSG18" s="13"/>
      <c r="SSH18" s="13"/>
      <c r="SSI18" s="13"/>
      <c r="SSJ18" s="13"/>
      <c r="SSK18" s="13"/>
      <c r="SSL18" s="13"/>
      <c r="SSM18" s="13"/>
      <c r="SSN18" s="13"/>
      <c r="SSO18" s="13"/>
      <c r="SSP18" s="13"/>
      <c r="SSQ18" s="13"/>
      <c r="SSR18" s="13"/>
      <c r="SSS18" s="13"/>
      <c r="SST18" s="13"/>
      <c r="SSU18" s="13"/>
      <c r="SSV18" s="13"/>
      <c r="SSW18" s="13"/>
      <c r="SSX18" s="13"/>
      <c r="SSY18" s="13"/>
      <c r="SSZ18" s="13"/>
      <c r="STA18" s="13"/>
      <c r="STB18" s="13"/>
      <c r="STC18" s="13"/>
      <c r="STD18" s="13"/>
      <c r="STE18" s="13"/>
      <c r="STF18" s="13"/>
      <c r="STG18" s="13"/>
      <c r="STH18" s="13"/>
      <c r="STI18" s="13"/>
      <c r="STJ18" s="13"/>
      <c r="STK18" s="13"/>
      <c r="STL18" s="13"/>
      <c r="STM18" s="13"/>
      <c r="STN18" s="13"/>
      <c r="STO18" s="13"/>
      <c r="STP18" s="13"/>
      <c r="STQ18" s="13"/>
      <c r="STR18" s="13"/>
      <c r="STS18" s="13"/>
      <c r="STT18" s="13"/>
      <c r="STU18" s="13"/>
      <c r="STV18" s="13"/>
      <c r="STW18" s="13"/>
      <c r="STX18" s="13"/>
      <c r="STY18" s="13"/>
      <c r="STZ18" s="13"/>
      <c r="SUA18" s="13"/>
      <c r="SUB18" s="13"/>
      <c r="SUC18" s="13"/>
      <c r="SUD18" s="13"/>
      <c r="SUE18" s="13"/>
      <c r="SUF18" s="13"/>
      <c r="SUG18" s="13"/>
      <c r="SUH18" s="13"/>
      <c r="SUI18" s="13"/>
      <c r="SUJ18" s="13"/>
      <c r="SUK18" s="13"/>
      <c r="SUL18" s="13"/>
      <c r="SUM18" s="13"/>
      <c r="SUN18" s="13"/>
      <c r="SUO18" s="13"/>
      <c r="SUP18" s="13"/>
      <c r="SUQ18" s="13"/>
      <c r="SUR18" s="13"/>
      <c r="SUS18" s="13"/>
      <c r="SUT18" s="13"/>
      <c r="SUU18" s="13"/>
      <c r="SUV18" s="13"/>
      <c r="SUW18" s="13"/>
      <c r="SUX18" s="13"/>
      <c r="SUY18" s="13"/>
      <c r="SUZ18" s="13"/>
      <c r="SVA18" s="13"/>
      <c r="SVB18" s="13"/>
      <c r="SVC18" s="13"/>
      <c r="SVD18" s="13"/>
      <c r="SVE18" s="13"/>
      <c r="SVF18" s="13"/>
      <c r="SVG18" s="13"/>
      <c r="SVH18" s="13"/>
      <c r="SVI18" s="13"/>
      <c r="SVJ18" s="13"/>
      <c r="SVK18" s="13"/>
      <c r="SVL18" s="13"/>
      <c r="SVM18" s="13"/>
      <c r="SVN18" s="13"/>
      <c r="SVO18" s="13"/>
      <c r="SVP18" s="13"/>
      <c r="SVQ18" s="13"/>
      <c r="SVR18" s="13"/>
      <c r="SVS18" s="13"/>
      <c r="SVT18" s="13"/>
      <c r="SVU18" s="13"/>
      <c r="SVV18" s="13"/>
      <c r="SVW18" s="13"/>
      <c r="SVX18" s="13"/>
      <c r="SVY18" s="13"/>
      <c r="SVZ18" s="13"/>
      <c r="SWA18" s="13"/>
      <c r="SWB18" s="13"/>
      <c r="SWC18" s="13"/>
      <c r="SWD18" s="13"/>
      <c r="SWE18" s="13"/>
      <c r="SWF18" s="13"/>
      <c r="SWG18" s="13"/>
      <c r="SWH18" s="13"/>
      <c r="SWI18" s="13"/>
      <c r="SWJ18" s="13"/>
      <c r="SWK18" s="13"/>
      <c r="SWL18" s="13"/>
      <c r="SWM18" s="13"/>
      <c r="SWN18" s="13"/>
      <c r="SWO18" s="13"/>
      <c r="SWP18" s="13"/>
      <c r="SWQ18" s="13"/>
      <c r="SWR18" s="13"/>
      <c r="SWS18" s="13"/>
      <c r="SWT18" s="13"/>
      <c r="SWU18" s="13"/>
      <c r="SWV18" s="13"/>
      <c r="SWW18" s="13"/>
      <c r="SWX18" s="13"/>
      <c r="SWY18" s="13"/>
      <c r="SWZ18" s="13"/>
      <c r="SXA18" s="13"/>
      <c r="SXB18" s="13"/>
      <c r="SXC18" s="13"/>
      <c r="SXD18" s="13"/>
      <c r="SXE18" s="13"/>
      <c r="SXF18" s="13"/>
      <c r="SXG18" s="13"/>
      <c r="SXH18" s="13"/>
      <c r="SXI18" s="13"/>
      <c r="SXJ18" s="13"/>
      <c r="SXK18" s="13"/>
      <c r="SXL18" s="13"/>
      <c r="SXM18" s="13"/>
      <c r="SXN18" s="13"/>
      <c r="SXO18" s="13"/>
      <c r="SXP18" s="13"/>
      <c r="SXQ18" s="13"/>
      <c r="SXR18" s="13"/>
      <c r="SXS18" s="13"/>
      <c r="SXT18" s="13"/>
      <c r="SXU18" s="13"/>
      <c r="SXV18" s="13"/>
      <c r="SXW18" s="13"/>
      <c r="SXX18" s="13"/>
      <c r="SXY18" s="13"/>
      <c r="SXZ18" s="13"/>
      <c r="SYA18" s="13"/>
      <c r="SYB18" s="13"/>
      <c r="SYC18" s="13"/>
      <c r="SYD18" s="13"/>
      <c r="SYE18" s="13"/>
      <c r="SYF18" s="13"/>
      <c r="SYG18" s="13"/>
      <c r="SYH18" s="13"/>
      <c r="SYI18" s="13"/>
      <c r="SYJ18" s="13"/>
      <c r="SYK18" s="13"/>
      <c r="SYL18" s="13"/>
      <c r="SYM18" s="13"/>
      <c r="SYN18" s="13"/>
      <c r="SYO18" s="13"/>
      <c r="SYP18" s="13"/>
      <c r="SYQ18" s="13"/>
      <c r="SYR18" s="13"/>
      <c r="SYS18" s="13"/>
      <c r="SYT18" s="13"/>
      <c r="SYU18" s="13"/>
      <c r="SYV18" s="13"/>
      <c r="SYW18" s="13"/>
      <c r="SYX18" s="13"/>
      <c r="SYY18" s="13"/>
      <c r="SYZ18" s="13"/>
      <c r="SZA18" s="13"/>
      <c r="SZB18" s="13"/>
      <c r="SZC18" s="13"/>
      <c r="SZD18" s="13"/>
      <c r="SZE18" s="13"/>
      <c r="SZF18" s="13"/>
      <c r="SZG18" s="13"/>
      <c r="SZH18" s="13"/>
      <c r="SZI18" s="13"/>
      <c r="SZJ18" s="13"/>
      <c r="SZK18" s="13"/>
      <c r="SZL18" s="13"/>
      <c r="SZM18" s="13"/>
      <c r="SZN18" s="13"/>
      <c r="SZO18" s="13"/>
      <c r="SZP18" s="13"/>
      <c r="SZQ18" s="13"/>
      <c r="SZR18" s="13"/>
      <c r="SZS18" s="13"/>
      <c r="SZT18" s="13"/>
      <c r="SZU18" s="13"/>
      <c r="SZV18" s="13"/>
      <c r="SZW18" s="13"/>
      <c r="SZX18" s="13"/>
      <c r="SZY18" s="13"/>
      <c r="SZZ18" s="13"/>
      <c r="TAA18" s="13"/>
      <c r="TAB18" s="13"/>
      <c r="TAC18" s="13"/>
      <c r="TAD18" s="13"/>
      <c r="TAE18" s="13"/>
      <c r="TAF18" s="13"/>
      <c r="TAG18" s="13"/>
      <c r="TAH18" s="13"/>
      <c r="TAI18" s="13"/>
      <c r="TAJ18" s="13"/>
      <c r="TAK18" s="13"/>
      <c r="TAL18" s="13"/>
      <c r="TAM18" s="13"/>
      <c r="TAN18" s="13"/>
      <c r="TAO18" s="13"/>
      <c r="TAP18" s="13"/>
      <c r="TAQ18" s="13"/>
      <c r="TAR18" s="13"/>
      <c r="TAS18" s="13"/>
      <c r="TAT18" s="13"/>
      <c r="TAU18" s="13"/>
      <c r="TAV18" s="13"/>
      <c r="TAW18" s="13"/>
      <c r="TAX18" s="13"/>
      <c r="TAY18" s="13"/>
      <c r="TAZ18" s="13"/>
      <c r="TBA18" s="13"/>
      <c r="TBB18" s="13"/>
      <c r="TBC18" s="13"/>
      <c r="TBD18" s="13"/>
      <c r="TBE18" s="13"/>
      <c r="TBF18" s="13"/>
      <c r="TBG18" s="13"/>
      <c r="TBH18" s="13"/>
      <c r="TBI18" s="13"/>
      <c r="TBJ18" s="13"/>
      <c r="TBK18" s="13"/>
      <c r="TBL18" s="13"/>
      <c r="TBM18" s="13"/>
      <c r="TBN18" s="13"/>
      <c r="TBO18" s="13"/>
      <c r="TBP18" s="13"/>
      <c r="TBQ18" s="13"/>
      <c r="TBR18" s="13"/>
      <c r="TBS18" s="13"/>
      <c r="TBT18" s="13"/>
      <c r="TBU18" s="13"/>
      <c r="TBV18" s="13"/>
      <c r="TBW18" s="13"/>
      <c r="TBX18" s="13"/>
      <c r="TBY18" s="13"/>
      <c r="TBZ18" s="13"/>
      <c r="TCA18" s="13"/>
      <c r="TCB18" s="13"/>
      <c r="TCC18" s="13"/>
      <c r="TCD18" s="13"/>
      <c r="TCE18" s="13"/>
      <c r="TCF18" s="13"/>
      <c r="TCG18" s="13"/>
      <c r="TCH18" s="13"/>
      <c r="TCI18" s="13"/>
      <c r="TCJ18" s="13"/>
      <c r="TCK18" s="13"/>
      <c r="TCL18" s="13"/>
      <c r="TCM18" s="13"/>
      <c r="TCN18" s="13"/>
      <c r="TCO18" s="13"/>
      <c r="TCP18" s="13"/>
      <c r="TCQ18" s="13"/>
      <c r="TCR18" s="13"/>
      <c r="TCS18" s="13"/>
      <c r="TCT18" s="13"/>
      <c r="TCU18" s="13"/>
      <c r="TCV18" s="13"/>
      <c r="TCW18" s="13"/>
      <c r="TCX18" s="13"/>
      <c r="TCY18" s="13"/>
      <c r="TCZ18" s="13"/>
      <c r="TDA18" s="13"/>
      <c r="TDB18" s="13"/>
      <c r="TDC18" s="13"/>
      <c r="TDD18" s="13"/>
      <c r="TDE18" s="13"/>
      <c r="TDF18" s="13"/>
      <c r="TDG18" s="13"/>
      <c r="TDH18" s="13"/>
      <c r="TDI18" s="13"/>
      <c r="TDJ18" s="13"/>
      <c r="TDK18" s="13"/>
      <c r="TDL18" s="13"/>
      <c r="TDM18" s="13"/>
      <c r="TDN18" s="13"/>
      <c r="TDO18" s="13"/>
      <c r="TDP18" s="13"/>
      <c r="TDQ18" s="13"/>
      <c r="TDR18" s="13"/>
      <c r="TDS18" s="13"/>
      <c r="TDT18" s="13"/>
      <c r="TDU18" s="13"/>
      <c r="TDV18" s="13"/>
      <c r="TDW18" s="13"/>
      <c r="TDX18" s="13"/>
      <c r="TDY18" s="13"/>
      <c r="TDZ18" s="13"/>
      <c r="TEA18" s="13"/>
      <c r="TEB18" s="13"/>
      <c r="TEC18" s="13"/>
      <c r="TED18" s="13"/>
      <c r="TEE18" s="13"/>
      <c r="TEF18" s="13"/>
      <c r="TEG18" s="13"/>
      <c r="TEH18" s="13"/>
      <c r="TEI18" s="13"/>
      <c r="TEJ18" s="13"/>
      <c r="TEK18" s="13"/>
      <c r="TEL18" s="13"/>
      <c r="TEM18" s="13"/>
      <c r="TEN18" s="13"/>
      <c r="TEO18" s="13"/>
      <c r="TEP18" s="13"/>
      <c r="TEQ18" s="13"/>
      <c r="TER18" s="13"/>
      <c r="TES18" s="13"/>
      <c r="TET18" s="13"/>
      <c r="TEU18" s="13"/>
      <c r="TEV18" s="13"/>
      <c r="TEW18" s="13"/>
      <c r="TEX18" s="13"/>
      <c r="TEY18" s="13"/>
      <c r="TEZ18" s="13"/>
      <c r="TFA18" s="13"/>
      <c r="TFB18" s="13"/>
      <c r="TFC18" s="13"/>
      <c r="TFD18" s="13"/>
      <c r="TFE18" s="13"/>
      <c r="TFF18" s="13"/>
      <c r="TFG18" s="13"/>
      <c r="TFH18" s="13"/>
      <c r="TFI18" s="13"/>
      <c r="TFJ18" s="13"/>
      <c r="TFK18" s="13"/>
      <c r="TFL18" s="13"/>
      <c r="TFM18" s="13"/>
      <c r="TFN18" s="13"/>
      <c r="TFO18" s="13"/>
      <c r="TFP18" s="13"/>
      <c r="TFQ18" s="13"/>
      <c r="TFR18" s="13"/>
      <c r="TFS18" s="13"/>
      <c r="TFT18" s="13"/>
      <c r="TFU18" s="13"/>
      <c r="TFV18" s="13"/>
      <c r="TFW18" s="13"/>
      <c r="TFX18" s="13"/>
      <c r="TFY18" s="13"/>
      <c r="TFZ18" s="13"/>
      <c r="TGA18" s="13"/>
      <c r="TGB18" s="13"/>
      <c r="TGC18" s="13"/>
      <c r="TGD18" s="13"/>
      <c r="TGE18" s="13"/>
      <c r="TGF18" s="13"/>
      <c r="TGG18" s="13"/>
      <c r="TGH18" s="13"/>
      <c r="TGI18" s="13"/>
      <c r="TGJ18" s="13"/>
      <c r="TGK18" s="13"/>
      <c r="TGL18" s="13"/>
      <c r="TGM18" s="13"/>
      <c r="TGN18" s="13"/>
      <c r="TGO18" s="13"/>
      <c r="TGP18" s="13"/>
      <c r="TGQ18" s="13"/>
      <c r="TGR18" s="13"/>
      <c r="TGS18" s="13"/>
      <c r="TGT18" s="13"/>
      <c r="TGU18" s="13"/>
      <c r="TGV18" s="13"/>
      <c r="TGW18" s="13"/>
      <c r="TGX18" s="13"/>
      <c r="TGY18" s="13"/>
      <c r="TGZ18" s="13"/>
      <c r="THA18" s="13"/>
      <c r="THB18" s="13"/>
      <c r="THC18" s="13"/>
      <c r="THD18" s="13"/>
      <c r="THE18" s="13"/>
      <c r="THF18" s="13"/>
      <c r="THG18" s="13"/>
      <c r="THH18" s="13"/>
      <c r="THI18" s="13"/>
      <c r="THJ18" s="13"/>
      <c r="THK18" s="13"/>
      <c r="THL18" s="13"/>
      <c r="THM18" s="13"/>
      <c r="THN18" s="13"/>
      <c r="THO18" s="13"/>
      <c r="THP18" s="13"/>
      <c r="THQ18" s="13"/>
      <c r="THR18" s="13"/>
      <c r="THS18" s="13"/>
      <c r="THT18" s="13"/>
      <c r="THU18" s="13"/>
      <c r="THV18" s="13"/>
      <c r="THW18" s="13"/>
      <c r="THX18" s="13"/>
      <c r="THY18" s="13"/>
      <c r="THZ18" s="13"/>
      <c r="TIA18" s="13"/>
      <c r="TIB18" s="13"/>
      <c r="TIC18" s="13"/>
      <c r="TID18" s="13"/>
      <c r="TIE18" s="13"/>
      <c r="TIF18" s="13"/>
      <c r="TIG18" s="13"/>
      <c r="TIH18" s="13"/>
      <c r="TII18" s="13"/>
      <c r="TIJ18" s="13"/>
      <c r="TIK18" s="13"/>
      <c r="TIL18" s="13"/>
      <c r="TIM18" s="13"/>
      <c r="TIN18" s="13"/>
      <c r="TIO18" s="13"/>
      <c r="TIP18" s="13"/>
      <c r="TIQ18" s="13"/>
      <c r="TIR18" s="13"/>
      <c r="TIS18" s="13"/>
      <c r="TIT18" s="13"/>
      <c r="TIU18" s="13"/>
      <c r="TIV18" s="13"/>
      <c r="TIW18" s="13"/>
      <c r="TIX18" s="13"/>
      <c r="TIY18" s="13"/>
      <c r="TIZ18" s="13"/>
      <c r="TJA18" s="13"/>
      <c r="TJB18" s="13"/>
      <c r="TJC18" s="13"/>
      <c r="TJD18" s="13"/>
      <c r="TJE18" s="13"/>
      <c r="TJF18" s="13"/>
      <c r="TJG18" s="13"/>
      <c r="TJH18" s="13"/>
      <c r="TJI18" s="13"/>
      <c r="TJJ18" s="13"/>
      <c r="TJK18" s="13"/>
      <c r="TJL18" s="13"/>
      <c r="TJM18" s="13"/>
      <c r="TJN18" s="13"/>
      <c r="TJO18" s="13"/>
      <c r="TJP18" s="13"/>
      <c r="TJQ18" s="13"/>
      <c r="TJR18" s="13"/>
      <c r="TJS18" s="13"/>
      <c r="TJT18" s="13"/>
      <c r="TJU18" s="13"/>
      <c r="TJV18" s="13"/>
      <c r="TJW18" s="13"/>
      <c r="TJX18" s="13"/>
      <c r="TJY18" s="13"/>
      <c r="TJZ18" s="13"/>
      <c r="TKA18" s="13"/>
      <c r="TKB18" s="13"/>
      <c r="TKC18" s="13"/>
      <c r="TKD18" s="13"/>
      <c r="TKE18" s="13"/>
      <c r="TKF18" s="13"/>
      <c r="TKG18" s="13"/>
      <c r="TKH18" s="13"/>
      <c r="TKI18" s="13"/>
      <c r="TKJ18" s="13"/>
      <c r="TKK18" s="13"/>
      <c r="TKL18" s="13"/>
      <c r="TKM18" s="13"/>
      <c r="TKN18" s="13"/>
      <c r="TKO18" s="13"/>
      <c r="TKP18" s="13"/>
      <c r="TKQ18" s="13"/>
      <c r="TKR18" s="13"/>
      <c r="TKS18" s="13"/>
      <c r="TKT18" s="13"/>
      <c r="TKU18" s="13"/>
      <c r="TKV18" s="13"/>
      <c r="TKW18" s="13"/>
      <c r="TKX18" s="13"/>
      <c r="TKY18" s="13"/>
      <c r="TKZ18" s="13"/>
      <c r="TLA18" s="13"/>
      <c r="TLB18" s="13"/>
      <c r="TLC18" s="13"/>
      <c r="TLD18" s="13"/>
      <c r="TLE18" s="13"/>
      <c r="TLF18" s="13"/>
      <c r="TLG18" s="13"/>
      <c r="TLH18" s="13"/>
      <c r="TLI18" s="13"/>
      <c r="TLJ18" s="13"/>
      <c r="TLK18" s="13"/>
      <c r="TLL18" s="13"/>
      <c r="TLM18" s="13"/>
      <c r="TLN18" s="13"/>
      <c r="TLO18" s="13"/>
      <c r="TLP18" s="13"/>
      <c r="TLQ18" s="13"/>
      <c r="TLR18" s="13"/>
      <c r="TLS18" s="13"/>
      <c r="TLT18" s="13"/>
      <c r="TLU18" s="13"/>
      <c r="TLV18" s="13"/>
      <c r="TLW18" s="13"/>
      <c r="TLX18" s="13"/>
      <c r="TLY18" s="13"/>
      <c r="TLZ18" s="13"/>
      <c r="TMA18" s="13"/>
      <c r="TMB18" s="13"/>
      <c r="TMC18" s="13"/>
      <c r="TMD18" s="13"/>
      <c r="TME18" s="13"/>
      <c r="TMF18" s="13"/>
      <c r="TMG18" s="13"/>
      <c r="TMH18" s="13"/>
      <c r="TMI18" s="13"/>
      <c r="TMJ18" s="13"/>
      <c r="TMK18" s="13"/>
      <c r="TML18" s="13"/>
      <c r="TMM18" s="13"/>
      <c r="TMN18" s="13"/>
      <c r="TMO18" s="13"/>
      <c r="TMP18" s="13"/>
      <c r="TMQ18" s="13"/>
      <c r="TMR18" s="13"/>
      <c r="TMS18" s="13"/>
      <c r="TMT18" s="13"/>
      <c r="TMU18" s="13"/>
      <c r="TMV18" s="13"/>
      <c r="TMW18" s="13"/>
      <c r="TMX18" s="13"/>
      <c r="TMY18" s="13"/>
      <c r="TMZ18" s="13"/>
      <c r="TNA18" s="13"/>
      <c r="TNB18" s="13"/>
      <c r="TNC18" s="13"/>
      <c r="TND18" s="13"/>
      <c r="TNE18" s="13"/>
      <c r="TNF18" s="13"/>
      <c r="TNG18" s="13"/>
      <c r="TNH18" s="13"/>
      <c r="TNI18" s="13"/>
      <c r="TNJ18" s="13"/>
      <c r="TNK18" s="13"/>
      <c r="TNL18" s="13"/>
      <c r="TNM18" s="13"/>
      <c r="TNN18" s="13"/>
      <c r="TNO18" s="13"/>
      <c r="TNP18" s="13"/>
      <c r="TNQ18" s="13"/>
      <c r="TNR18" s="13"/>
      <c r="TNS18" s="13"/>
      <c r="TNT18" s="13"/>
      <c r="TNU18" s="13"/>
      <c r="TNV18" s="13"/>
      <c r="TNW18" s="13"/>
      <c r="TNX18" s="13"/>
      <c r="TNY18" s="13"/>
      <c r="TNZ18" s="13"/>
      <c r="TOA18" s="13"/>
      <c r="TOB18" s="13"/>
      <c r="TOC18" s="13"/>
      <c r="TOD18" s="13"/>
      <c r="TOE18" s="13"/>
      <c r="TOF18" s="13"/>
      <c r="TOG18" s="13"/>
      <c r="TOH18" s="13"/>
      <c r="TOI18" s="13"/>
      <c r="TOJ18" s="13"/>
      <c r="TOK18" s="13"/>
      <c r="TOL18" s="13"/>
      <c r="TOM18" s="13"/>
      <c r="TON18" s="13"/>
      <c r="TOO18" s="13"/>
      <c r="TOP18" s="13"/>
      <c r="TOQ18" s="13"/>
      <c r="TOR18" s="13"/>
      <c r="TOS18" s="13"/>
      <c r="TOT18" s="13"/>
      <c r="TOU18" s="13"/>
      <c r="TOV18" s="13"/>
      <c r="TOW18" s="13"/>
      <c r="TOX18" s="13"/>
      <c r="TOY18" s="13"/>
      <c r="TOZ18" s="13"/>
      <c r="TPA18" s="13"/>
      <c r="TPB18" s="13"/>
      <c r="TPC18" s="13"/>
      <c r="TPD18" s="13"/>
      <c r="TPE18" s="13"/>
      <c r="TPF18" s="13"/>
      <c r="TPG18" s="13"/>
      <c r="TPH18" s="13"/>
      <c r="TPI18" s="13"/>
      <c r="TPJ18" s="13"/>
      <c r="TPK18" s="13"/>
      <c r="TPL18" s="13"/>
      <c r="TPM18" s="13"/>
      <c r="TPN18" s="13"/>
      <c r="TPO18" s="13"/>
      <c r="TPP18" s="13"/>
      <c r="TPQ18" s="13"/>
      <c r="TPR18" s="13"/>
      <c r="TPS18" s="13"/>
      <c r="TPT18" s="13"/>
      <c r="TPU18" s="13"/>
      <c r="TPV18" s="13"/>
      <c r="TPW18" s="13"/>
      <c r="TPX18" s="13"/>
      <c r="TPY18" s="13"/>
      <c r="TPZ18" s="13"/>
      <c r="TQA18" s="13"/>
      <c r="TQB18" s="13"/>
      <c r="TQC18" s="13"/>
      <c r="TQD18" s="13"/>
      <c r="TQE18" s="13"/>
      <c r="TQF18" s="13"/>
      <c r="TQG18" s="13"/>
      <c r="TQH18" s="13"/>
      <c r="TQI18" s="13"/>
      <c r="TQJ18" s="13"/>
      <c r="TQK18" s="13"/>
      <c r="TQL18" s="13"/>
      <c r="TQM18" s="13"/>
      <c r="TQN18" s="13"/>
      <c r="TQO18" s="13"/>
      <c r="TQP18" s="13"/>
      <c r="TQQ18" s="13"/>
      <c r="TQR18" s="13"/>
      <c r="TQS18" s="13"/>
      <c r="TQT18" s="13"/>
      <c r="TQU18" s="13"/>
      <c r="TQV18" s="13"/>
      <c r="TQW18" s="13"/>
      <c r="TQX18" s="13"/>
      <c r="TQY18" s="13"/>
      <c r="TQZ18" s="13"/>
      <c r="TRA18" s="13"/>
      <c r="TRB18" s="13"/>
      <c r="TRC18" s="13"/>
      <c r="TRD18" s="13"/>
      <c r="TRE18" s="13"/>
      <c r="TRF18" s="13"/>
      <c r="TRG18" s="13"/>
      <c r="TRH18" s="13"/>
      <c r="TRI18" s="13"/>
      <c r="TRJ18" s="13"/>
      <c r="TRK18" s="13"/>
      <c r="TRL18" s="13"/>
      <c r="TRM18" s="13"/>
      <c r="TRN18" s="13"/>
      <c r="TRO18" s="13"/>
      <c r="TRP18" s="13"/>
      <c r="TRQ18" s="13"/>
      <c r="TRR18" s="13"/>
      <c r="TRS18" s="13"/>
      <c r="TRT18" s="13"/>
      <c r="TRU18" s="13"/>
      <c r="TRV18" s="13"/>
      <c r="TRW18" s="13"/>
      <c r="TRX18" s="13"/>
      <c r="TRY18" s="13"/>
      <c r="TRZ18" s="13"/>
      <c r="TSA18" s="13"/>
      <c r="TSB18" s="13"/>
      <c r="TSC18" s="13"/>
      <c r="TSD18" s="13"/>
      <c r="TSE18" s="13"/>
      <c r="TSF18" s="13"/>
      <c r="TSG18" s="13"/>
      <c r="TSH18" s="13"/>
      <c r="TSI18" s="13"/>
      <c r="TSJ18" s="13"/>
      <c r="TSK18" s="13"/>
      <c r="TSL18" s="13"/>
      <c r="TSM18" s="13"/>
      <c r="TSN18" s="13"/>
      <c r="TSO18" s="13"/>
      <c r="TSP18" s="13"/>
      <c r="TSQ18" s="13"/>
      <c r="TSR18" s="13"/>
      <c r="TSS18" s="13"/>
      <c r="TST18" s="13"/>
      <c r="TSU18" s="13"/>
      <c r="TSV18" s="13"/>
      <c r="TSW18" s="13"/>
      <c r="TSX18" s="13"/>
      <c r="TSY18" s="13"/>
      <c r="TSZ18" s="13"/>
      <c r="TTA18" s="13"/>
      <c r="TTB18" s="13"/>
      <c r="TTC18" s="13"/>
      <c r="TTD18" s="13"/>
      <c r="TTE18" s="13"/>
      <c r="TTF18" s="13"/>
      <c r="TTG18" s="13"/>
      <c r="TTH18" s="13"/>
      <c r="TTI18" s="13"/>
      <c r="TTJ18" s="13"/>
      <c r="TTK18" s="13"/>
      <c r="TTL18" s="13"/>
      <c r="TTM18" s="13"/>
      <c r="TTN18" s="13"/>
      <c r="TTO18" s="13"/>
      <c r="TTP18" s="13"/>
      <c r="TTQ18" s="13"/>
      <c r="TTR18" s="13"/>
      <c r="TTS18" s="13"/>
      <c r="TTT18" s="13"/>
      <c r="TTU18" s="13"/>
      <c r="TTV18" s="13"/>
      <c r="TTW18" s="13"/>
      <c r="TTX18" s="13"/>
      <c r="TTY18" s="13"/>
      <c r="TTZ18" s="13"/>
      <c r="TUA18" s="13"/>
      <c r="TUB18" s="13"/>
      <c r="TUC18" s="13"/>
      <c r="TUD18" s="13"/>
      <c r="TUE18" s="13"/>
      <c r="TUF18" s="13"/>
      <c r="TUG18" s="13"/>
      <c r="TUH18" s="13"/>
      <c r="TUI18" s="13"/>
      <c r="TUJ18" s="13"/>
      <c r="TUK18" s="13"/>
      <c r="TUL18" s="13"/>
      <c r="TUM18" s="13"/>
      <c r="TUN18" s="13"/>
      <c r="TUO18" s="13"/>
      <c r="TUP18" s="13"/>
      <c r="TUQ18" s="13"/>
      <c r="TUR18" s="13"/>
      <c r="TUS18" s="13"/>
      <c r="TUT18" s="13"/>
      <c r="TUU18" s="13"/>
      <c r="TUV18" s="13"/>
      <c r="TUW18" s="13"/>
      <c r="TUX18" s="13"/>
      <c r="TUY18" s="13"/>
      <c r="TUZ18" s="13"/>
      <c r="TVA18" s="13"/>
      <c r="TVB18" s="13"/>
      <c r="TVC18" s="13"/>
      <c r="TVD18" s="13"/>
      <c r="TVE18" s="13"/>
      <c r="TVF18" s="13"/>
      <c r="TVG18" s="13"/>
      <c r="TVH18" s="13"/>
      <c r="TVI18" s="13"/>
      <c r="TVJ18" s="13"/>
      <c r="TVK18" s="13"/>
      <c r="TVL18" s="13"/>
      <c r="TVM18" s="13"/>
      <c r="TVN18" s="13"/>
      <c r="TVO18" s="13"/>
      <c r="TVP18" s="13"/>
      <c r="TVQ18" s="13"/>
      <c r="TVR18" s="13"/>
      <c r="TVS18" s="13"/>
      <c r="TVT18" s="13"/>
      <c r="TVU18" s="13"/>
      <c r="TVV18" s="13"/>
      <c r="TVW18" s="13"/>
      <c r="TVX18" s="13"/>
      <c r="TVY18" s="13"/>
      <c r="TVZ18" s="13"/>
      <c r="TWA18" s="13"/>
      <c r="TWB18" s="13"/>
      <c r="TWC18" s="13"/>
      <c r="TWD18" s="13"/>
      <c r="TWE18" s="13"/>
      <c r="TWF18" s="13"/>
      <c r="TWG18" s="13"/>
      <c r="TWH18" s="13"/>
      <c r="TWI18" s="13"/>
      <c r="TWJ18" s="13"/>
      <c r="TWK18" s="13"/>
      <c r="TWL18" s="13"/>
      <c r="TWM18" s="13"/>
      <c r="TWN18" s="13"/>
      <c r="TWO18" s="13"/>
      <c r="TWP18" s="13"/>
      <c r="TWQ18" s="13"/>
      <c r="TWR18" s="13"/>
      <c r="TWS18" s="13"/>
      <c r="TWT18" s="13"/>
      <c r="TWU18" s="13"/>
      <c r="TWV18" s="13"/>
      <c r="TWW18" s="13"/>
      <c r="TWX18" s="13"/>
      <c r="TWY18" s="13"/>
      <c r="TWZ18" s="13"/>
      <c r="TXA18" s="13"/>
      <c r="TXB18" s="13"/>
      <c r="TXC18" s="13"/>
      <c r="TXD18" s="13"/>
      <c r="TXE18" s="13"/>
      <c r="TXF18" s="13"/>
      <c r="TXG18" s="13"/>
      <c r="TXH18" s="13"/>
      <c r="TXI18" s="13"/>
      <c r="TXJ18" s="13"/>
      <c r="TXK18" s="13"/>
      <c r="TXL18" s="13"/>
      <c r="TXM18" s="13"/>
      <c r="TXN18" s="13"/>
      <c r="TXO18" s="13"/>
      <c r="TXP18" s="13"/>
      <c r="TXQ18" s="13"/>
      <c r="TXR18" s="13"/>
      <c r="TXS18" s="13"/>
      <c r="TXT18" s="13"/>
      <c r="TXU18" s="13"/>
      <c r="TXV18" s="13"/>
      <c r="TXW18" s="13"/>
      <c r="TXX18" s="13"/>
      <c r="TXY18" s="13"/>
      <c r="TXZ18" s="13"/>
      <c r="TYA18" s="13"/>
      <c r="TYB18" s="13"/>
      <c r="TYC18" s="13"/>
      <c r="TYD18" s="13"/>
      <c r="TYE18" s="13"/>
      <c r="TYF18" s="13"/>
      <c r="TYG18" s="13"/>
      <c r="TYH18" s="13"/>
      <c r="TYI18" s="13"/>
      <c r="TYJ18" s="13"/>
      <c r="TYK18" s="13"/>
      <c r="TYL18" s="13"/>
      <c r="TYM18" s="13"/>
      <c r="TYN18" s="13"/>
      <c r="TYO18" s="13"/>
      <c r="TYP18" s="13"/>
      <c r="TYQ18" s="13"/>
      <c r="TYR18" s="13"/>
      <c r="TYS18" s="13"/>
      <c r="TYT18" s="13"/>
      <c r="TYU18" s="13"/>
      <c r="TYV18" s="13"/>
      <c r="TYW18" s="13"/>
      <c r="TYX18" s="13"/>
      <c r="TYY18" s="13"/>
      <c r="TYZ18" s="13"/>
      <c r="TZA18" s="13"/>
      <c r="TZB18" s="13"/>
      <c r="TZC18" s="13"/>
      <c r="TZD18" s="13"/>
      <c r="TZE18" s="13"/>
      <c r="TZF18" s="13"/>
      <c r="TZG18" s="13"/>
      <c r="TZH18" s="13"/>
      <c r="TZI18" s="13"/>
      <c r="TZJ18" s="13"/>
      <c r="TZK18" s="13"/>
      <c r="TZL18" s="13"/>
      <c r="TZM18" s="13"/>
      <c r="TZN18" s="13"/>
      <c r="TZO18" s="13"/>
      <c r="TZP18" s="13"/>
      <c r="TZQ18" s="13"/>
      <c r="TZR18" s="13"/>
      <c r="TZS18" s="13"/>
      <c r="TZT18" s="13"/>
      <c r="TZU18" s="13"/>
      <c r="TZV18" s="13"/>
      <c r="TZW18" s="13"/>
      <c r="TZX18" s="13"/>
      <c r="TZY18" s="13"/>
      <c r="TZZ18" s="13"/>
      <c r="UAA18" s="13"/>
      <c r="UAB18" s="13"/>
      <c r="UAC18" s="13"/>
      <c r="UAD18" s="13"/>
      <c r="UAE18" s="13"/>
      <c r="UAF18" s="13"/>
      <c r="UAG18" s="13"/>
      <c r="UAH18" s="13"/>
      <c r="UAI18" s="13"/>
      <c r="UAJ18" s="13"/>
      <c r="UAK18" s="13"/>
      <c r="UAL18" s="13"/>
      <c r="UAM18" s="13"/>
      <c r="UAN18" s="13"/>
      <c r="UAO18" s="13"/>
      <c r="UAP18" s="13"/>
      <c r="UAQ18" s="13"/>
      <c r="UAR18" s="13"/>
      <c r="UAS18" s="13"/>
      <c r="UAT18" s="13"/>
      <c r="UAU18" s="13"/>
      <c r="UAV18" s="13"/>
      <c r="UAW18" s="13"/>
      <c r="UAX18" s="13"/>
      <c r="UAY18" s="13"/>
      <c r="UAZ18" s="13"/>
      <c r="UBA18" s="13"/>
      <c r="UBB18" s="13"/>
      <c r="UBC18" s="13"/>
      <c r="UBD18" s="13"/>
      <c r="UBE18" s="13"/>
      <c r="UBF18" s="13"/>
      <c r="UBG18" s="13"/>
      <c r="UBH18" s="13"/>
      <c r="UBI18" s="13"/>
      <c r="UBJ18" s="13"/>
      <c r="UBK18" s="13"/>
      <c r="UBL18" s="13"/>
      <c r="UBM18" s="13"/>
      <c r="UBN18" s="13"/>
      <c r="UBO18" s="13"/>
      <c r="UBP18" s="13"/>
      <c r="UBQ18" s="13"/>
      <c r="UBR18" s="13"/>
      <c r="UBS18" s="13"/>
      <c r="UBT18" s="13"/>
      <c r="UBU18" s="13"/>
      <c r="UBV18" s="13"/>
      <c r="UBW18" s="13"/>
      <c r="UBX18" s="13"/>
      <c r="UBY18" s="13"/>
      <c r="UBZ18" s="13"/>
      <c r="UCA18" s="13"/>
      <c r="UCB18" s="13"/>
      <c r="UCC18" s="13"/>
      <c r="UCD18" s="13"/>
      <c r="UCE18" s="13"/>
      <c r="UCF18" s="13"/>
      <c r="UCG18" s="13"/>
      <c r="UCH18" s="13"/>
      <c r="UCI18" s="13"/>
      <c r="UCJ18" s="13"/>
      <c r="UCK18" s="13"/>
      <c r="UCL18" s="13"/>
      <c r="UCM18" s="13"/>
      <c r="UCN18" s="13"/>
      <c r="UCO18" s="13"/>
      <c r="UCP18" s="13"/>
      <c r="UCQ18" s="13"/>
      <c r="UCR18" s="13"/>
      <c r="UCS18" s="13"/>
      <c r="UCT18" s="13"/>
      <c r="UCU18" s="13"/>
      <c r="UCV18" s="13"/>
      <c r="UCW18" s="13"/>
      <c r="UCX18" s="13"/>
      <c r="UCY18" s="13"/>
      <c r="UCZ18" s="13"/>
      <c r="UDA18" s="13"/>
      <c r="UDB18" s="13"/>
      <c r="UDC18" s="13"/>
      <c r="UDD18" s="13"/>
      <c r="UDE18" s="13"/>
      <c r="UDF18" s="13"/>
      <c r="UDG18" s="13"/>
      <c r="UDH18" s="13"/>
      <c r="UDI18" s="13"/>
      <c r="UDJ18" s="13"/>
      <c r="UDK18" s="13"/>
      <c r="UDL18" s="13"/>
      <c r="UDM18" s="13"/>
      <c r="UDN18" s="13"/>
      <c r="UDO18" s="13"/>
      <c r="UDP18" s="13"/>
      <c r="UDQ18" s="13"/>
      <c r="UDR18" s="13"/>
      <c r="UDS18" s="13"/>
      <c r="UDT18" s="13"/>
      <c r="UDU18" s="13"/>
      <c r="UDV18" s="13"/>
      <c r="UDW18" s="13"/>
      <c r="UDX18" s="13"/>
      <c r="UDY18" s="13"/>
      <c r="UDZ18" s="13"/>
      <c r="UEA18" s="13"/>
      <c r="UEB18" s="13"/>
      <c r="UEC18" s="13"/>
      <c r="UED18" s="13"/>
      <c r="UEE18" s="13"/>
      <c r="UEF18" s="13"/>
      <c r="UEG18" s="13"/>
      <c r="UEH18" s="13"/>
      <c r="UEI18" s="13"/>
      <c r="UEJ18" s="13"/>
      <c r="UEK18" s="13"/>
      <c r="UEL18" s="13"/>
      <c r="UEM18" s="13"/>
      <c r="UEN18" s="13"/>
      <c r="UEO18" s="13"/>
      <c r="UEP18" s="13"/>
      <c r="UEQ18" s="13"/>
      <c r="UER18" s="13"/>
      <c r="UES18" s="13"/>
      <c r="UET18" s="13"/>
      <c r="UEU18" s="13"/>
      <c r="UEV18" s="13"/>
      <c r="UEW18" s="13"/>
      <c r="UEX18" s="13"/>
      <c r="UEY18" s="13"/>
      <c r="UEZ18" s="13"/>
      <c r="UFA18" s="13"/>
      <c r="UFB18" s="13"/>
      <c r="UFC18" s="13"/>
      <c r="UFD18" s="13"/>
      <c r="UFE18" s="13"/>
      <c r="UFF18" s="13"/>
      <c r="UFG18" s="13"/>
      <c r="UFH18" s="13"/>
      <c r="UFI18" s="13"/>
      <c r="UFJ18" s="13"/>
      <c r="UFK18" s="13"/>
      <c r="UFL18" s="13"/>
      <c r="UFM18" s="13"/>
      <c r="UFN18" s="13"/>
      <c r="UFO18" s="13"/>
      <c r="UFP18" s="13"/>
      <c r="UFQ18" s="13"/>
      <c r="UFR18" s="13"/>
      <c r="UFS18" s="13"/>
      <c r="UFT18" s="13"/>
      <c r="UFU18" s="13"/>
      <c r="UFV18" s="13"/>
      <c r="UFW18" s="13"/>
      <c r="UFX18" s="13"/>
      <c r="UFY18" s="13"/>
      <c r="UFZ18" s="13"/>
      <c r="UGA18" s="13"/>
      <c r="UGB18" s="13"/>
      <c r="UGC18" s="13"/>
      <c r="UGD18" s="13"/>
      <c r="UGE18" s="13"/>
      <c r="UGF18" s="13"/>
      <c r="UGG18" s="13"/>
      <c r="UGH18" s="13"/>
      <c r="UGI18" s="13"/>
      <c r="UGJ18" s="13"/>
      <c r="UGK18" s="13"/>
      <c r="UGL18" s="13"/>
      <c r="UGM18" s="13"/>
      <c r="UGN18" s="13"/>
      <c r="UGO18" s="13"/>
      <c r="UGP18" s="13"/>
      <c r="UGQ18" s="13"/>
      <c r="UGR18" s="13"/>
      <c r="UGS18" s="13"/>
      <c r="UGT18" s="13"/>
      <c r="UGU18" s="13"/>
      <c r="UGV18" s="13"/>
      <c r="UGW18" s="13"/>
      <c r="UGX18" s="13"/>
      <c r="UGY18" s="13"/>
      <c r="UGZ18" s="13"/>
      <c r="UHA18" s="13"/>
      <c r="UHB18" s="13"/>
      <c r="UHC18" s="13"/>
      <c r="UHD18" s="13"/>
      <c r="UHE18" s="13"/>
      <c r="UHF18" s="13"/>
      <c r="UHG18" s="13"/>
      <c r="UHH18" s="13"/>
      <c r="UHI18" s="13"/>
      <c r="UHJ18" s="13"/>
      <c r="UHK18" s="13"/>
      <c r="UHL18" s="13"/>
      <c r="UHM18" s="13"/>
      <c r="UHN18" s="13"/>
      <c r="UHO18" s="13"/>
      <c r="UHP18" s="13"/>
      <c r="UHQ18" s="13"/>
      <c r="UHR18" s="13"/>
      <c r="UHS18" s="13"/>
      <c r="UHT18" s="13"/>
      <c r="UHU18" s="13"/>
      <c r="UHV18" s="13"/>
      <c r="UHW18" s="13"/>
      <c r="UHX18" s="13"/>
      <c r="UHY18" s="13"/>
      <c r="UHZ18" s="13"/>
      <c r="UIA18" s="13"/>
      <c r="UIB18" s="13"/>
      <c r="UIC18" s="13"/>
      <c r="UID18" s="13"/>
      <c r="UIE18" s="13"/>
      <c r="UIF18" s="13"/>
      <c r="UIG18" s="13"/>
      <c r="UIH18" s="13"/>
      <c r="UII18" s="13"/>
      <c r="UIJ18" s="13"/>
      <c r="UIK18" s="13"/>
      <c r="UIL18" s="13"/>
      <c r="UIM18" s="13"/>
      <c r="UIN18" s="13"/>
      <c r="UIO18" s="13"/>
      <c r="UIP18" s="13"/>
      <c r="UIQ18" s="13"/>
      <c r="UIR18" s="13"/>
      <c r="UIS18" s="13"/>
      <c r="UIT18" s="13"/>
      <c r="UIU18" s="13"/>
      <c r="UIV18" s="13"/>
      <c r="UIW18" s="13"/>
      <c r="UIX18" s="13"/>
      <c r="UIY18" s="13"/>
      <c r="UIZ18" s="13"/>
      <c r="UJA18" s="13"/>
      <c r="UJB18" s="13"/>
      <c r="UJC18" s="13"/>
      <c r="UJD18" s="13"/>
      <c r="UJE18" s="13"/>
      <c r="UJF18" s="13"/>
      <c r="UJG18" s="13"/>
      <c r="UJH18" s="13"/>
      <c r="UJI18" s="13"/>
      <c r="UJJ18" s="13"/>
      <c r="UJK18" s="13"/>
      <c r="UJL18" s="13"/>
      <c r="UJM18" s="13"/>
      <c r="UJN18" s="13"/>
      <c r="UJO18" s="13"/>
      <c r="UJP18" s="13"/>
      <c r="UJQ18" s="13"/>
      <c r="UJR18" s="13"/>
      <c r="UJS18" s="13"/>
      <c r="UJT18" s="13"/>
      <c r="UJU18" s="13"/>
      <c r="UJV18" s="13"/>
      <c r="UJW18" s="13"/>
      <c r="UJX18" s="13"/>
      <c r="UJY18" s="13"/>
      <c r="UJZ18" s="13"/>
      <c r="UKA18" s="13"/>
      <c r="UKB18" s="13"/>
      <c r="UKC18" s="13"/>
      <c r="UKD18" s="13"/>
      <c r="UKE18" s="13"/>
      <c r="UKF18" s="13"/>
      <c r="UKG18" s="13"/>
      <c r="UKH18" s="13"/>
      <c r="UKI18" s="13"/>
      <c r="UKJ18" s="13"/>
      <c r="UKK18" s="13"/>
      <c r="UKL18" s="13"/>
      <c r="UKM18" s="13"/>
      <c r="UKN18" s="13"/>
      <c r="UKO18" s="13"/>
      <c r="UKP18" s="13"/>
      <c r="UKQ18" s="13"/>
      <c r="UKR18" s="13"/>
      <c r="UKS18" s="13"/>
      <c r="UKT18" s="13"/>
      <c r="UKU18" s="13"/>
      <c r="UKV18" s="13"/>
      <c r="UKW18" s="13"/>
      <c r="UKX18" s="13"/>
      <c r="UKY18" s="13"/>
      <c r="UKZ18" s="13"/>
      <c r="ULA18" s="13"/>
      <c r="ULB18" s="13"/>
      <c r="ULC18" s="13"/>
      <c r="ULD18" s="13"/>
      <c r="ULE18" s="13"/>
      <c r="ULF18" s="13"/>
      <c r="ULG18" s="13"/>
      <c r="ULH18" s="13"/>
      <c r="ULI18" s="13"/>
      <c r="ULJ18" s="13"/>
      <c r="ULK18" s="13"/>
      <c r="ULL18" s="13"/>
      <c r="ULM18" s="13"/>
      <c r="ULN18" s="13"/>
      <c r="ULO18" s="13"/>
      <c r="ULP18" s="13"/>
      <c r="ULQ18" s="13"/>
      <c r="ULR18" s="13"/>
      <c r="ULS18" s="13"/>
      <c r="ULT18" s="13"/>
      <c r="ULU18" s="13"/>
      <c r="ULV18" s="13"/>
      <c r="ULW18" s="13"/>
      <c r="ULX18" s="13"/>
      <c r="ULY18" s="13"/>
      <c r="ULZ18" s="13"/>
      <c r="UMA18" s="13"/>
      <c r="UMB18" s="13"/>
      <c r="UMC18" s="13"/>
      <c r="UMD18" s="13"/>
      <c r="UME18" s="13"/>
      <c r="UMF18" s="13"/>
      <c r="UMG18" s="13"/>
      <c r="UMH18" s="13"/>
      <c r="UMI18" s="13"/>
      <c r="UMJ18" s="13"/>
      <c r="UMK18" s="13"/>
      <c r="UML18" s="13"/>
      <c r="UMM18" s="13"/>
      <c r="UMN18" s="13"/>
      <c r="UMO18" s="13"/>
      <c r="UMP18" s="13"/>
      <c r="UMQ18" s="13"/>
      <c r="UMR18" s="13"/>
      <c r="UMS18" s="13"/>
      <c r="UMT18" s="13"/>
      <c r="UMU18" s="13"/>
      <c r="UMV18" s="13"/>
      <c r="UMW18" s="13"/>
      <c r="UMX18" s="13"/>
      <c r="UMY18" s="13"/>
      <c r="UMZ18" s="13"/>
      <c r="UNA18" s="13"/>
      <c r="UNB18" s="13"/>
      <c r="UNC18" s="13"/>
      <c r="UND18" s="13"/>
      <c r="UNE18" s="13"/>
      <c r="UNF18" s="13"/>
      <c r="UNG18" s="13"/>
      <c r="UNH18" s="13"/>
      <c r="UNI18" s="13"/>
      <c r="UNJ18" s="13"/>
      <c r="UNK18" s="13"/>
      <c r="UNL18" s="13"/>
      <c r="UNM18" s="13"/>
      <c r="UNN18" s="13"/>
      <c r="UNO18" s="13"/>
      <c r="UNP18" s="13"/>
      <c r="UNQ18" s="13"/>
      <c r="UNR18" s="13"/>
      <c r="UNS18" s="13"/>
      <c r="UNT18" s="13"/>
      <c r="UNU18" s="13"/>
      <c r="UNV18" s="13"/>
      <c r="UNW18" s="13"/>
      <c r="UNX18" s="13"/>
      <c r="UNY18" s="13"/>
      <c r="UNZ18" s="13"/>
      <c r="UOA18" s="13"/>
      <c r="UOB18" s="13"/>
      <c r="UOC18" s="13"/>
      <c r="UOD18" s="13"/>
      <c r="UOE18" s="13"/>
      <c r="UOF18" s="13"/>
      <c r="UOG18" s="13"/>
      <c r="UOH18" s="13"/>
      <c r="UOI18" s="13"/>
      <c r="UOJ18" s="13"/>
      <c r="UOK18" s="13"/>
      <c r="UOL18" s="13"/>
      <c r="UOM18" s="13"/>
      <c r="UON18" s="13"/>
      <c r="UOO18" s="13"/>
      <c r="UOP18" s="13"/>
      <c r="UOQ18" s="13"/>
      <c r="UOR18" s="13"/>
      <c r="UOS18" s="13"/>
      <c r="UOT18" s="13"/>
      <c r="UOU18" s="13"/>
      <c r="UOV18" s="13"/>
      <c r="UOW18" s="13"/>
      <c r="UOX18" s="13"/>
      <c r="UOY18" s="13"/>
      <c r="UOZ18" s="13"/>
      <c r="UPA18" s="13"/>
      <c r="UPB18" s="13"/>
      <c r="UPC18" s="13"/>
      <c r="UPD18" s="13"/>
      <c r="UPE18" s="13"/>
      <c r="UPF18" s="13"/>
      <c r="UPG18" s="13"/>
      <c r="UPH18" s="13"/>
      <c r="UPI18" s="13"/>
      <c r="UPJ18" s="13"/>
      <c r="UPK18" s="13"/>
      <c r="UPL18" s="13"/>
      <c r="UPM18" s="13"/>
      <c r="UPN18" s="13"/>
      <c r="UPO18" s="13"/>
      <c r="UPP18" s="13"/>
      <c r="UPQ18" s="13"/>
      <c r="UPR18" s="13"/>
      <c r="UPS18" s="13"/>
      <c r="UPT18" s="13"/>
      <c r="UPU18" s="13"/>
      <c r="UPV18" s="13"/>
      <c r="UPW18" s="13"/>
      <c r="UPX18" s="13"/>
      <c r="UPY18" s="13"/>
      <c r="UPZ18" s="13"/>
      <c r="UQA18" s="13"/>
      <c r="UQB18" s="13"/>
      <c r="UQC18" s="13"/>
      <c r="UQD18" s="13"/>
      <c r="UQE18" s="13"/>
      <c r="UQF18" s="13"/>
      <c r="UQG18" s="13"/>
      <c r="UQH18" s="13"/>
      <c r="UQI18" s="13"/>
      <c r="UQJ18" s="13"/>
      <c r="UQK18" s="13"/>
      <c r="UQL18" s="13"/>
      <c r="UQM18" s="13"/>
      <c r="UQN18" s="13"/>
      <c r="UQO18" s="13"/>
      <c r="UQP18" s="13"/>
      <c r="UQQ18" s="13"/>
      <c r="UQR18" s="13"/>
      <c r="UQS18" s="13"/>
      <c r="UQT18" s="13"/>
      <c r="UQU18" s="13"/>
      <c r="UQV18" s="13"/>
      <c r="UQW18" s="13"/>
      <c r="UQX18" s="13"/>
      <c r="UQY18" s="13"/>
      <c r="UQZ18" s="13"/>
      <c r="URA18" s="13"/>
      <c r="URB18" s="13"/>
      <c r="URC18" s="13"/>
      <c r="URD18" s="13"/>
      <c r="URE18" s="13"/>
      <c r="URF18" s="13"/>
      <c r="URG18" s="13"/>
      <c r="URH18" s="13"/>
      <c r="URI18" s="13"/>
      <c r="URJ18" s="13"/>
      <c r="URK18" s="13"/>
      <c r="URL18" s="13"/>
      <c r="URM18" s="13"/>
      <c r="URN18" s="13"/>
      <c r="URO18" s="13"/>
      <c r="URP18" s="13"/>
      <c r="URQ18" s="13"/>
      <c r="URR18" s="13"/>
      <c r="URS18" s="13"/>
      <c r="URT18" s="13"/>
      <c r="URU18" s="13"/>
      <c r="URV18" s="13"/>
      <c r="URW18" s="13"/>
      <c r="URX18" s="13"/>
      <c r="URY18" s="13"/>
      <c r="URZ18" s="13"/>
      <c r="USA18" s="13"/>
      <c r="USB18" s="13"/>
      <c r="USC18" s="13"/>
      <c r="USD18" s="13"/>
      <c r="USE18" s="13"/>
      <c r="USF18" s="13"/>
      <c r="USG18" s="13"/>
      <c r="USH18" s="13"/>
      <c r="USI18" s="13"/>
      <c r="USJ18" s="13"/>
      <c r="USK18" s="13"/>
      <c r="USL18" s="13"/>
      <c r="USM18" s="13"/>
      <c r="USN18" s="13"/>
      <c r="USO18" s="13"/>
      <c r="USP18" s="13"/>
      <c r="USQ18" s="13"/>
      <c r="USR18" s="13"/>
      <c r="USS18" s="13"/>
      <c r="UST18" s="13"/>
      <c r="USU18" s="13"/>
      <c r="USV18" s="13"/>
      <c r="USW18" s="13"/>
      <c r="USX18" s="13"/>
      <c r="USY18" s="13"/>
      <c r="USZ18" s="13"/>
      <c r="UTA18" s="13"/>
      <c r="UTB18" s="13"/>
      <c r="UTC18" s="13"/>
      <c r="UTD18" s="13"/>
      <c r="UTE18" s="13"/>
      <c r="UTF18" s="13"/>
      <c r="UTG18" s="13"/>
      <c r="UTH18" s="13"/>
      <c r="UTI18" s="13"/>
      <c r="UTJ18" s="13"/>
      <c r="UTK18" s="13"/>
      <c r="UTL18" s="13"/>
      <c r="UTM18" s="13"/>
      <c r="UTN18" s="13"/>
      <c r="UTO18" s="13"/>
      <c r="UTP18" s="13"/>
      <c r="UTQ18" s="13"/>
      <c r="UTR18" s="13"/>
      <c r="UTS18" s="13"/>
      <c r="UTT18" s="13"/>
      <c r="UTU18" s="13"/>
      <c r="UTV18" s="13"/>
      <c r="UTW18" s="13"/>
      <c r="UTX18" s="13"/>
      <c r="UTY18" s="13"/>
      <c r="UTZ18" s="13"/>
      <c r="UUA18" s="13"/>
      <c r="UUB18" s="13"/>
      <c r="UUC18" s="13"/>
      <c r="UUD18" s="13"/>
      <c r="UUE18" s="13"/>
      <c r="UUF18" s="13"/>
      <c r="UUG18" s="13"/>
      <c r="UUH18" s="13"/>
      <c r="UUI18" s="13"/>
      <c r="UUJ18" s="13"/>
      <c r="UUK18" s="13"/>
      <c r="UUL18" s="13"/>
      <c r="UUM18" s="13"/>
      <c r="UUN18" s="13"/>
      <c r="UUO18" s="13"/>
      <c r="UUP18" s="13"/>
      <c r="UUQ18" s="13"/>
      <c r="UUR18" s="13"/>
      <c r="UUS18" s="13"/>
      <c r="UUT18" s="13"/>
      <c r="UUU18" s="13"/>
      <c r="UUV18" s="13"/>
      <c r="UUW18" s="13"/>
      <c r="UUX18" s="13"/>
      <c r="UUY18" s="13"/>
      <c r="UUZ18" s="13"/>
      <c r="UVA18" s="13"/>
      <c r="UVB18" s="13"/>
      <c r="UVC18" s="13"/>
      <c r="UVD18" s="13"/>
      <c r="UVE18" s="13"/>
      <c r="UVF18" s="13"/>
      <c r="UVG18" s="13"/>
      <c r="UVH18" s="13"/>
      <c r="UVI18" s="13"/>
      <c r="UVJ18" s="13"/>
      <c r="UVK18" s="13"/>
      <c r="UVL18" s="13"/>
      <c r="UVM18" s="13"/>
      <c r="UVN18" s="13"/>
      <c r="UVO18" s="13"/>
      <c r="UVP18" s="13"/>
      <c r="UVQ18" s="13"/>
      <c r="UVR18" s="13"/>
      <c r="UVS18" s="13"/>
      <c r="UVT18" s="13"/>
      <c r="UVU18" s="13"/>
      <c r="UVV18" s="13"/>
      <c r="UVW18" s="13"/>
      <c r="UVX18" s="13"/>
      <c r="UVY18" s="13"/>
      <c r="UVZ18" s="13"/>
      <c r="UWA18" s="13"/>
      <c r="UWB18" s="13"/>
      <c r="UWC18" s="13"/>
      <c r="UWD18" s="13"/>
      <c r="UWE18" s="13"/>
      <c r="UWF18" s="13"/>
      <c r="UWG18" s="13"/>
      <c r="UWH18" s="13"/>
      <c r="UWI18" s="13"/>
      <c r="UWJ18" s="13"/>
      <c r="UWK18" s="13"/>
      <c r="UWL18" s="13"/>
      <c r="UWM18" s="13"/>
      <c r="UWN18" s="13"/>
      <c r="UWO18" s="13"/>
      <c r="UWP18" s="13"/>
      <c r="UWQ18" s="13"/>
      <c r="UWR18" s="13"/>
      <c r="UWS18" s="13"/>
      <c r="UWT18" s="13"/>
      <c r="UWU18" s="13"/>
      <c r="UWV18" s="13"/>
      <c r="UWW18" s="13"/>
      <c r="UWX18" s="13"/>
      <c r="UWY18" s="13"/>
      <c r="UWZ18" s="13"/>
      <c r="UXA18" s="13"/>
      <c r="UXB18" s="13"/>
      <c r="UXC18" s="13"/>
      <c r="UXD18" s="13"/>
      <c r="UXE18" s="13"/>
      <c r="UXF18" s="13"/>
      <c r="UXG18" s="13"/>
      <c r="UXH18" s="13"/>
      <c r="UXI18" s="13"/>
      <c r="UXJ18" s="13"/>
      <c r="UXK18" s="13"/>
      <c r="UXL18" s="13"/>
      <c r="UXM18" s="13"/>
      <c r="UXN18" s="13"/>
      <c r="UXO18" s="13"/>
      <c r="UXP18" s="13"/>
      <c r="UXQ18" s="13"/>
      <c r="UXR18" s="13"/>
      <c r="UXS18" s="13"/>
      <c r="UXT18" s="13"/>
      <c r="UXU18" s="13"/>
      <c r="UXV18" s="13"/>
      <c r="UXW18" s="13"/>
      <c r="UXX18" s="13"/>
      <c r="UXY18" s="13"/>
      <c r="UXZ18" s="13"/>
      <c r="UYA18" s="13"/>
      <c r="UYB18" s="13"/>
      <c r="UYC18" s="13"/>
      <c r="UYD18" s="13"/>
      <c r="UYE18" s="13"/>
      <c r="UYF18" s="13"/>
      <c r="UYG18" s="13"/>
      <c r="UYH18" s="13"/>
      <c r="UYI18" s="13"/>
      <c r="UYJ18" s="13"/>
      <c r="UYK18" s="13"/>
      <c r="UYL18" s="13"/>
      <c r="UYM18" s="13"/>
      <c r="UYN18" s="13"/>
      <c r="UYO18" s="13"/>
      <c r="UYP18" s="13"/>
      <c r="UYQ18" s="13"/>
      <c r="UYR18" s="13"/>
      <c r="UYS18" s="13"/>
      <c r="UYT18" s="13"/>
      <c r="UYU18" s="13"/>
      <c r="UYV18" s="13"/>
      <c r="UYW18" s="13"/>
      <c r="UYX18" s="13"/>
      <c r="UYY18" s="13"/>
      <c r="UYZ18" s="13"/>
      <c r="UZA18" s="13"/>
      <c r="UZB18" s="13"/>
      <c r="UZC18" s="13"/>
      <c r="UZD18" s="13"/>
      <c r="UZE18" s="13"/>
      <c r="UZF18" s="13"/>
      <c r="UZG18" s="13"/>
      <c r="UZH18" s="13"/>
      <c r="UZI18" s="13"/>
      <c r="UZJ18" s="13"/>
      <c r="UZK18" s="13"/>
      <c r="UZL18" s="13"/>
      <c r="UZM18" s="13"/>
      <c r="UZN18" s="13"/>
      <c r="UZO18" s="13"/>
      <c r="UZP18" s="13"/>
      <c r="UZQ18" s="13"/>
      <c r="UZR18" s="13"/>
      <c r="UZS18" s="13"/>
      <c r="UZT18" s="13"/>
      <c r="UZU18" s="13"/>
      <c r="UZV18" s="13"/>
      <c r="UZW18" s="13"/>
      <c r="UZX18" s="13"/>
      <c r="UZY18" s="13"/>
      <c r="UZZ18" s="13"/>
      <c r="VAA18" s="13"/>
      <c r="VAB18" s="13"/>
      <c r="VAC18" s="13"/>
      <c r="VAD18" s="13"/>
      <c r="VAE18" s="13"/>
      <c r="VAF18" s="13"/>
      <c r="VAG18" s="13"/>
      <c r="VAH18" s="13"/>
      <c r="VAI18" s="13"/>
      <c r="VAJ18" s="13"/>
      <c r="VAK18" s="13"/>
      <c r="VAL18" s="13"/>
      <c r="VAM18" s="13"/>
      <c r="VAN18" s="13"/>
      <c r="VAO18" s="13"/>
      <c r="VAP18" s="13"/>
      <c r="VAQ18" s="13"/>
      <c r="VAR18" s="13"/>
      <c r="VAS18" s="13"/>
      <c r="VAT18" s="13"/>
      <c r="VAU18" s="13"/>
      <c r="VAV18" s="13"/>
      <c r="VAW18" s="13"/>
      <c r="VAX18" s="13"/>
      <c r="VAY18" s="13"/>
      <c r="VAZ18" s="13"/>
      <c r="VBA18" s="13"/>
      <c r="VBB18" s="13"/>
      <c r="VBC18" s="13"/>
      <c r="VBD18" s="13"/>
      <c r="VBE18" s="13"/>
      <c r="VBF18" s="13"/>
      <c r="VBG18" s="13"/>
      <c r="VBH18" s="13"/>
      <c r="VBI18" s="13"/>
      <c r="VBJ18" s="13"/>
      <c r="VBK18" s="13"/>
      <c r="VBL18" s="13"/>
      <c r="VBM18" s="13"/>
      <c r="VBN18" s="13"/>
      <c r="VBO18" s="13"/>
      <c r="VBP18" s="13"/>
      <c r="VBQ18" s="13"/>
      <c r="VBR18" s="13"/>
      <c r="VBS18" s="13"/>
      <c r="VBT18" s="13"/>
      <c r="VBU18" s="13"/>
      <c r="VBV18" s="13"/>
      <c r="VBW18" s="13"/>
      <c r="VBX18" s="13"/>
      <c r="VBY18" s="13"/>
      <c r="VBZ18" s="13"/>
      <c r="VCA18" s="13"/>
      <c r="VCB18" s="13"/>
      <c r="VCC18" s="13"/>
      <c r="VCD18" s="13"/>
      <c r="VCE18" s="13"/>
      <c r="VCF18" s="13"/>
      <c r="VCG18" s="13"/>
      <c r="VCH18" s="13"/>
      <c r="VCI18" s="13"/>
      <c r="VCJ18" s="13"/>
      <c r="VCK18" s="13"/>
      <c r="VCL18" s="13"/>
      <c r="VCM18" s="13"/>
      <c r="VCN18" s="13"/>
      <c r="VCO18" s="13"/>
      <c r="VCP18" s="13"/>
      <c r="VCQ18" s="13"/>
      <c r="VCR18" s="13"/>
      <c r="VCS18" s="13"/>
      <c r="VCT18" s="13"/>
      <c r="VCU18" s="13"/>
      <c r="VCV18" s="13"/>
      <c r="VCW18" s="13"/>
      <c r="VCX18" s="13"/>
      <c r="VCY18" s="13"/>
      <c r="VCZ18" s="13"/>
      <c r="VDA18" s="13"/>
      <c r="VDB18" s="13"/>
      <c r="VDC18" s="13"/>
      <c r="VDD18" s="13"/>
      <c r="VDE18" s="13"/>
      <c r="VDF18" s="13"/>
      <c r="VDG18" s="13"/>
      <c r="VDH18" s="13"/>
      <c r="VDI18" s="13"/>
      <c r="VDJ18" s="13"/>
      <c r="VDK18" s="13"/>
      <c r="VDL18" s="13"/>
      <c r="VDM18" s="13"/>
      <c r="VDN18" s="13"/>
      <c r="VDO18" s="13"/>
      <c r="VDP18" s="13"/>
      <c r="VDQ18" s="13"/>
      <c r="VDR18" s="13"/>
      <c r="VDS18" s="13"/>
      <c r="VDT18" s="13"/>
      <c r="VDU18" s="13"/>
      <c r="VDV18" s="13"/>
      <c r="VDW18" s="13"/>
      <c r="VDX18" s="13"/>
      <c r="VDY18" s="13"/>
      <c r="VDZ18" s="13"/>
      <c r="VEA18" s="13"/>
      <c r="VEB18" s="13"/>
      <c r="VEC18" s="13"/>
      <c r="VED18" s="13"/>
      <c r="VEE18" s="13"/>
      <c r="VEF18" s="13"/>
      <c r="VEG18" s="13"/>
      <c r="VEH18" s="13"/>
      <c r="VEI18" s="13"/>
      <c r="VEJ18" s="13"/>
      <c r="VEK18" s="13"/>
      <c r="VEL18" s="13"/>
      <c r="VEM18" s="13"/>
      <c r="VEN18" s="13"/>
      <c r="VEO18" s="13"/>
      <c r="VEP18" s="13"/>
      <c r="VEQ18" s="13"/>
      <c r="VER18" s="13"/>
      <c r="VES18" s="13"/>
      <c r="VET18" s="13"/>
      <c r="VEU18" s="13"/>
      <c r="VEV18" s="13"/>
      <c r="VEW18" s="13"/>
      <c r="VEX18" s="13"/>
      <c r="VEY18" s="13"/>
      <c r="VEZ18" s="13"/>
      <c r="VFA18" s="13"/>
      <c r="VFB18" s="13"/>
      <c r="VFC18" s="13"/>
      <c r="VFD18" s="13"/>
      <c r="VFE18" s="13"/>
      <c r="VFF18" s="13"/>
      <c r="VFG18" s="13"/>
      <c r="VFH18" s="13"/>
      <c r="VFI18" s="13"/>
      <c r="VFJ18" s="13"/>
      <c r="VFK18" s="13"/>
      <c r="VFL18" s="13"/>
      <c r="VFM18" s="13"/>
      <c r="VFN18" s="13"/>
      <c r="VFO18" s="13"/>
      <c r="VFP18" s="13"/>
      <c r="VFQ18" s="13"/>
      <c r="VFR18" s="13"/>
      <c r="VFS18" s="13"/>
      <c r="VFT18" s="13"/>
      <c r="VFU18" s="13"/>
      <c r="VFV18" s="13"/>
      <c r="VFW18" s="13"/>
      <c r="VFX18" s="13"/>
      <c r="VFY18" s="13"/>
      <c r="VFZ18" s="13"/>
      <c r="VGA18" s="13"/>
      <c r="VGB18" s="13"/>
      <c r="VGC18" s="13"/>
      <c r="VGD18" s="13"/>
      <c r="VGE18" s="13"/>
      <c r="VGF18" s="13"/>
      <c r="VGG18" s="13"/>
      <c r="VGH18" s="13"/>
      <c r="VGI18" s="13"/>
      <c r="VGJ18" s="13"/>
      <c r="VGK18" s="13"/>
      <c r="VGL18" s="13"/>
      <c r="VGM18" s="13"/>
      <c r="VGN18" s="13"/>
      <c r="VGO18" s="13"/>
      <c r="VGP18" s="13"/>
      <c r="VGQ18" s="13"/>
      <c r="VGR18" s="13"/>
      <c r="VGS18" s="13"/>
      <c r="VGT18" s="13"/>
      <c r="VGU18" s="13"/>
      <c r="VGV18" s="13"/>
      <c r="VGW18" s="13"/>
      <c r="VGX18" s="13"/>
      <c r="VGY18" s="13"/>
      <c r="VGZ18" s="13"/>
      <c r="VHA18" s="13"/>
      <c r="VHB18" s="13"/>
      <c r="VHC18" s="13"/>
      <c r="VHD18" s="13"/>
      <c r="VHE18" s="13"/>
      <c r="VHF18" s="13"/>
      <c r="VHG18" s="13"/>
      <c r="VHH18" s="13"/>
      <c r="VHI18" s="13"/>
      <c r="VHJ18" s="13"/>
      <c r="VHK18" s="13"/>
      <c r="VHL18" s="13"/>
      <c r="VHM18" s="13"/>
      <c r="VHN18" s="13"/>
      <c r="VHO18" s="13"/>
      <c r="VHP18" s="13"/>
      <c r="VHQ18" s="13"/>
      <c r="VHR18" s="13"/>
      <c r="VHS18" s="13"/>
      <c r="VHT18" s="13"/>
      <c r="VHU18" s="13"/>
      <c r="VHV18" s="13"/>
      <c r="VHW18" s="13"/>
      <c r="VHX18" s="13"/>
      <c r="VHY18" s="13"/>
      <c r="VHZ18" s="13"/>
      <c r="VIA18" s="13"/>
      <c r="VIB18" s="13"/>
      <c r="VIC18" s="13"/>
      <c r="VID18" s="13"/>
      <c r="VIE18" s="13"/>
      <c r="VIF18" s="13"/>
      <c r="VIG18" s="13"/>
      <c r="VIH18" s="13"/>
      <c r="VII18" s="13"/>
      <c r="VIJ18" s="13"/>
      <c r="VIK18" s="13"/>
      <c r="VIL18" s="13"/>
      <c r="VIM18" s="13"/>
      <c r="VIN18" s="13"/>
      <c r="VIO18" s="13"/>
      <c r="VIP18" s="13"/>
      <c r="VIQ18" s="13"/>
      <c r="VIR18" s="13"/>
      <c r="VIS18" s="13"/>
      <c r="VIT18" s="13"/>
      <c r="VIU18" s="13"/>
      <c r="VIV18" s="13"/>
      <c r="VIW18" s="13"/>
      <c r="VIX18" s="13"/>
      <c r="VIY18" s="13"/>
      <c r="VIZ18" s="13"/>
      <c r="VJA18" s="13"/>
      <c r="VJB18" s="13"/>
      <c r="VJC18" s="13"/>
      <c r="VJD18" s="13"/>
      <c r="VJE18" s="13"/>
      <c r="VJF18" s="13"/>
      <c r="VJG18" s="13"/>
      <c r="VJH18" s="13"/>
      <c r="VJI18" s="13"/>
      <c r="VJJ18" s="13"/>
      <c r="VJK18" s="13"/>
      <c r="VJL18" s="13"/>
      <c r="VJM18" s="13"/>
      <c r="VJN18" s="13"/>
      <c r="VJO18" s="13"/>
      <c r="VJP18" s="13"/>
      <c r="VJQ18" s="13"/>
      <c r="VJR18" s="13"/>
      <c r="VJS18" s="13"/>
      <c r="VJT18" s="13"/>
      <c r="VJU18" s="13"/>
      <c r="VJV18" s="13"/>
      <c r="VJW18" s="13"/>
      <c r="VJX18" s="13"/>
      <c r="VJY18" s="13"/>
      <c r="VJZ18" s="13"/>
      <c r="VKA18" s="13"/>
      <c r="VKB18" s="13"/>
      <c r="VKC18" s="13"/>
      <c r="VKD18" s="13"/>
      <c r="VKE18" s="13"/>
      <c r="VKF18" s="13"/>
      <c r="VKG18" s="13"/>
      <c r="VKH18" s="13"/>
      <c r="VKI18" s="13"/>
      <c r="VKJ18" s="13"/>
      <c r="VKK18" s="13"/>
      <c r="VKL18" s="13"/>
      <c r="VKM18" s="13"/>
      <c r="VKN18" s="13"/>
      <c r="VKO18" s="13"/>
      <c r="VKP18" s="13"/>
      <c r="VKQ18" s="13"/>
      <c r="VKR18" s="13"/>
      <c r="VKS18" s="13"/>
      <c r="VKT18" s="13"/>
      <c r="VKU18" s="13"/>
      <c r="VKV18" s="13"/>
      <c r="VKW18" s="13"/>
      <c r="VKX18" s="13"/>
      <c r="VKY18" s="13"/>
      <c r="VKZ18" s="13"/>
      <c r="VLA18" s="13"/>
      <c r="VLB18" s="13"/>
      <c r="VLC18" s="13"/>
      <c r="VLD18" s="13"/>
      <c r="VLE18" s="13"/>
      <c r="VLF18" s="13"/>
      <c r="VLG18" s="13"/>
      <c r="VLH18" s="13"/>
      <c r="VLI18" s="13"/>
      <c r="VLJ18" s="13"/>
      <c r="VLK18" s="13"/>
      <c r="VLL18" s="13"/>
      <c r="VLM18" s="13"/>
      <c r="VLN18" s="13"/>
      <c r="VLO18" s="13"/>
      <c r="VLP18" s="13"/>
      <c r="VLQ18" s="13"/>
      <c r="VLR18" s="13"/>
      <c r="VLS18" s="13"/>
      <c r="VLT18" s="13"/>
      <c r="VLU18" s="13"/>
      <c r="VLV18" s="13"/>
      <c r="VLW18" s="13"/>
      <c r="VLX18" s="13"/>
      <c r="VLY18" s="13"/>
      <c r="VLZ18" s="13"/>
      <c r="VMA18" s="13"/>
      <c r="VMB18" s="13"/>
      <c r="VMC18" s="13"/>
      <c r="VMD18" s="13"/>
      <c r="VME18" s="13"/>
      <c r="VMF18" s="13"/>
      <c r="VMG18" s="13"/>
      <c r="VMH18" s="13"/>
      <c r="VMI18" s="13"/>
      <c r="VMJ18" s="13"/>
      <c r="VMK18" s="13"/>
      <c r="VML18" s="13"/>
      <c r="VMM18" s="13"/>
      <c r="VMN18" s="13"/>
      <c r="VMO18" s="13"/>
      <c r="VMP18" s="13"/>
      <c r="VMQ18" s="13"/>
      <c r="VMR18" s="13"/>
      <c r="VMS18" s="13"/>
      <c r="VMT18" s="13"/>
      <c r="VMU18" s="13"/>
      <c r="VMV18" s="13"/>
      <c r="VMW18" s="13"/>
      <c r="VMX18" s="13"/>
      <c r="VMY18" s="13"/>
      <c r="VMZ18" s="13"/>
      <c r="VNA18" s="13"/>
      <c r="VNB18" s="13"/>
      <c r="VNC18" s="13"/>
      <c r="VND18" s="13"/>
      <c r="VNE18" s="13"/>
      <c r="VNF18" s="13"/>
      <c r="VNG18" s="13"/>
      <c r="VNH18" s="13"/>
      <c r="VNI18" s="13"/>
      <c r="VNJ18" s="13"/>
      <c r="VNK18" s="13"/>
      <c r="VNL18" s="13"/>
      <c r="VNM18" s="13"/>
      <c r="VNN18" s="13"/>
      <c r="VNO18" s="13"/>
      <c r="VNP18" s="13"/>
      <c r="VNQ18" s="13"/>
      <c r="VNR18" s="13"/>
      <c r="VNS18" s="13"/>
      <c r="VNT18" s="13"/>
      <c r="VNU18" s="13"/>
      <c r="VNV18" s="13"/>
      <c r="VNW18" s="13"/>
      <c r="VNX18" s="13"/>
      <c r="VNY18" s="13"/>
      <c r="VNZ18" s="13"/>
      <c r="VOA18" s="13"/>
      <c r="VOB18" s="13"/>
      <c r="VOC18" s="13"/>
      <c r="VOD18" s="13"/>
      <c r="VOE18" s="13"/>
      <c r="VOF18" s="13"/>
      <c r="VOG18" s="13"/>
      <c r="VOH18" s="13"/>
      <c r="VOI18" s="13"/>
      <c r="VOJ18" s="13"/>
      <c r="VOK18" s="13"/>
      <c r="VOL18" s="13"/>
      <c r="VOM18" s="13"/>
      <c r="VON18" s="13"/>
      <c r="VOO18" s="13"/>
      <c r="VOP18" s="13"/>
      <c r="VOQ18" s="13"/>
      <c r="VOR18" s="13"/>
      <c r="VOS18" s="13"/>
      <c r="VOT18" s="13"/>
      <c r="VOU18" s="13"/>
      <c r="VOV18" s="13"/>
      <c r="VOW18" s="13"/>
      <c r="VOX18" s="13"/>
      <c r="VOY18" s="13"/>
      <c r="VOZ18" s="13"/>
      <c r="VPA18" s="13"/>
      <c r="VPB18" s="13"/>
      <c r="VPC18" s="13"/>
      <c r="VPD18" s="13"/>
      <c r="VPE18" s="13"/>
      <c r="VPF18" s="13"/>
      <c r="VPG18" s="13"/>
      <c r="VPH18" s="13"/>
      <c r="VPI18" s="13"/>
      <c r="VPJ18" s="13"/>
      <c r="VPK18" s="13"/>
      <c r="VPL18" s="13"/>
      <c r="VPM18" s="13"/>
      <c r="VPN18" s="13"/>
      <c r="VPO18" s="13"/>
      <c r="VPP18" s="13"/>
      <c r="VPQ18" s="13"/>
      <c r="VPR18" s="13"/>
      <c r="VPS18" s="13"/>
      <c r="VPT18" s="13"/>
      <c r="VPU18" s="13"/>
      <c r="VPV18" s="13"/>
      <c r="VPW18" s="13"/>
      <c r="VPX18" s="13"/>
      <c r="VPY18" s="13"/>
      <c r="VPZ18" s="13"/>
      <c r="VQA18" s="13"/>
      <c r="VQB18" s="13"/>
      <c r="VQC18" s="13"/>
      <c r="VQD18" s="13"/>
      <c r="VQE18" s="13"/>
      <c r="VQF18" s="13"/>
      <c r="VQG18" s="13"/>
      <c r="VQH18" s="13"/>
      <c r="VQI18" s="13"/>
      <c r="VQJ18" s="13"/>
      <c r="VQK18" s="13"/>
      <c r="VQL18" s="13"/>
      <c r="VQM18" s="13"/>
      <c r="VQN18" s="13"/>
      <c r="VQO18" s="13"/>
      <c r="VQP18" s="13"/>
      <c r="VQQ18" s="13"/>
      <c r="VQR18" s="13"/>
      <c r="VQS18" s="13"/>
      <c r="VQT18" s="13"/>
      <c r="VQU18" s="13"/>
      <c r="VQV18" s="13"/>
      <c r="VQW18" s="13"/>
      <c r="VQX18" s="13"/>
      <c r="VQY18" s="13"/>
      <c r="VQZ18" s="13"/>
      <c r="VRA18" s="13"/>
      <c r="VRB18" s="13"/>
      <c r="VRC18" s="13"/>
      <c r="VRD18" s="13"/>
      <c r="VRE18" s="13"/>
      <c r="VRF18" s="13"/>
      <c r="VRG18" s="13"/>
      <c r="VRH18" s="13"/>
      <c r="VRI18" s="13"/>
      <c r="VRJ18" s="13"/>
      <c r="VRK18" s="13"/>
      <c r="VRL18" s="13"/>
      <c r="VRM18" s="13"/>
      <c r="VRN18" s="13"/>
      <c r="VRO18" s="13"/>
      <c r="VRP18" s="13"/>
      <c r="VRQ18" s="13"/>
      <c r="VRR18" s="13"/>
      <c r="VRS18" s="13"/>
      <c r="VRT18" s="13"/>
      <c r="VRU18" s="13"/>
      <c r="VRV18" s="13"/>
      <c r="VRW18" s="13"/>
      <c r="VRX18" s="13"/>
      <c r="VRY18" s="13"/>
      <c r="VRZ18" s="13"/>
      <c r="VSA18" s="13"/>
      <c r="VSB18" s="13"/>
      <c r="VSC18" s="13"/>
      <c r="VSD18" s="13"/>
      <c r="VSE18" s="13"/>
      <c r="VSF18" s="13"/>
      <c r="VSG18" s="13"/>
      <c r="VSH18" s="13"/>
      <c r="VSI18" s="13"/>
      <c r="VSJ18" s="13"/>
      <c r="VSK18" s="13"/>
      <c r="VSL18" s="13"/>
      <c r="VSM18" s="13"/>
      <c r="VSN18" s="13"/>
      <c r="VSO18" s="13"/>
      <c r="VSP18" s="13"/>
      <c r="VSQ18" s="13"/>
      <c r="VSR18" s="13"/>
      <c r="VSS18" s="13"/>
      <c r="VST18" s="13"/>
      <c r="VSU18" s="13"/>
      <c r="VSV18" s="13"/>
      <c r="VSW18" s="13"/>
      <c r="VSX18" s="13"/>
      <c r="VSY18" s="13"/>
      <c r="VSZ18" s="13"/>
      <c r="VTA18" s="13"/>
      <c r="VTB18" s="13"/>
      <c r="VTC18" s="13"/>
      <c r="VTD18" s="13"/>
      <c r="VTE18" s="13"/>
      <c r="VTF18" s="13"/>
      <c r="VTG18" s="13"/>
      <c r="VTH18" s="13"/>
      <c r="VTI18" s="13"/>
      <c r="VTJ18" s="13"/>
      <c r="VTK18" s="13"/>
      <c r="VTL18" s="13"/>
      <c r="VTM18" s="13"/>
      <c r="VTN18" s="13"/>
      <c r="VTO18" s="13"/>
      <c r="VTP18" s="13"/>
      <c r="VTQ18" s="13"/>
      <c r="VTR18" s="13"/>
      <c r="VTS18" s="13"/>
      <c r="VTT18" s="13"/>
      <c r="VTU18" s="13"/>
      <c r="VTV18" s="13"/>
      <c r="VTW18" s="13"/>
      <c r="VTX18" s="13"/>
      <c r="VTY18" s="13"/>
      <c r="VTZ18" s="13"/>
      <c r="VUA18" s="13"/>
      <c r="VUB18" s="13"/>
      <c r="VUC18" s="13"/>
      <c r="VUD18" s="13"/>
      <c r="VUE18" s="13"/>
      <c r="VUF18" s="13"/>
      <c r="VUG18" s="13"/>
      <c r="VUH18" s="13"/>
      <c r="VUI18" s="13"/>
      <c r="VUJ18" s="13"/>
      <c r="VUK18" s="13"/>
      <c r="VUL18" s="13"/>
      <c r="VUM18" s="13"/>
      <c r="VUN18" s="13"/>
      <c r="VUO18" s="13"/>
      <c r="VUP18" s="13"/>
      <c r="VUQ18" s="13"/>
      <c r="VUR18" s="13"/>
      <c r="VUS18" s="13"/>
      <c r="VUT18" s="13"/>
      <c r="VUU18" s="13"/>
      <c r="VUV18" s="13"/>
      <c r="VUW18" s="13"/>
      <c r="VUX18" s="13"/>
      <c r="VUY18" s="13"/>
      <c r="VUZ18" s="13"/>
      <c r="VVA18" s="13"/>
      <c r="VVB18" s="13"/>
      <c r="VVC18" s="13"/>
      <c r="VVD18" s="13"/>
      <c r="VVE18" s="13"/>
      <c r="VVF18" s="13"/>
      <c r="VVG18" s="13"/>
      <c r="VVH18" s="13"/>
      <c r="VVI18" s="13"/>
      <c r="VVJ18" s="13"/>
      <c r="VVK18" s="13"/>
      <c r="VVL18" s="13"/>
      <c r="VVM18" s="13"/>
      <c r="VVN18" s="13"/>
      <c r="VVO18" s="13"/>
      <c r="VVP18" s="13"/>
      <c r="VVQ18" s="13"/>
      <c r="VVR18" s="13"/>
      <c r="VVS18" s="13"/>
      <c r="VVT18" s="13"/>
      <c r="VVU18" s="13"/>
      <c r="VVV18" s="13"/>
      <c r="VVW18" s="13"/>
      <c r="VVX18" s="13"/>
      <c r="VVY18" s="13"/>
      <c r="VVZ18" s="13"/>
      <c r="VWA18" s="13"/>
      <c r="VWB18" s="13"/>
      <c r="VWC18" s="13"/>
      <c r="VWD18" s="13"/>
      <c r="VWE18" s="13"/>
      <c r="VWF18" s="13"/>
      <c r="VWG18" s="13"/>
      <c r="VWH18" s="13"/>
      <c r="VWI18" s="13"/>
      <c r="VWJ18" s="13"/>
      <c r="VWK18" s="13"/>
      <c r="VWL18" s="13"/>
      <c r="VWM18" s="13"/>
      <c r="VWN18" s="13"/>
      <c r="VWO18" s="13"/>
      <c r="VWP18" s="13"/>
      <c r="VWQ18" s="13"/>
      <c r="VWR18" s="13"/>
      <c r="VWS18" s="13"/>
      <c r="VWT18" s="13"/>
      <c r="VWU18" s="13"/>
      <c r="VWV18" s="13"/>
      <c r="VWW18" s="13"/>
      <c r="VWX18" s="13"/>
      <c r="VWY18" s="13"/>
      <c r="VWZ18" s="13"/>
      <c r="VXA18" s="13"/>
      <c r="VXB18" s="13"/>
      <c r="VXC18" s="13"/>
      <c r="VXD18" s="13"/>
      <c r="VXE18" s="13"/>
      <c r="VXF18" s="13"/>
      <c r="VXG18" s="13"/>
      <c r="VXH18" s="13"/>
      <c r="VXI18" s="13"/>
      <c r="VXJ18" s="13"/>
      <c r="VXK18" s="13"/>
      <c r="VXL18" s="13"/>
      <c r="VXM18" s="13"/>
      <c r="VXN18" s="13"/>
      <c r="VXO18" s="13"/>
      <c r="VXP18" s="13"/>
      <c r="VXQ18" s="13"/>
      <c r="VXR18" s="13"/>
      <c r="VXS18" s="13"/>
      <c r="VXT18" s="13"/>
      <c r="VXU18" s="13"/>
      <c r="VXV18" s="13"/>
      <c r="VXW18" s="13"/>
      <c r="VXX18" s="13"/>
      <c r="VXY18" s="13"/>
      <c r="VXZ18" s="13"/>
      <c r="VYA18" s="13"/>
      <c r="VYB18" s="13"/>
      <c r="VYC18" s="13"/>
      <c r="VYD18" s="13"/>
      <c r="VYE18" s="13"/>
      <c r="VYF18" s="13"/>
      <c r="VYG18" s="13"/>
      <c r="VYH18" s="13"/>
      <c r="VYI18" s="13"/>
      <c r="VYJ18" s="13"/>
      <c r="VYK18" s="13"/>
      <c r="VYL18" s="13"/>
      <c r="VYM18" s="13"/>
      <c r="VYN18" s="13"/>
      <c r="VYO18" s="13"/>
      <c r="VYP18" s="13"/>
      <c r="VYQ18" s="13"/>
      <c r="VYR18" s="13"/>
      <c r="VYS18" s="13"/>
      <c r="VYT18" s="13"/>
      <c r="VYU18" s="13"/>
      <c r="VYV18" s="13"/>
      <c r="VYW18" s="13"/>
      <c r="VYX18" s="13"/>
      <c r="VYY18" s="13"/>
      <c r="VYZ18" s="13"/>
      <c r="VZA18" s="13"/>
      <c r="VZB18" s="13"/>
      <c r="VZC18" s="13"/>
      <c r="VZD18" s="13"/>
      <c r="VZE18" s="13"/>
      <c r="VZF18" s="13"/>
      <c r="VZG18" s="13"/>
      <c r="VZH18" s="13"/>
      <c r="VZI18" s="13"/>
      <c r="VZJ18" s="13"/>
      <c r="VZK18" s="13"/>
      <c r="VZL18" s="13"/>
      <c r="VZM18" s="13"/>
      <c r="VZN18" s="13"/>
      <c r="VZO18" s="13"/>
      <c r="VZP18" s="13"/>
      <c r="VZQ18" s="13"/>
      <c r="VZR18" s="13"/>
      <c r="VZS18" s="13"/>
      <c r="VZT18" s="13"/>
      <c r="VZU18" s="13"/>
      <c r="VZV18" s="13"/>
      <c r="VZW18" s="13"/>
      <c r="VZX18" s="13"/>
      <c r="VZY18" s="13"/>
      <c r="VZZ18" s="13"/>
      <c r="WAA18" s="13"/>
      <c r="WAB18" s="13"/>
      <c r="WAC18" s="13"/>
      <c r="WAD18" s="13"/>
      <c r="WAE18" s="13"/>
      <c r="WAF18" s="13"/>
      <c r="WAG18" s="13"/>
      <c r="WAH18" s="13"/>
      <c r="WAI18" s="13"/>
      <c r="WAJ18" s="13"/>
      <c r="WAK18" s="13"/>
      <c r="WAL18" s="13"/>
      <c r="WAM18" s="13"/>
      <c r="WAN18" s="13"/>
      <c r="WAO18" s="13"/>
      <c r="WAP18" s="13"/>
      <c r="WAQ18" s="13"/>
      <c r="WAR18" s="13"/>
      <c r="WAS18" s="13"/>
      <c r="WAT18" s="13"/>
      <c r="WAU18" s="13"/>
      <c r="WAV18" s="13"/>
      <c r="WAW18" s="13"/>
      <c r="WAX18" s="13"/>
      <c r="WAY18" s="13"/>
      <c r="WAZ18" s="13"/>
      <c r="WBA18" s="13"/>
      <c r="WBB18" s="13"/>
      <c r="WBC18" s="13"/>
      <c r="WBD18" s="13"/>
      <c r="WBE18" s="13"/>
      <c r="WBF18" s="13"/>
      <c r="WBG18" s="13"/>
      <c r="WBH18" s="13"/>
      <c r="WBI18" s="13"/>
      <c r="WBJ18" s="13"/>
      <c r="WBK18" s="13"/>
      <c r="WBL18" s="13"/>
      <c r="WBM18" s="13"/>
      <c r="WBN18" s="13"/>
      <c r="WBO18" s="13"/>
      <c r="WBP18" s="13"/>
      <c r="WBQ18" s="13"/>
      <c r="WBR18" s="13"/>
      <c r="WBS18" s="13"/>
      <c r="WBT18" s="13"/>
      <c r="WBU18" s="13"/>
      <c r="WBV18" s="13"/>
      <c r="WBW18" s="13"/>
      <c r="WBX18" s="13"/>
      <c r="WBY18" s="13"/>
      <c r="WBZ18" s="13"/>
      <c r="WCA18" s="13"/>
      <c r="WCB18" s="13"/>
      <c r="WCC18" s="13"/>
      <c r="WCD18" s="13"/>
      <c r="WCE18" s="13"/>
      <c r="WCF18" s="13"/>
      <c r="WCG18" s="13"/>
      <c r="WCH18" s="13"/>
      <c r="WCI18" s="13"/>
      <c r="WCJ18" s="13"/>
      <c r="WCK18" s="13"/>
      <c r="WCL18" s="13"/>
      <c r="WCM18" s="13"/>
      <c r="WCN18" s="13"/>
      <c r="WCO18" s="13"/>
      <c r="WCP18" s="13"/>
      <c r="WCQ18" s="13"/>
      <c r="WCR18" s="13"/>
      <c r="WCS18" s="13"/>
      <c r="WCT18" s="13"/>
      <c r="WCU18" s="13"/>
      <c r="WCV18" s="13"/>
      <c r="WCW18" s="13"/>
      <c r="WCX18" s="13"/>
      <c r="WCY18" s="13"/>
      <c r="WCZ18" s="13"/>
      <c r="WDA18" s="13"/>
      <c r="WDB18" s="13"/>
      <c r="WDC18" s="13"/>
      <c r="WDD18" s="13"/>
      <c r="WDE18" s="13"/>
      <c r="WDF18" s="13"/>
      <c r="WDG18" s="13"/>
      <c r="WDH18" s="13"/>
      <c r="WDI18" s="13"/>
      <c r="WDJ18" s="13"/>
      <c r="WDK18" s="13"/>
      <c r="WDL18" s="13"/>
      <c r="WDM18" s="13"/>
      <c r="WDN18" s="13"/>
      <c r="WDO18" s="13"/>
      <c r="WDP18" s="13"/>
      <c r="WDQ18" s="13"/>
      <c r="WDR18" s="13"/>
      <c r="WDS18" s="13"/>
      <c r="WDT18" s="13"/>
      <c r="WDU18" s="13"/>
      <c r="WDV18" s="13"/>
      <c r="WDW18" s="13"/>
      <c r="WDX18" s="13"/>
      <c r="WDY18" s="13"/>
      <c r="WDZ18" s="13"/>
      <c r="WEA18" s="13"/>
      <c r="WEB18" s="13"/>
      <c r="WEC18" s="13"/>
      <c r="WED18" s="13"/>
      <c r="WEE18" s="13"/>
      <c r="WEF18" s="13"/>
      <c r="WEG18" s="13"/>
      <c r="WEH18" s="13"/>
      <c r="WEI18" s="13"/>
      <c r="WEJ18" s="13"/>
      <c r="WEK18" s="13"/>
      <c r="WEL18" s="13"/>
      <c r="WEM18" s="13"/>
      <c r="WEN18" s="13"/>
      <c r="WEO18" s="13"/>
      <c r="WEP18" s="13"/>
      <c r="WEQ18" s="13"/>
      <c r="WER18" s="13"/>
      <c r="WES18" s="13"/>
      <c r="WET18" s="13"/>
      <c r="WEU18" s="13"/>
      <c r="WEV18" s="13"/>
      <c r="WEW18" s="13"/>
      <c r="WEX18" s="13"/>
      <c r="WEY18" s="13"/>
      <c r="WEZ18" s="13"/>
      <c r="WFA18" s="13"/>
      <c r="WFB18" s="13"/>
      <c r="WFC18" s="13"/>
      <c r="WFD18" s="13"/>
      <c r="WFE18" s="13"/>
      <c r="WFF18" s="13"/>
      <c r="WFG18" s="13"/>
      <c r="WFH18" s="13"/>
      <c r="WFI18" s="13"/>
      <c r="WFJ18" s="13"/>
      <c r="WFK18" s="13"/>
      <c r="WFL18" s="13"/>
      <c r="WFM18" s="13"/>
      <c r="WFN18" s="13"/>
      <c r="WFO18" s="13"/>
      <c r="WFP18" s="13"/>
      <c r="WFQ18" s="13"/>
      <c r="WFR18" s="13"/>
      <c r="WFS18" s="13"/>
      <c r="WFT18" s="13"/>
      <c r="WFU18" s="13"/>
      <c r="WFV18" s="13"/>
      <c r="WFW18" s="13"/>
      <c r="WFX18" s="13"/>
      <c r="WFY18" s="13"/>
      <c r="WFZ18" s="13"/>
      <c r="WGA18" s="13"/>
      <c r="WGB18" s="13"/>
      <c r="WGC18" s="13"/>
      <c r="WGD18" s="13"/>
      <c r="WGE18" s="13"/>
      <c r="WGF18" s="13"/>
      <c r="WGG18" s="13"/>
      <c r="WGH18" s="13"/>
      <c r="WGI18" s="13"/>
      <c r="WGJ18" s="13"/>
      <c r="WGK18" s="13"/>
      <c r="WGL18" s="13"/>
      <c r="WGM18" s="13"/>
      <c r="WGN18" s="13"/>
      <c r="WGO18" s="13"/>
      <c r="WGP18" s="13"/>
      <c r="WGQ18" s="13"/>
      <c r="WGR18" s="13"/>
      <c r="WGS18" s="13"/>
      <c r="WGT18" s="13"/>
      <c r="WGU18" s="13"/>
      <c r="WGV18" s="13"/>
      <c r="WGW18" s="13"/>
      <c r="WGX18" s="13"/>
      <c r="WGY18" s="13"/>
      <c r="WGZ18" s="13"/>
      <c r="WHA18" s="13"/>
      <c r="WHB18" s="13"/>
      <c r="WHC18" s="13"/>
      <c r="WHD18" s="13"/>
      <c r="WHE18" s="13"/>
      <c r="WHF18" s="13"/>
      <c r="WHG18" s="13"/>
      <c r="WHH18" s="13"/>
      <c r="WHI18" s="13"/>
      <c r="WHJ18" s="13"/>
      <c r="WHK18" s="13"/>
      <c r="WHL18" s="13"/>
      <c r="WHM18" s="13"/>
      <c r="WHN18" s="13"/>
      <c r="WHO18" s="13"/>
      <c r="WHP18" s="13"/>
      <c r="WHQ18" s="13"/>
      <c r="WHR18" s="13"/>
      <c r="WHS18" s="13"/>
      <c r="WHT18" s="13"/>
      <c r="WHU18" s="13"/>
      <c r="WHV18" s="13"/>
      <c r="WHW18" s="13"/>
      <c r="WHX18" s="13"/>
      <c r="WHY18" s="13"/>
      <c r="WHZ18" s="13"/>
      <c r="WIA18" s="13"/>
      <c r="WIB18" s="13"/>
      <c r="WIC18" s="13"/>
      <c r="WID18" s="13"/>
      <c r="WIE18" s="13"/>
      <c r="WIF18" s="13"/>
      <c r="WIG18" s="13"/>
      <c r="WIH18" s="13"/>
      <c r="WII18" s="13"/>
      <c r="WIJ18" s="13"/>
      <c r="WIK18" s="13"/>
      <c r="WIL18" s="13"/>
      <c r="WIM18" s="13"/>
      <c r="WIN18" s="13"/>
      <c r="WIO18" s="13"/>
      <c r="WIP18" s="13"/>
      <c r="WIQ18" s="13"/>
      <c r="WIR18" s="13"/>
      <c r="WIS18" s="13"/>
      <c r="WIT18" s="13"/>
      <c r="WIU18" s="13"/>
      <c r="WIV18" s="13"/>
      <c r="WIW18" s="13"/>
      <c r="WIX18" s="13"/>
      <c r="WIY18" s="13"/>
      <c r="WIZ18" s="13"/>
      <c r="WJA18" s="13"/>
      <c r="WJB18" s="13"/>
      <c r="WJC18" s="13"/>
      <c r="WJD18" s="13"/>
      <c r="WJE18" s="13"/>
      <c r="WJF18" s="13"/>
      <c r="WJG18" s="13"/>
      <c r="WJH18" s="13"/>
      <c r="WJI18" s="13"/>
      <c r="WJJ18" s="13"/>
      <c r="WJK18" s="13"/>
      <c r="WJL18" s="13"/>
      <c r="WJM18" s="13"/>
      <c r="WJN18" s="13"/>
      <c r="WJO18" s="13"/>
      <c r="WJP18" s="13"/>
      <c r="WJQ18" s="13"/>
      <c r="WJR18" s="13"/>
      <c r="WJS18" s="13"/>
      <c r="WJT18" s="13"/>
      <c r="WJU18" s="13"/>
      <c r="WJV18" s="13"/>
      <c r="WJW18" s="13"/>
      <c r="WJX18" s="13"/>
      <c r="WJY18" s="13"/>
      <c r="WJZ18" s="13"/>
      <c r="WKA18" s="13"/>
      <c r="WKB18" s="13"/>
      <c r="WKC18" s="13"/>
      <c r="WKD18" s="13"/>
      <c r="WKE18" s="13"/>
      <c r="WKF18" s="13"/>
      <c r="WKG18" s="13"/>
      <c r="WKH18" s="13"/>
      <c r="WKI18" s="13"/>
      <c r="WKJ18" s="13"/>
      <c r="WKK18" s="13"/>
      <c r="WKL18" s="13"/>
      <c r="WKM18" s="13"/>
      <c r="WKN18" s="13"/>
      <c r="WKO18" s="13"/>
      <c r="WKP18" s="13"/>
      <c r="WKQ18" s="13"/>
      <c r="WKR18" s="13"/>
      <c r="WKS18" s="13"/>
      <c r="WKT18" s="13"/>
      <c r="WKU18" s="13"/>
      <c r="WKV18" s="13"/>
      <c r="WKW18" s="13"/>
      <c r="WKX18" s="13"/>
      <c r="WKY18" s="13"/>
      <c r="WKZ18" s="13"/>
      <c r="WLA18" s="13"/>
      <c r="WLB18" s="13"/>
      <c r="WLC18" s="13"/>
      <c r="WLD18" s="13"/>
      <c r="WLE18" s="13"/>
      <c r="WLF18" s="13"/>
      <c r="WLG18" s="13"/>
      <c r="WLH18" s="13"/>
      <c r="WLI18" s="13"/>
      <c r="WLJ18" s="13"/>
      <c r="WLK18" s="13"/>
      <c r="WLL18" s="13"/>
      <c r="WLM18" s="13"/>
      <c r="WLN18" s="13"/>
      <c r="WLO18" s="13"/>
      <c r="WLP18" s="13"/>
      <c r="WLQ18" s="13"/>
      <c r="WLR18" s="13"/>
      <c r="WLS18" s="13"/>
      <c r="WLT18" s="13"/>
      <c r="WLU18" s="13"/>
      <c r="WLV18" s="13"/>
      <c r="WLW18" s="13"/>
      <c r="WLX18" s="13"/>
      <c r="WLY18" s="13"/>
      <c r="WLZ18" s="13"/>
      <c r="WMA18" s="13"/>
      <c r="WMB18" s="13"/>
      <c r="WMC18" s="13"/>
      <c r="WMD18" s="13"/>
      <c r="WME18" s="13"/>
      <c r="WMF18" s="13"/>
      <c r="WMG18" s="13"/>
      <c r="WMH18" s="13"/>
      <c r="WMI18" s="13"/>
      <c r="WMJ18" s="13"/>
      <c r="WMK18" s="13"/>
      <c r="WML18" s="13"/>
      <c r="WMM18" s="13"/>
      <c r="WMN18" s="13"/>
      <c r="WMO18" s="13"/>
      <c r="WMP18" s="13"/>
      <c r="WMQ18" s="13"/>
      <c r="WMR18" s="13"/>
      <c r="WMS18" s="13"/>
      <c r="WMT18" s="13"/>
      <c r="WMU18" s="13"/>
      <c r="WMV18" s="13"/>
      <c r="WMW18" s="13"/>
      <c r="WMX18" s="13"/>
      <c r="WMY18" s="13"/>
      <c r="WMZ18" s="13"/>
      <c r="WNA18" s="13"/>
      <c r="WNB18" s="13"/>
      <c r="WNC18" s="13"/>
      <c r="WND18" s="13"/>
      <c r="WNE18" s="13"/>
      <c r="WNF18" s="13"/>
      <c r="WNG18" s="13"/>
      <c r="WNH18" s="13"/>
      <c r="WNI18" s="13"/>
      <c r="WNJ18" s="13"/>
      <c r="WNK18" s="13"/>
      <c r="WNL18" s="13"/>
      <c r="WNM18" s="13"/>
      <c r="WNN18" s="13"/>
      <c r="WNO18" s="13"/>
      <c r="WNP18" s="13"/>
      <c r="WNQ18" s="13"/>
      <c r="WNR18" s="13"/>
      <c r="WNS18" s="13"/>
      <c r="WNT18" s="13"/>
      <c r="WNU18" s="13"/>
      <c r="WNV18" s="13"/>
      <c r="WNW18" s="13"/>
      <c r="WNX18" s="13"/>
      <c r="WNY18" s="13"/>
      <c r="WNZ18" s="13"/>
      <c r="WOA18" s="13"/>
      <c r="WOB18" s="13"/>
      <c r="WOC18" s="13"/>
      <c r="WOD18" s="13"/>
      <c r="WOE18" s="13"/>
      <c r="WOF18" s="13"/>
      <c r="WOG18" s="13"/>
      <c r="WOH18" s="13"/>
      <c r="WOI18" s="13"/>
      <c r="WOJ18" s="13"/>
      <c r="WOK18" s="13"/>
      <c r="WOL18" s="13"/>
      <c r="WOM18" s="13"/>
      <c r="WON18" s="13"/>
      <c r="WOO18" s="13"/>
      <c r="WOP18" s="13"/>
      <c r="WOQ18" s="13"/>
      <c r="WOR18" s="13"/>
      <c r="WOS18" s="13"/>
      <c r="WOT18" s="13"/>
      <c r="WOU18" s="13"/>
      <c r="WOV18" s="13"/>
      <c r="WOW18" s="13"/>
      <c r="WOX18" s="13"/>
      <c r="WOY18" s="13"/>
      <c r="WOZ18" s="13"/>
      <c r="WPA18" s="13"/>
      <c r="WPB18" s="13"/>
      <c r="WPC18" s="13"/>
      <c r="WPD18" s="13"/>
      <c r="WPE18" s="13"/>
      <c r="WPF18" s="13"/>
      <c r="WPG18" s="13"/>
      <c r="WPH18" s="13"/>
      <c r="WPI18" s="13"/>
      <c r="WPJ18" s="13"/>
      <c r="WPK18" s="13"/>
      <c r="WPL18" s="13"/>
      <c r="WPM18" s="13"/>
      <c r="WPN18" s="13"/>
      <c r="WPO18" s="13"/>
      <c r="WPP18" s="13"/>
      <c r="WPQ18" s="13"/>
      <c r="WPR18" s="13"/>
      <c r="WPS18" s="13"/>
      <c r="WPT18" s="13"/>
      <c r="WPU18" s="13"/>
      <c r="WPV18" s="13"/>
      <c r="WPW18" s="13"/>
      <c r="WPX18" s="13"/>
      <c r="WPY18" s="13"/>
      <c r="WPZ18" s="13"/>
      <c r="WQA18" s="13"/>
      <c r="WQB18" s="13"/>
      <c r="WQC18" s="13"/>
      <c r="WQD18" s="13"/>
      <c r="WQE18" s="13"/>
      <c r="WQF18" s="13"/>
      <c r="WQG18" s="13"/>
      <c r="WQH18" s="13"/>
      <c r="WQI18" s="13"/>
      <c r="WQJ18" s="13"/>
      <c r="WQK18" s="13"/>
      <c r="WQL18" s="13"/>
      <c r="WQM18" s="13"/>
      <c r="WQN18" s="13"/>
      <c r="WQO18" s="13"/>
      <c r="WQP18" s="13"/>
      <c r="WQQ18" s="13"/>
      <c r="WQR18" s="13"/>
      <c r="WQS18" s="13"/>
      <c r="WQT18" s="13"/>
      <c r="WQU18" s="13"/>
      <c r="WQV18" s="13"/>
      <c r="WQW18" s="13"/>
      <c r="WQX18" s="13"/>
      <c r="WQY18" s="13"/>
      <c r="WQZ18" s="13"/>
      <c r="WRA18" s="13"/>
      <c r="WRB18" s="13"/>
      <c r="WRC18" s="13"/>
      <c r="WRD18" s="13"/>
      <c r="WRE18" s="13"/>
      <c r="WRF18" s="13"/>
      <c r="WRG18" s="13"/>
      <c r="WRH18" s="13"/>
      <c r="WRI18" s="13"/>
      <c r="WRJ18" s="13"/>
      <c r="WRK18" s="13"/>
      <c r="WRL18" s="13"/>
      <c r="WRM18" s="13"/>
      <c r="WRN18" s="13"/>
      <c r="WRO18" s="13"/>
      <c r="WRP18" s="13"/>
      <c r="WRQ18" s="13"/>
      <c r="WRR18" s="13"/>
      <c r="WRS18" s="13"/>
      <c r="WRT18" s="13"/>
      <c r="WRU18" s="13"/>
      <c r="WRV18" s="13"/>
      <c r="WRW18" s="13"/>
      <c r="WRX18" s="13"/>
      <c r="WRY18" s="13"/>
      <c r="WRZ18" s="13"/>
      <c r="WSA18" s="13"/>
      <c r="WSB18" s="13"/>
      <c r="WSC18" s="13"/>
      <c r="WSD18" s="13"/>
      <c r="WSE18" s="13"/>
      <c r="WSF18" s="13"/>
      <c r="WSG18" s="13"/>
      <c r="WSH18" s="13"/>
      <c r="WSI18" s="13"/>
      <c r="WSJ18" s="13"/>
      <c r="WSK18" s="13"/>
      <c r="WSL18" s="13"/>
      <c r="WSM18" s="13"/>
      <c r="WSN18" s="13"/>
      <c r="WSO18" s="13"/>
      <c r="WSP18" s="13"/>
      <c r="WSQ18" s="13"/>
      <c r="WSR18" s="13"/>
      <c r="WSS18" s="13"/>
      <c r="WST18" s="13"/>
      <c r="WSU18" s="13"/>
      <c r="WSV18" s="13"/>
      <c r="WSW18" s="13"/>
      <c r="WSX18" s="13"/>
      <c r="WSY18" s="13"/>
      <c r="WSZ18" s="13"/>
      <c r="WTA18" s="13"/>
      <c r="WTB18" s="13"/>
      <c r="WTC18" s="13"/>
      <c r="WTD18" s="13"/>
      <c r="WTE18" s="13"/>
      <c r="WTF18" s="13"/>
      <c r="WTG18" s="13"/>
      <c r="WTH18" s="13"/>
      <c r="WTI18" s="13"/>
      <c r="WTJ18" s="13"/>
      <c r="WTK18" s="13"/>
      <c r="WTL18" s="13"/>
      <c r="WTM18" s="13"/>
      <c r="WTN18" s="13"/>
      <c r="WTO18" s="13"/>
      <c r="WTP18" s="13"/>
      <c r="WTQ18" s="13"/>
      <c r="WTR18" s="13"/>
      <c r="WTS18" s="13"/>
      <c r="WTT18" s="13"/>
      <c r="WTU18" s="13"/>
      <c r="WTV18" s="13"/>
      <c r="WTW18" s="13"/>
      <c r="WTX18" s="13"/>
      <c r="WTY18" s="13"/>
      <c r="WTZ18" s="13"/>
      <c r="WUA18" s="13"/>
      <c r="WUB18" s="13"/>
      <c r="WUC18" s="13"/>
      <c r="WUD18" s="13"/>
      <c r="WUE18" s="13"/>
      <c r="WUF18" s="13"/>
      <c r="WUG18" s="13"/>
      <c r="WUH18" s="13"/>
      <c r="WUI18" s="13"/>
      <c r="WUJ18" s="13"/>
      <c r="WUK18" s="13"/>
      <c r="WUL18" s="13"/>
      <c r="WUM18" s="13"/>
      <c r="WUN18" s="13"/>
      <c r="WUO18" s="13"/>
      <c r="WUP18" s="13"/>
      <c r="WUQ18" s="13"/>
      <c r="WUR18" s="13"/>
      <c r="WUS18" s="13"/>
      <c r="WUT18" s="13"/>
      <c r="WUU18" s="13"/>
      <c r="WUV18" s="13"/>
      <c r="WUW18" s="13"/>
      <c r="WUX18" s="13"/>
      <c r="WUY18" s="13"/>
      <c r="WUZ18" s="13"/>
      <c r="WVA18" s="13"/>
      <c r="WVB18" s="13"/>
      <c r="WVC18" s="13"/>
      <c r="WVD18" s="13"/>
      <c r="WVE18" s="13"/>
      <c r="WVF18" s="13"/>
      <c r="WVG18" s="13"/>
      <c r="WVH18" s="13"/>
      <c r="WVI18" s="13"/>
      <c r="WVJ18" s="13"/>
      <c r="WVK18" s="13"/>
      <c r="WVL18" s="13"/>
      <c r="WVM18" s="13"/>
      <c r="WVN18" s="13"/>
      <c r="WVO18" s="13"/>
      <c r="WVP18" s="13"/>
      <c r="WVQ18" s="13"/>
      <c r="WVR18" s="13"/>
      <c r="WVS18" s="13"/>
      <c r="WVT18" s="13"/>
      <c r="WVU18" s="13"/>
      <c r="WVV18" s="13"/>
      <c r="WVW18" s="13"/>
      <c r="WVX18" s="13"/>
      <c r="WVY18" s="13"/>
      <c r="WVZ18" s="13"/>
      <c r="WWA18" s="13"/>
      <c r="WWB18" s="13"/>
      <c r="WWC18" s="13"/>
      <c r="WWD18" s="13"/>
      <c r="WWE18" s="13"/>
      <c r="WWF18" s="13"/>
      <c r="WWG18" s="13"/>
      <c r="WWH18" s="13"/>
      <c r="WWI18" s="13"/>
      <c r="WWJ18" s="13"/>
      <c r="WWK18" s="13"/>
      <c r="WWL18" s="13"/>
      <c r="WWM18" s="13"/>
      <c r="WWN18" s="13"/>
      <c r="WWO18" s="13"/>
      <c r="WWP18" s="13"/>
      <c r="WWQ18" s="13"/>
      <c r="WWR18" s="13"/>
      <c r="WWS18" s="13"/>
      <c r="WWT18" s="13"/>
      <c r="WWU18" s="13"/>
      <c r="WWV18" s="13"/>
      <c r="WWW18" s="13"/>
      <c r="WWX18" s="13"/>
      <c r="WWY18" s="13"/>
      <c r="WWZ18" s="13"/>
      <c r="WXA18" s="13"/>
      <c r="WXB18" s="13"/>
      <c r="WXC18" s="13"/>
      <c r="WXD18" s="13"/>
      <c r="WXE18" s="13"/>
      <c r="WXF18" s="13"/>
      <c r="WXG18" s="13"/>
      <c r="WXH18" s="13"/>
      <c r="WXI18" s="13"/>
      <c r="WXJ18" s="13"/>
      <c r="WXK18" s="13"/>
      <c r="WXL18" s="13"/>
      <c r="WXM18" s="13"/>
      <c r="WXN18" s="13"/>
      <c r="WXO18" s="13"/>
      <c r="WXP18" s="13"/>
      <c r="WXQ18" s="13"/>
      <c r="WXR18" s="13"/>
      <c r="WXS18" s="13"/>
      <c r="WXT18" s="13"/>
      <c r="WXU18" s="13"/>
      <c r="WXV18" s="13"/>
      <c r="WXW18" s="13"/>
      <c r="WXX18" s="13"/>
      <c r="WXY18" s="13"/>
      <c r="WXZ18" s="13"/>
      <c r="WYA18" s="13"/>
      <c r="WYB18" s="13"/>
      <c r="WYC18" s="13"/>
      <c r="WYD18" s="13"/>
      <c r="WYE18" s="13"/>
      <c r="WYF18" s="13"/>
      <c r="WYG18" s="13"/>
      <c r="WYH18" s="13"/>
      <c r="WYI18" s="13"/>
      <c r="WYJ18" s="13"/>
      <c r="WYK18" s="13"/>
      <c r="WYL18" s="13"/>
      <c r="WYM18" s="13"/>
      <c r="WYN18" s="13"/>
      <c r="WYO18" s="13"/>
      <c r="WYP18" s="13"/>
      <c r="WYQ18" s="13"/>
      <c r="WYR18" s="13"/>
      <c r="WYS18" s="13"/>
      <c r="WYT18" s="13"/>
      <c r="WYU18" s="13"/>
      <c r="WYV18" s="13"/>
      <c r="WYW18" s="13"/>
      <c r="WYX18" s="13"/>
      <c r="WYY18" s="13"/>
      <c r="WYZ18" s="13"/>
      <c r="WZA18" s="13"/>
      <c r="WZB18" s="13"/>
      <c r="WZC18" s="13"/>
      <c r="WZD18" s="13"/>
      <c r="WZE18" s="13"/>
      <c r="WZF18" s="13"/>
      <c r="WZG18" s="13"/>
      <c r="WZH18" s="13"/>
      <c r="WZI18" s="13"/>
      <c r="WZJ18" s="13"/>
      <c r="WZK18" s="13"/>
      <c r="WZL18" s="13"/>
      <c r="WZM18" s="13"/>
      <c r="WZN18" s="13"/>
      <c r="WZO18" s="13"/>
      <c r="WZP18" s="13"/>
      <c r="WZQ18" s="13"/>
      <c r="WZR18" s="13"/>
      <c r="WZS18" s="13"/>
      <c r="WZT18" s="13"/>
      <c r="WZU18" s="13"/>
      <c r="WZV18" s="13"/>
      <c r="WZW18" s="13"/>
      <c r="WZX18" s="13"/>
      <c r="WZY18" s="13"/>
      <c r="WZZ18" s="13"/>
      <c r="XAA18" s="13"/>
      <c r="XAB18" s="13"/>
      <c r="XAC18" s="13"/>
      <c r="XAD18" s="13"/>
      <c r="XAE18" s="13"/>
      <c r="XAF18" s="13"/>
      <c r="XAG18" s="13"/>
      <c r="XAH18" s="13"/>
      <c r="XAI18" s="13"/>
      <c r="XAJ18" s="13"/>
      <c r="XAK18" s="13"/>
      <c r="XAL18" s="13"/>
      <c r="XAM18" s="13"/>
      <c r="XAN18" s="13"/>
      <c r="XAO18" s="13"/>
      <c r="XAP18" s="13"/>
      <c r="XAQ18" s="13"/>
      <c r="XAR18" s="13"/>
      <c r="XAS18" s="13"/>
      <c r="XAT18" s="13"/>
      <c r="XAU18" s="13"/>
      <c r="XAV18" s="13"/>
      <c r="XAW18" s="13"/>
      <c r="XAX18" s="13"/>
      <c r="XAY18" s="13"/>
      <c r="XAZ18" s="13"/>
      <c r="XBA18" s="13"/>
      <c r="XBB18" s="13"/>
      <c r="XBC18" s="13"/>
      <c r="XBD18" s="13"/>
      <c r="XBE18" s="13"/>
      <c r="XBF18" s="13"/>
      <c r="XBG18" s="13"/>
      <c r="XBH18" s="13"/>
      <c r="XBI18" s="13"/>
      <c r="XBJ18" s="13"/>
      <c r="XBK18" s="13"/>
      <c r="XBL18" s="13"/>
      <c r="XBM18" s="13"/>
      <c r="XBN18" s="13"/>
      <c r="XBO18" s="13"/>
      <c r="XBP18" s="13"/>
      <c r="XBQ18" s="13"/>
      <c r="XBR18" s="13"/>
      <c r="XBS18" s="13"/>
      <c r="XBT18" s="13"/>
      <c r="XBU18" s="13"/>
      <c r="XBV18" s="13"/>
      <c r="XBW18" s="13"/>
      <c r="XBX18" s="13"/>
      <c r="XBY18" s="13"/>
      <c r="XBZ18" s="13"/>
      <c r="XCA18" s="13"/>
      <c r="XCB18" s="13"/>
      <c r="XCC18" s="13"/>
      <c r="XCD18" s="13"/>
      <c r="XCE18" s="13"/>
      <c r="XCF18" s="13"/>
      <c r="XCG18" s="13"/>
      <c r="XCH18" s="13"/>
      <c r="XCI18" s="13"/>
      <c r="XCJ18" s="13"/>
      <c r="XCK18" s="13"/>
      <c r="XCL18" s="13"/>
      <c r="XCM18" s="13"/>
      <c r="XCN18" s="13"/>
      <c r="XCO18" s="13"/>
      <c r="XCP18" s="13"/>
      <c r="XCQ18" s="13"/>
      <c r="XCR18" s="13"/>
      <c r="XCS18" s="13"/>
      <c r="XCT18" s="13"/>
      <c r="XCU18" s="13"/>
      <c r="XCV18" s="13"/>
      <c r="XCW18" s="13"/>
      <c r="XCX18" s="13"/>
      <c r="XCY18" s="13"/>
      <c r="XCZ18" s="13"/>
      <c r="XDA18" s="13"/>
      <c r="XDB18" s="13"/>
      <c r="XDC18" s="13"/>
      <c r="XDD18" s="13"/>
      <c r="XDE18" s="13"/>
      <c r="XDF18" s="13"/>
      <c r="XDG18" s="13"/>
      <c r="XDH18" s="13"/>
      <c r="XDI18" s="13"/>
      <c r="XDJ18" s="13"/>
      <c r="XDK18" s="13"/>
      <c r="XDL18" s="13"/>
      <c r="XDM18" s="13"/>
      <c r="XDN18" s="13"/>
      <c r="XDO18" s="13"/>
      <c r="XDP18" s="13"/>
      <c r="XDQ18" s="13"/>
      <c r="XDR18" s="13"/>
      <c r="XDS18" s="13"/>
      <c r="XDT18" s="13"/>
      <c r="XDU18" s="13"/>
      <c r="XDV18" s="13"/>
      <c r="XDW18" s="13"/>
    </row>
    <row r="19" spans="1:16351" s="11" customFormat="1" x14ac:dyDescent="0.2">
      <c r="A19" s="13"/>
      <c r="B19" s="13"/>
      <c r="C19" s="25"/>
      <c r="D19" s="10"/>
      <c r="E19" s="13"/>
      <c r="F19" s="13" t="s">
        <v>26</v>
      </c>
      <c r="G19" s="31" t="s">
        <v>27</v>
      </c>
      <c r="H19" s="6">
        <v>1</v>
      </c>
      <c r="I19" s="6">
        <v>2</v>
      </c>
      <c r="J19" s="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  <c r="BBJ19" s="13"/>
      <c r="BBK19" s="13"/>
      <c r="BBL19" s="13"/>
      <c r="BBM19" s="13"/>
      <c r="BBN19" s="13"/>
      <c r="BBO19" s="13"/>
      <c r="BBP19" s="13"/>
      <c r="BBQ19" s="13"/>
      <c r="BBR19" s="13"/>
      <c r="BBS19" s="13"/>
      <c r="BBT19" s="13"/>
      <c r="BBU19" s="13"/>
      <c r="BBV19" s="13"/>
      <c r="BBW19" s="13"/>
      <c r="BBX19" s="13"/>
      <c r="BBY19" s="13"/>
      <c r="BBZ19" s="13"/>
      <c r="BCA19" s="13"/>
      <c r="BCB19" s="13"/>
      <c r="BCC19" s="13"/>
      <c r="BCD19" s="13"/>
      <c r="BCE19" s="13"/>
      <c r="BCF19" s="13"/>
      <c r="BCG19" s="13"/>
      <c r="BCH19" s="13"/>
      <c r="BCI19" s="13"/>
      <c r="BCJ19" s="13"/>
      <c r="BCK19" s="13"/>
      <c r="BCL19" s="13"/>
      <c r="BCM19" s="13"/>
      <c r="BCN19" s="13"/>
      <c r="BCO19" s="13"/>
      <c r="BCP19" s="13"/>
      <c r="BCQ19" s="13"/>
      <c r="BCR19" s="13"/>
      <c r="BCS19" s="13"/>
      <c r="BCT19" s="13"/>
      <c r="BCU19" s="13"/>
      <c r="BCV19" s="13"/>
      <c r="BCW19" s="13"/>
      <c r="BCX19" s="13"/>
      <c r="BCY19" s="13"/>
      <c r="BCZ19" s="13"/>
      <c r="BDA19" s="13"/>
      <c r="BDB19" s="13"/>
      <c r="BDC19" s="13"/>
      <c r="BDD19" s="13"/>
      <c r="BDE19" s="13"/>
      <c r="BDF19" s="13"/>
      <c r="BDG19" s="13"/>
      <c r="BDH19" s="13"/>
      <c r="BDI19" s="13"/>
      <c r="BDJ19" s="13"/>
      <c r="BDK19" s="13"/>
      <c r="BDL19" s="13"/>
      <c r="BDM19" s="13"/>
      <c r="BDN19" s="13"/>
      <c r="BDO19" s="13"/>
      <c r="BDP19" s="13"/>
      <c r="BDQ19" s="13"/>
      <c r="BDR19" s="13"/>
      <c r="BDS19" s="13"/>
      <c r="BDT19" s="13"/>
      <c r="BDU19" s="13"/>
      <c r="BDV19" s="13"/>
      <c r="BDW19" s="13"/>
      <c r="BDX19" s="13"/>
      <c r="BDY19" s="13"/>
      <c r="BDZ19" s="13"/>
      <c r="BEA19" s="13"/>
      <c r="BEB19" s="13"/>
      <c r="BEC19" s="13"/>
      <c r="BED19" s="13"/>
      <c r="BEE19" s="13"/>
      <c r="BEF19" s="13"/>
      <c r="BEG19" s="13"/>
      <c r="BEH19" s="13"/>
      <c r="BEI19" s="13"/>
      <c r="BEJ19" s="13"/>
      <c r="BEK19" s="13"/>
      <c r="BEL19" s="13"/>
      <c r="BEM19" s="13"/>
      <c r="BEN19" s="13"/>
      <c r="BEO19" s="13"/>
      <c r="BEP19" s="13"/>
      <c r="BEQ19" s="13"/>
      <c r="BER19" s="13"/>
      <c r="BES19" s="13"/>
      <c r="BET19" s="13"/>
      <c r="BEU19" s="13"/>
      <c r="BEV19" s="13"/>
      <c r="BEW19" s="13"/>
      <c r="BEX19" s="13"/>
      <c r="BEY19" s="13"/>
      <c r="BEZ19" s="13"/>
      <c r="BFA19" s="13"/>
      <c r="BFB19" s="13"/>
      <c r="BFC19" s="13"/>
      <c r="BFD19" s="13"/>
      <c r="BFE19" s="13"/>
      <c r="BFF19" s="13"/>
      <c r="BFG19" s="13"/>
      <c r="BFH19" s="13"/>
      <c r="BFI19" s="13"/>
      <c r="BFJ19" s="13"/>
      <c r="BFK19" s="13"/>
      <c r="BFL19" s="13"/>
      <c r="BFM19" s="13"/>
      <c r="BFN19" s="13"/>
      <c r="BFO19" s="13"/>
      <c r="BFP19" s="13"/>
      <c r="BFQ19" s="13"/>
      <c r="BFR19" s="13"/>
      <c r="BFS19" s="13"/>
      <c r="BFT19" s="13"/>
      <c r="BFU19" s="13"/>
      <c r="BFV19" s="13"/>
      <c r="BFW19" s="13"/>
      <c r="BFX19" s="13"/>
      <c r="BFY19" s="13"/>
      <c r="BFZ19" s="13"/>
      <c r="BGA19" s="13"/>
      <c r="BGB19" s="13"/>
      <c r="BGC19" s="13"/>
      <c r="BGD19" s="13"/>
      <c r="BGE19" s="13"/>
      <c r="BGF19" s="13"/>
      <c r="BGG19" s="13"/>
      <c r="BGH19" s="13"/>
      <c r="BGI19" s="13"/>
      <c r="BGJ19" s="13"/>
      <c r="BGK19" s="13"/>
      <c r="BGL19" s="13"/>
      <c r="BGM19" s="13"/>
      <c r="BGN19" s="13"/>
      <c r="BGO19" s="13"/>
      <c r="BGP19" s="13"/>
      <c r="BGQ19" s="13"/>
      <c r="BGR19" s="13"/>
      <c r="BGS19" s="13"/>
      <c r="BGT19" s="13"/>
      <c r="BGU19" s="13"/>
      <c r="BGV19" s="13"/>
      <c r="BGW19" s="13"/>
      <c r="BGX19" s="13"/>
      <c r="BGY19" s="13"/>
      <c r="BGZ19" s="13"/>
      <c r="BHA19" s="13"/>
      <c r="BHB19" s="13"/>
      <c r="BHC19" s="13"/>
      <c r="BHD19" s="13"/>
      <c r="BHE19" s="13"/>
      <c r="BHF19" s="13"/>
      <c r="BHG19" s="13"/>
      <c r="BHH19" s="13"/>
      <c r="BHI19" s="13"/>
      <c r="BHJ19" s="13"/>
      <c r="BHK19" s="13"/>
      <c r="BHL19" s="13"/>
      <c r="BHM19" s="13"/>
      <c r="BHN19" s="13"/>
      <c r="BHO19" s="13"/>
      <c r="BHP19" s="13"/>
      <c r="BHQ19" s="13"/>
      <c r="BHR19" s="13"/>
      <c r="BHS19" s="13"/>
      <c r="BHT19" s="13"/>
      <c r="BHU19" s="13"/>
      <c r="BHV19" s="13"/>
      <c r="BHW19" s="13"/>
      <c r="BHX19" s="13"/>
      <c r="BHY19" s="13"/>
      <c r="BHZ19" s="13"/>
      <c r="BIA19" s="13"/>
      <c r="BIB19" s="13"/>
      <c r="BIC19" s="13"/>
      <c r="BID19" s="13"/>
      <c r="BIE19" s="13"/>
      <c r="BIF19" s="13"/>
      <c r="BIG19" s="13"/>
      <c r="BIH19" s="13"/>
      <c r="BII19" s="13"/>
      <c r="BIJ19" s="13"/>
      <c r="BIK19" s="13"/>
      <c r="BIL19" s="13"/>
      <c r="BIM19" s="13"/>
      <c r="BIN19" s="13"/>
      <c r="BIO19" s="13"/>
      <c r="BIP19" s="13"/>
      <c r="BIQ19" s="13"/>
      <c r="BIR19" s="13"/>
      <c r="BIS19" s="13"/>
      <c r="BIT19" s="13"/>
      <c r="BIU19" s="13"/>
      <c r="BIV19" s="13"/>
      <c r="BIW19" s="13"/>
      <c r="BIX19" s="13"/>
      <c r="BIY19" s="13"/>
      <c r="BIZ19" s="13"/>
      <c r="BJA19" s="13"/>
      <c r="BJB19" s="13"/>
      <c r="BJC19" s="13"/>
      <c r="BJD19" s="13"/>
      <c r="BJE19" s="13"/>
      <c r="BJF19" s="13"/>
      <c r="BJG19" s="13"/>
      <c r="BJH19" s="13"/>
      <c r="BJI19" s="13"/>
      <c r="BJJ19" s="13"/>
      <c r="BJK19" s="13"/>
      <c r="BJL19" s="13"/>
      <c r="BJM19" s="13"/>
      <c r="BJN19" s="13"/>
      <c r="BJO19" s="13"/>
      <c r="BJP19" s="13"/>
      <c r="BJQ19" s="13"/>
      <c r="BJR19" s="13"/>
      <c r="BJS19" s="13"/>
      <c r="BJT19" s="13"/>
      <c r="BJU19" s="13"/>
      <c r="BJV19" s="13"/>
      <c r="BJW19" s="13"/>
      <c r="BJX19" s="13"/>
      <c r="BJY19" s="13"/>
      <c r="BJZ19" s="13"/>
      <c r="BKA19" s="13"/>
      <c r="BKB19" s="13"/>
      <c r="BKC19" s="13"/>
      <c r="BKD19" s="13"/>
      <c r="BKE19" s="13"/>
      <c r="BKF19" s="13"/>
      <c r="BKG19" s="13"/>
      <c r="BKH19" s="13"/>
      <c r="BKI19" s="13"/>
      <c r="BKJ19" s="13"/>
      <c r="BKK19" s="13"/>
      <c r="BKL19" s="13"/>
      <c r="BKM19" s="13"/>
      <c r="BKN19" s="13"/>
      <c r="BKO19" s="13"/>
      <c r="BKP19" s="13"/>
      <c r="BKQ19" s="13"/>
      <c r="BKR19" s="13"/>
      <c r="BKS19" s="13"/>
      <c r="BKT19" s="13"/>
      <c r="BKU19" s="13"/>
      <c r="BKV19" s="13"/>
      <c r="BKW19" s="13"/>
      <c r="BKX19" s="13"/>
      <c r="BKY19" s="13"/>
      <c r="BKZ19" s="13"/>
      <c r="BLA19" s="13"/>
      <c r="BLB19" s="13"/>
      <c r="BLC19" s="13"/>
      <c r="BLD19" s="13"/>
      <c r="BLE19" s="13"/>
      <c r="BLF19" s="13"/>
      <c r="BLG19" s="13"/>
      <c r="BLH19" s="13"/>
      <c r="BLI19" s="13"/>
      <c r="BLJ19" s="13"/>
      <c r="BLK19" s="13"/>
      <c r="BLL19" s="13"/>
      <c r="BLM19" s="13"/>
      <c r="BLN19" s="13"/>
      <c r="BLO19" s="13"/>
      <c r="BLP19" s="13"/>
      <c r="BLQ19" s="13"/>
      <c r="BLR19" s="13"/>
      <c r="BLS19" s="13"/>
      <c r="BLT19" s="13"/>
      <c r="BLU19" s="13"/>
      <c r="BLV19" s="13"/>
      <c r="BLW19" s="13"/>
      <c r="BLX19" s="13"/>
      <c r="BLY19" s="13"/>
      <c r="BLZ19" s="13"/>
      <c r="BMA19" s="13"/>
      <c r="BMB19" s="13"/>
      <c r="BMC19" s="13"/>
      <c r="BMD19" s="13"/>
      <c r="BME19" s="13"/>
      <c r="BMF19" s="13"/>
      <c r="BMG19" s="13"/>
      <c r="BMH19" s="13"/>
      <c r="BMI19" s="13"/>
      <c r="BMJ19" s="13"/>
      <c r="BMK19" s="13"/>
      <c r="BML19" s="13"/>
      <c r="BMM19" s="13"/>
      <c r="BMN19" s="13"/>
      <c r="BMO19" s="13"/>
      <c r="BMP19" s="13"/>
      <c r="BMQ19" s="13"/>
      <c r="BMR19" s="13"/>
      <c r="BMS19" s="13"/>
      <c r="BMT19" s="13"/>
      <c r="BMU19" s="13"/>
      <c r="BMV19" s="13"/>
      <c r="BMW19" s="13"/>
      <c r="BMX19" s="13"/>
      <c r="BMY19" s="13"/>
      <c r="BMZ19" s="13"/>
      <c r="BNA19" s="13"/>
      <c r="BNB19" s="13"/>
      <c r="BNC19" s="13"/>
      <c r="BND19" s="13"/>
      <c r="BNE19" s="13"/>
      <c r="BNF19" s="13"/>
      <c r="BNG19" s="13"/>
      <c r="BNH19" s="13"/>
      <c r="BNI19" s="13"/>
      <c r="BNJ19" s="13"/>
      <c r="BNK19" s="13"/>
      <c r="BNL19" s="13"/>
      <c r="BNM19" s="13"/>
      <c r="BNN19" s="13"/>
      <c r="BNO19" s="13"/>
      <c r="BNP19" s="13"/>
      <c r="BNQ19" s="13"/>
      <c r="BNR19" s="13"/>
      <c r="BNS19" s="13"/>
      <c r="BNT19" s="13"/>
      <c r="BNU19" s="13"/>
      <c r="BNV19" s="13"/>
      <c r="BNW19" s="13"/>
      <c r="BNX19" s="13"/>
      <c r="BNY19" s="13"/>
      <c r="BNZ19" s="13"/>
      <c r="BOA19" s="13"/>
      <c r="BOB19" s="13"/>
      <c r="BOC19" s="13"/>
      <c r="BOD19" s="13"/>
      <c r="BOE19" s="13"/>
      <c r="BOF19" s="13"/>
      <c r="BOG19" s="13"/>
      <c r="BOH19" s="13"/>
      <c r="BOI19" s="13"/>
      <c r="BOJ19" s="13"/>
      <c r="BOK19" s="13"/>
      <c r="BOL19" s="13"/>
      <c r="BOM19" s="13"/>
      <c r="BON19" s="13"/>
      <c r="BOO19" s="13"/>
      <c r="BOP19" s="13"/>
      <c r="BOQ19" s="13"/>
      <c r="BOR19" s="13"/>
      <c r="BOS19" s="13"/>
      <c r="BOT19" s="13"/>
      <c r="BOU19" s="13"/>
      <c r="BOV19" s="13"/>
      <c r="BOW19" s="13"/>
      <c r="BOX19" s="13"/>
      <c r="BOY19" s="13"/>
      <c r="BOZ19" s="13"/>
      <c r="BPA19" s="13"/>
      <c r="BPB19" s="13"/>
      <c r="BPC19" s="13"/>
      <c r="BPD19" s="13"/>
      <c r="BPE19" s="13"/>
      <c r="BPF19" s="13"/>
      <c r="BPG19" s="13"/>
      <c r="BPH19" s="13"/>
      <c r="BPI19" s="13"/>
      <c r="BPJ19" s="13"/>
      <c r="BPK19" s="13"/>
      <c r="BPL19" s="13"/>
      <c r="BPM19" s="13"/>
      <c r="BPN19" s="13"/>
      <c r="BPO19" s="13"/>
      <c r="BPP19" s="13"/>
      <c r="BPQ19" s="13"/>
      <c r="BPR19" s="13"/>
      <c r="BPS19" s="13"/>
      <c r="BPT19" s="13"/>
      <c r="BPU19" s="13"/>
      <c r="BPV19" s="13"/>
      <c r="BPW19" s="13"/>
      <c r="BPX19" s="13"/>
      <c r="BPY19" s="13"/>
      <c r="BPZ19" s="13"/>
      <c r="BQA19" s="13"/>
      <c r="BQB19" s="13"/>
      <c r="BQC19" s="13"/>
      <c r="BQD19" s="13"/>
      <c r="BQE19" s="13"/>
      <c r="BQF19" s="13"/>
      <c r="BQG19" s="13"/>
      <c r="BQH19" s="13"/>
      <c r="BQI19" s="13"/>
      <c r="BQJ19" s="13"/>
      <c r="BQK19" s="13"/>
      <c r="BQL19" s="13"/>
      <c r="BQM19" s="13"/>
      <c r="BQN19" s="13"/>
      <c r="BQO19" s="13"/>
      <c r="BQP19" s="13"/>
      <c r="BQQ19" s="13"/>
      <c r="BQR19" s="13"/>
      <c r="BQS19" s="13"/>
      <c r="BQT19" s="13"/>
      <c r="BQU19" s="13"/>
      <c r="BQV19" s="13"/>
      <c r="BQW19" s="13"/>
      <c r="BQX19" s="13"/>
      <c r="BQY19" s="13"/>
      <c r="BQZ19" s="13"/>
      <c r="BRA19" s="13"/>
      <c r="BRB19" s="13"/>
      <c r="BRC19" s="13"/>
      <c r="BRD19" s="13"/>
      <c r="BRE19" s="13"/>
      <c r="BRF19" s="13"/>
      <c r="BRG19" s="13"/>
      <c r="BRH19" s="13"/>
      <c r="BRI19" s="13"/>
      <c r="BRJ19" s="13"/>
      <c r="BRK19" s="13"/>
      <c r="BRL19" s="13"/>
      <c r="BRM19" s="13"/>
      <c r="BRN19" s="13"/>
      <c r="BRO19" s="13"/>
      <c r="BRP19" s="13"/>
      <c r="BRQ19" s="13"/>
      <c r="BRR19" s="13"/>
      <c r="BRS19" s="13"/>
      <c r="BRT19" s="13"/>
      <c r="BRU19" s="13"/>
      <c r="BRV19" s="13"/>
      <c r="BRW19" s="13"/>
      <c r="BRX19" s="13"/>
      <c r="BRY19" s="13"/>
      <c r="BRZ19" s="13"/>
      <c r="BSA19" s="13"/>
      <c r="BSB19" s="13"/>
      <c r="BSC19" s="13"/>
      <c r="BSD19" s="13"/>
      <c r="BSE19" s="13"/>
      <c r="BSF19" s="13"/>
      <c r="BSG19" s="13"/>
      <c r="BSH19" s="13"/>
      <c r="BSI19" s="13"/>
      <c r="BSJ19" s="13"/>
      <c r="BSK19" s="13"/>
      <c r="BSL19" s="13"/>
      <c r="BSM19" s="13"/>
      <c r="BSN19" s="13"/>
      <c r="BSO19" s="13"/>
      <c r="BSP19" s="13"/>
      <c r="BSQ19" s="13"/>
      <c r="BSR19" s="13"/>
      <c r="BSS19" s="13"/>
      <c r="BST19" s="13"/>
      <c r="BSU19" s="13"/>
      <c r="BSV19" s="13"/>
      <c r="BSW19" s="13"/>
      <c r="BSX19" s="13"/>
      <c r="BSY19" s="13"/>
      <c r="BSZ19" s="13"/>
      <c r="BTA19" s="13"/>
      <c r="BTB19" s="13"/>
      <c r="BTC19" s="13"/>
      <c r="BTD19" s="13"/>
      <c r="BTE19" s="13"/>
      <c r="BTF19" s="13"/>
      <c r="BTG19" s="13"/>
      <c r="BTH19" s="13"/>
      <c r="BTI19" s="13"/>
      <c r="BTJ19" s="13"/>
      <c r="BTK19" s="13"/>
      <c r="BTL19" s="13"/>
      <c r="BTM19" s="13"/>
      <c r="BTN19" s="13"/>
      <c r="BTO19" s="13"/>
      <c r="BTP19" s="13"/>
      <c r="BTQ19" s="13"/>
      <c r="BTR19" s="13"/>
      <c r="BTS19" s="13"/>
      <c r="BTT19" s="13"/>
      <c r="BTU19" s="13"/>
      <c r="BTV19" s="13"/>
      <c r="BTW19" s="13"/>
      <c r="BTX19" s="13"/>
      <c r="BTY19" s="13"/>
      <c r="BTZ19" s="13"/>
      <c r="BUA19" s="13"/>
      <c r="BUB19" s="13"/>
      <c r="BUC19" s="13"/>
      <c r="BUD19" s="13"/>
      <c r="BUE19" s="13"/>
      <c r="BUF19" s="13"/>
      <c r="BUG19" s="13"/>
      <c r="BUH19" s="13"/>
      <c r="BUI19" s="13"/>
      <c r="BUJ19" s="13"/>
      <c r="BUK19" s="13"/>
      <c r="BUL19" s="13"/>
      <c r="BUM19" s="13"/>
      <c r="BUN19" s="13"/>
      <c r="BUO19" s="13"/>
      <c r="BUP19" s="13"/>
      <c r="BUQ19" s="13"/>
      <c r="BUR19" s="13"/>
      <c r="BUS19" s="13"/>
      <c r="BUT19" s="13"/>
      <c r="BUU19" s="13"/>
      <c r="BUV19" s="13"/>
      <c r="BUW19" s="13"/>
      <c r="BUX19" s="13"/>
      <c r="BUY19" s="13"/>
      <c r="BUZ19" s="13"/>
      <c r="BVA19" s="13"/>
      <c r="BVB19" s="13"/>
      <c r="BVC19" s="13"/>
      <c r="BVD19" s="13"/>
      <c r="BVE19" s="13"/>
      <c r="BVF19" s="13"/>
      <c r="BVG19" s="13"/>
      <c r="BVH19" s="13"/>
      <c r="BVI19" s="13"/>
      <c r="BVJ19" s="13"/>
      <c r="BVK19" s="13"/>
      <c r="BVL19" s="13"/>
      <c r="BVM19" s="13"/>
      <c r="BVN19" s="13"/>
      <c r="BVO19" s="13"/>
      <c r="BVP19" s="13"/>
      <c r="BVQ19" s="13"/>
      <c r="BVR19" s="13"/>
      <c r="BVS19" s="13"/>
      <c r="BVT19" s="13"/>
      <c r="BVU19" s="13"/>
      <c r="BVV19" s="13"/>
      <c r="BVW19" s="13"/>
      <c r="BVX19" s="13"/>
      <c r="BVY19" s="13"/>
      <c r="BVZ19" s="13"/>
      <c r="BWA19" s="13"/>
      <c r="BWB19" s="13"/>
      <c r="BWC19" s="13"/>
      <c r="BWD19" s="13"/>
      <c r="BWE19" s="13"/>
      <c r="BWF19" s="13"/>
      <c r="BWG19" s="13"/>
      <c r="BWH19" s="13"/>
      <c r="BWI19" s="13"/>
      <c r="BWJ19" s="13"/>
      <c r="BWK19" s="13"/>
      <c r="BWL19" s="13"/>
      <c r="BWM19" s="13"/>
      <c r="BWN19" s="13"/>
      <c r="BWO19" s="13"/>
      <c r="BWP19" s="13"/>
      <c r="BWQ19" s="13"/>
      <c r="BWR19" s="13"/>
      <c r="BWS19" s="13"/>
      <c r="BWT19" s="13"/>
      <c r="BWU19" s="13"/>
      <c r="BWV19" s="13"/>
      <c r="BWW19" s="13"/>
      <c r="BWX19" s="13"/>
      <c r="BWY19" s="13"/>
      <c r="BWZ19" s="13"/>
      <c r="BXA19" s="13"/>
      <c r="BXB19" s="13"/>
      <c r="BXC19" s="13"/>
      <c r="BXD19" s="13"/>
      <c r="BXE19" s="13"/>
      <c r="BXF19" s="13"/>
      <c r="BXG19" s="13"/>
      <c r="BXH19" s="13"/>
      <c r="BXI19" s="13"/>
      <c r="BXJ19" s="13"/>
      <c r="BXK19" s="13"/>
      <c r="BXL19" s="13"/>
      <c r="BXM19" s="13"/>
      <c r="BXN19" s="13"/>
      <c r="BXO19" s="13"/>
      <c r="BXP19" s="13"/>
      <c r="BXQ19" s="13"/>
      <c r="BXR19" s="13"/>
      <c r="BXS19" s="13"/>
      <c r="BXT19" s="13"/>
      <c r="BXU19" s="13"/>
      <c r="BXV19" s="13"/>
      <c r="BXW19" s="13"/>
      <c r="BXX19" s="13"/>
      <c r="BXY19" s="13"/>
      <c r="BXZ19" s="13"/>
      <c r="BYA19" s="13"/>
      <c r="BYB19" s="13"/>
      <c r="BYC19" s="13"/>
      <c r="BYD19" s="13"/>
      <c r="BYE19" s="13"/>
      <c r="BYF19" s="13"/>
      <c r="BYG19" s="13"/>
      <c r="BYH19" s="13"/>
      <c r="BYI19" s="13"/>
      <c r="BYJ19" s="13"/>
      <c r="BYK19" s="13"/>
      <c r="BYL19" s="13"/>
      <c r="BYM19" s="13"/>
      <c r="BYN19" s="13"/>
      <c r="BYO19" s="13"/>
      <c r="BYP19" s="13"/>
      <c r="BYQ19" s="13"/>
      <c r="BYR19" s="13"/>
      <c r="BYS19" s="13"/>
      <c r="BYT19" s="13"/>
      <c r="BYU19" s="13"/>
      <c r="BYV19" s="13"/>
      <c r="BYW19" s="13"/>
      <c r="BYX19" s="13"/>
      <c r="BYY19" s="13"/>
      <c r="BYZ19" s="13"/>
      <c r="BZA19" s="13"/>
      <c r="BZB19" s="13"/>
      <c r="BZC19" s="13"/>
      <c r="BZD19" s="13"/>
      <c r="BZE19" s="13"/>
      <c r="BZF19" s="13"/>
      <c r="BZG19" s="13"/>
      <c r="BZH19" s="13"/>
      <c r="BZI19" s="13"/>
      <c r="BZJ19" s="13"/>
      <c r="BZK19" s="13"/>
      <c r="BZL19" s="13"/>
      <c r="BZM19" s="13"/>
      <c r="BZN19" s="13"/>
      <c r="BZO19" s="13"/>
      <c r="BZP19" s="13"/>
      <c r="BZQ19" s="13"/>
      <c r="BZR19" s="13"/>
      <c r="BZS19" s="13"/>
      <c r="BZT19" s="13"/>
      <c r="BZU19" s="13"/>
      <c r="BZV19" s="13"/>
      <c r="BZW19" s="13"/>
      <c r="BZX19" s="13"/>
      <c r="BZY19" s="13"/>
      <c r="BZZ19" s="13"/>
      <c r="CAA19" s="13"/>
      <c r="CAB19" s="13"/>
      <c r="CAC19" s="13"/>
      <c r="CAD19" s="13"/>
      <c r="CAE19" s="13"/>
      <c r="CAF19" s="13"/>
      <c r="CAG19" s="13"/>
      <c r="CAH19" s="13"/>
      <c r="CAI19" s="13"/>
      <c r="CAJ19" s="13"/>
      <c r="CAK19" s="13"/>
      <c r="CAL19" s="13"/>
      <c r="CAM19" s="13"/>
      <c r="CAN19" s="13"/>
      <c r="CAO19" s="13"/>
      <c r="CAP19" s="13"/>
      <c r="CAQ19" s="13"/>
      <c r="CAR19" s="13"/>
      <c r="CAS19" s="13"/>
      <c r="CAT19" s="13"/>
      <c r="CAU19" s="13"/>
      <c r="CAV19" s="13"/>
      <c r="CAW19" s="13"/>
      <c r="CAX19" s="13"/>
      <c r="CAY19" s="13"/>
      <c r="CAZ19" s="13"/>
      <c r="CBA19" s="13"/>
      <c r="CBB19" s="13"/>
      <c r="CBC19" s="13"/>
      <c r="CBD19" s="13"/>
      <c r="CBE19" s="13"/>
      <c r="CBF19" s="13"/>
      <c r="CBG19" s="13"/>
      <c r="CBH19" s="13"/>
      <c r="CBI19" s="13"/>
      <c r="CBJ19" s="13"/>
      <c r="CBK19" s="13"/>
      <c r="CBL19" s="13"/>
      <c r="CBM19" s="13"/>
      <c r="CBN19" s="13"/>
      <c r="CBO19" s="13"/>
      <c r="CBP19" s="13"/>
      <c r="CBQ19" s="13"/>
      <c r="CBR19" s="13"/>
      <c r="CBS19" s="13"/>
      <c r="CBT19" s="13"/>
      <c r="CBU19" s="13"/>
      <c r="CBV19" s="13"/>
      <c r="CBW19" s="13"/>
      <c r="CBX19" s="13"/>
      <c r="CBY19" s="13"/>
      <c r="CBZ19" s="13"/>
      <c r="CCA19" s="13"/>
      <c r="CCB19" s="13"/>
      <c r="CCC19" s="13"/>
      <c r="CCD19" s="13"/>
      <c r="CCE19" s="13"/>
      <c r="CCF19" s="13"/>
      <c r="CCG19" s="13"/>
      <c r="CCH19" s="13"/>
      <c r="CCI19" s="13"/>
      <c r="CCJ19" s="13"/>
      <c r="CCK19" s="13"/>
      <c r="CCL19" s="13"/>
      <c r="CCM19" s="13"/>
      <c r="CCN19" s="13"/>
      <c r="CCO19" s="13"/>
      <c r="CCP19" s="13"/>
      <c r="CCQ19" s="13"/>
      <c r="CCR19" s="13"/>
      <c r="CCS19" s="13"/>
      <c r="CCT19" s="13"/>
      <c r="CCU19" s="13"/>
      <c r="CCV19" s="13"/>
      <c r="CCW19" s="13"/>
      <c r="CCX19" s="13"/>
      <c r="CCY19" s="13"/>
      <c r="CCZ19" s="13"/>
      <c r="CDA19" s="13"/>
      <c r="CDB19" s="13"/>
      <c r="CDC19" s="13"/>
      <c r="CDD19" s="13"/>
      <c r="CDE19" s="13"/>
      <c r="CDF19" s="13"/>
      <c r="CDG19" s="13"/>
      <c r="CDH19" s="13"/>
      <c r="CDI19" s="13"/>
      <c r="CDJ19" s="13"/>
      <c r="CDK19" s="13"/>
      <c r="CDL19" s="13"/>
      <c r="CDM19" s="13"/>
      <c r="CDN19" s="13"/>
      <c r="CDO19" s="13"/>
      <c r="CDP19" s="13"/>
      <c r="CDQ19" s="13"/>
      <c r="CDR19" s="13"/>
      <c r="CDS19" s="13"/>
      <c r="CDT19" s="13"/>
      <c r="CDU19" s="13"/>
      <c r="CDV19" s="13"/>
      <c r="CDW19" s="13"/>
      <c r="CDX19" s="13"/>
      <c r="CDY19" s="13"/>
      <c r="CDZ19" s="13"/>
      <c r="CEA19" s="13"/>
      <c r="CEB19" s="13"/>
      <c r="CEC19" s="13"/>
      <c r="CED19" s="13"/>
      <c r="CEE19" s="13"/>
      <c r="CEF19" s="13"/>
      <c r="CEG19" s="13"/>
      <c r="CEH19" s="13"/>
      <c r="CEI19" s="13"/>
      <c r="CEJ19" s="13"/>
      <c r="CEK19" s="13"/>
      <c r="CEL19" s="13"/>
      <c r="CEM19" s="13"/>
      <c r="CEN19" s="13"/>
      <c r="CEO19" s="13"/>
      <c r="CEP19" s="13"/>
      <c r="CEQ19" s="13"/>
      <c r="CER19" s="13"/>
      <c r="CES19" s="13"/>
      <c r="CET19" s="13"/>
      <c r="CEU19" s="13"/>
      <c r="CEV19" s="13"/>
      <c r="CEW19" s="13"/>
      <c r="CEX19" s="13"/>
      <c r="CEY19" s="13"/>
      <c r="CEZ19" s="13"/>
      <c r="CFA19" s="13"/>
      <c r="CFB19" s="13"/>
      <c r="CFC19" s="13"/>
      <c r="CFD19" s="13"/>
      <c r="CFE19" s="13"/>
      <c r="CFF19" s="13"/>
      <c r="CFG19" s="13"/>
      <c r="CFH19" s="13"/>
      <c r="CFI19" s="13"/>
      <c r="CFJ19" s="13"/>
      <c r="CFK19" s="13"/>
      <c r="CFL19" s="13"/>
      <c r="CFM19" s="13"/>
      <c r="CFN19" s="13"/>
      <c r="CFO19" s="13"/>
      <c r="CFP19" s="13"/>
      <c r="CFQ19" s="13"/>
      <c r="CFR19" s="13"/>
      <c r="CFS19" s="13"/>
      <c r="CFT19" s="13"/>
      <c r="CFU19" s="13"/>
      <c r="CFV19" s="13"/>
      <c r="CFW19" s="13"/>
      <c r="CFX19" s="13"/>
      <c r="CFY19" s="13"/>
      <c r="CFZ19" s="13"/>
      <c r="CGA19" s="13"/>
      <c r="CGB19" s="13"/>
      <c r="CGC19" s="13"/>
      <c r="CGD19" s="13"/>
      <c r="CGE19" s="13"/>
      <c r="CGF19" s="13"/>
      <c r="CGG19" s="13"/>
      <c r="CGH19" s="13"/>
      <c r="CGI19" s="13"/>
      <c r="CGJ19" s="13"/>
      <c r="CGK19" s="13"/>
      <c r="CGL19" s="13"/>
      <c r="CGM19" s="13"/>
      <c r="CGN19" s="13"/>
      <c r="CGO19" s="13"/>
      <c r="CGP19" s="13"/>
      <c r="CGQ19" s="13"/>
      <c r="CGR19" s="13"/>
      <c r="CGS19" s="13"/>
      <c r="CGT19" s="13"/>
      <c r="CGU19" s="13"/>
      <c r="CGV19" s="13"/>
      <c r="CGW19" s="13"/>
      <c r="CGX19" s="13"/>
      <c r="CGY19" s="13"/>
      <c r="CGZ19" s="13"/>
      <c r="CHA19" s="13"/>
      <c r="CHB19" s="13"/>
      <c r="CHC19" s="13"/>
      <c r="CHD19" s="13"/>
      <c r="CHE19" s="13"/>
      <c r="CHF19" s="13"/>
      <c r="CHG19" s="13"/>
      <c r="CHH19" s="13"/>
      <c r="CHI19" s="13"/>
      <c r="CHJ19" s="13"/>
      <c r="CHK19" s="13"/>
      <c r="CHL19" s="13"/>
      <c r="CHM19" s="13"/>
      <c r="CHN19" s="13"/>
      <c r="CHO19" s="13"/>
      <c r="CHP19" s="13"/>
      <c r="CHQ19" s="13"/>
      <c r="CHR19" s="13"/>
      <c r="CHS19" s="13"/>
      <c r="CHT19" s="13"/>
      <c r="CHU19" s="13"/>
      <c r="CHV19" s="13"/>
      <c r="CHW19" s="13"/>
      <c r="CHX19" s="13"/>
      <c r="CHY19" s="13"/>
      <c r="CHZ19" s="13"/>
      <c r="CIA19" s="13"/>
      <c r="CIB19" s="13"/>
      <c r="CIC19" s="13"/>
      <c r="CID19" s="13"/>
      <c r="CIE19" s="13"/>
      <c r="CIF19" s="13"/>
      <c r="CIG19" s="13"/>
      <c r="CIH19" s="13"/>
      <c r="CII19" s="13"/>
      <c r="CIJ19" s="13"/>
      <c r="CIK19" s="13"/>
      <c r="CIL19" s="13"/>
      <c r="CIM19" s="13"/>
      <c r="CIN19" s="13"/>
      <c r="CIO19" s="13"/>
      <c r="CIP19" s="13"/>
      <c r="CIQ19" s="13"/>
      <c r="CIR19" s="13"/>
      <c r="CIS19" s="13"/>
      <c r="CIT19" s="13"/>
      <c r="CIU19" s="13"/>
      <c r="CIV19" s="13"/>
      <c r="CIW19" s="13"/>
      <c r="CIX19" s="13"/>
      <c r="CIY19" s="13"/>
      <c r="CIZ19" s="13"/>
      <c r="CJA19" s="13"/>
      <c r="CJB19" s="13"/>
      <c r="CJC19" s="13"/>
      <c r="CJD19" s="13"/>
      <c r="CJE19" s="13"/>
      <c r="CJF19" s="13"/>
      <c r="CJG19" s="13"/>
      <c r="CJH19" s="13"/>
      <c r="CJI19" s="13"/>
      <c r="CJJ19" s="13"/>
      <c r="CJK19" s="13"/>
      <c r="CJL19" s="13"/>
      <c r="CJM19" s="13"/>
      <c r="CJN19" s="13"/>
      <c r="CJO19" s="13"/>
      <c r="CJP19" s="13"/>
      <c r="CJQ19" s="13"/>
      <c r="CJR19" s="13"/>
      <c r="CJS19" s="13"/>
      <c r="CJT19" s="13"/>
      <c r="CJU19" s="13"/>
      <c r="CJV19" s="13"/>
      <c r="CJW19" s="13"/>
      <c r="CJX19" s="13"/>
      <c r="CJY19" s="13"/>
      <c r="CJZ19" s="13"/>
      <c r="CKA19" s="13"/>
      <c r="CKB19" s="13"/>
      <c r="CKC19" s="13"/>
      <c r="CKD19" s="13"/>
      <c r="CKE19" s="13"/>
      <c r="CKF19" s="13"/>
      <c r="CKG19" s="13"/>
      <c r="CKH19" s="13"/>
      <c r="CKI19" s="13"/>
      <c r="CKJ19" s="13"/>
      <c r="CKK19" s="13"/>
      <c r="CKL19" s="13"/>
      <c r="CKM19" s="13"/>
      <c r="CKN19" s="13"/>
      <c r="CKO19" s="13"/>
      <c r="CKP19" s="13"/>
      <c r="CKQ19" s="13"/>
      <c r="CKR19" s="13"/>
      <c r="CKS19" s="13"/>
      <c r="CKT19" s="13"/>
      <c r="CKU19" s="13"/>
      <c r="CKV19" s="13"/>
      <c r="CKW19" s="13"/>
      <c r="CKX19" s="13"/>
      <c r="CKY19" s="13"/>
      <c r="CKZ19" s="13"/>
      <c r="CLA19" s="13"/>
      <c r="CLB19" s="13"/>
      <c r="CLC19" s="13"/>
      <c r="CLD19" s="13"/>
      <c r="CLE19" s="13"/>
      <c r="CLF19" s="13"/>
      <c r="CLG19" s="13"/>
      <c r="CLH19" s="13"/>
      <c r="CLI19" s="13"/>
      <c r="CLJ19" s="13"/>
      <c r="CLK19" s="13"/>
      <c r="CLL19" s="13"/>
      <c r="CLM19" s="13"/>
      <c r="CLN19" s="13"/>
      <c r="CLO19" s="13"/>
      <c r="CLP19" s="13"/>
      <c r="CLQ19" s="13"/>
      <c r="CLR19" s="13"/>
      <c r="CLS19" s="13"/>
      <c r="CLT19" s="13"/>
      <c r="CLU19" s="13"/>
      <c r="CLV19" s="13"/>
      <c r="CLW19" s="13"/>
      <c r="CLX19" s="13"/>
      <c r="CLY19" s="13"/>
      <c r="CLZ19" s="13"/>
      <c r="CMA19" s="13"/>
      <c r="CMB19" s="13"/>
      <c r="CMC19" s="13"/>
      <c r="CMD19" s="13"/>
      <c r="CME19" s="13"/>
      <c r="CMF19" s="13"/>
      <c r="CMG19" s="13"/>
      <c r="CMH19" s="13"/>
      <c r="CMI19" s="13"/>
      <c r="CMJ19" s="13"/>
      <c r="CMK19" s="13"/>
      <c r="CML19" s="13"/>
      <c r="CMM19" s="13"/>
      <c r="CMN19" s="13"/>
      <c r="CMO19" s="13"/>
      <c r="CMP19" s="13"/>
      <c r="CMQ19" s="13"/>
      <c r="CMR19" s="13"/>
      <c r="CMS19" s="13"/>
      <c r="CMT19" s="13"/>
      <c r="CMU19" s="13"/>
      <c r="CMV19" s="13"/>
      <c r="CMW19" s="13"/>
      <c r="CMX19" s="13"/>
      <c r="CMY19" s="13"/>
      <c r="CMZ19" s="13"/>
      <c r="CNA19" s="13"/>
      <c r="CNB19" s="13"/>
      <c r="CNC19" s="13"/>
      <c r="CND19" s="13"/>
      <c r="CNE19" s="13"/>
      <c r="CNF19" s="13"/>
      <c r="CNG19" s="13"/>
      <c r="CNH19" s="13"/>
      <c r="CNI19" s="13"/>
      <c r="CNJ19" s="13"/>
      <c r="CNK19" s="13"/>
      <c r="CNL19" s="13"/>
      <c r="CNM19" s="13"/>
      <c r="CNN19" s="13"/>
      <c r="CNO19" s="13"/>
      <c r="CNP19" s="13"/>
      <c r="CNQ19" s="13"/>
      <c r="CNR19" s="13"/>
      <c r="CNS19" s="13"/>
      <c r="CNT19" s="13"/>
      <c r="CNU19" s="13"/>
      <c r="CNV19" s="13"/>
      <c r="CNW19" s="13"/>
      <c r="CNX19" s="13"/>
      <c r="CNY19" s="13"/>
      <c r="CNZ19" s="13"/>
      <c r="COA19" s="13"/>
      <c r="COB19" s="13"/>
      <c r="COC19" s="13"/>
      <c r="COD19" s="13"/>
      <c r="COE19" s="13"/>
      <c r="COF19" s="13"/>
      <c r="COG19" s="13"/>
      <c r="COH19" s="13"/>
      <c r="COI19" s="13"/>
      <c r="COJ19" s="13"/>
      <c r="COK19" s="13"/>
      <c r="COL19" s="13"/>
      <c r="COM19" s="13"/>
      <c r="CON19" s="13"/>
      <c r="COO19" s="13"/>
      <c r="COP19" s="13"/>
      <c r="COQ19" s="13"/>
      <c r="COR19" s="13"/>
      <c r="COS19" s="13"/>
      <c r="COT19" s="13"/>
      <c r="COU19" s="13"/>
      <c r="COV19" s="13"/>
      <c r="COW19" s="13"/>
      <c r="COX19" s="13"/>
      <c r="COY19" s="13"/>
      <c r="COZ19" s="13"/>
      <c r="CPA19" s="13"/>
      <c r="CPB19" s="13"/>
      <c r="CPC19" s="13"/>
      <c r="CPD19" s="13"/>
      <c r="CPE19" s="13"/>
      <c r="CPF19" s="13"/>
      <c r="CPG19" s="13"/>
      <c r="CPH19" s="13"/>
      <c r="CPI19" s="13"/>
      <c r="CPJ19" s="13"/>
      <c r="CPK19" s="13"/>
      <c r="CPL19" s="13"/>
      <c r="CPM19" s="13"/>
      <c r="CPN19" s="13"/>
      <c r="CPO19" s="13"/>
      <c r="CPP19" s="13"/>
      <c r="CPQ19" s="13"/>
      <c r="CPR19" s="13"/>
      <c r="CPS19" s="13"/>
      <c r="CPT19" s="13"/>
      <c r="CPU19" s="13"/>
      <c r="CPV19" s="13"/>
      <c r="CPW19" s="13"/>
      <c r="CPX19" s="13"/>
      <c r="CPY19" s="13"/>
      <c r="CPZ19" s="13"/>
      <c r="CQA19" s="13"/>
      <c r="CQB19" s="13"/>
      <c r="CQC19" s="13"/>
      <c r="CQD19" s="13"/>
      <c r="CQE19" s="13"/>
      <c r="CQF19" s="13"/>
      <c r="CQG19" s="13"/>
      <c r="CQH19" s="13"/>
      <c r="CQI19" s="13"/>
      <c r="CQJ19" s="13"/>
      <c r="CQK19" s="13"/>
      <c r="CQL19" s="13"/>
      <c r="CQM19" s="13"/>
      <c r="CQN19" s="13"/>
      <c r="CQO19" s="13"/>
      <c r="CQP19" s="13"/>
      <c r="CQQ19" s="13"/>
      <c r="CQR19" s="13"/>
      <c r="CQS19" s="13"/>
      <c r="CQT19" s="13"/>
      <c r="CQU19" s="13"/>
      <c r="CQV19" s="13"/>
      <c r="CQW19" s="13"/>
      <c r="CQX19" s="13"/>
      <c r="CQY19" s="13"/>
      <c r="CQZ19" s="13"/>
      <c r="CRA19" s="13"/>
      <c r="CRB19" s="13"/>
      <c r="CRC19" s="13"/>
      <c r="CRD19" s="13"/>
      <c r="CRE19" s="13"/>
      <c r="CRF19" s="13"/>
      <c r="CRG19" s="13"/>
      <c r="CRH19" s="13"/>
      <c r="CRI19" s="13"/>
      <c r="CRJ19" s="13"/>
      <c r="CRK19" s="13"/>
      <c r="CRL19" s="13"/>
      <c r="CRM19" s="13"/>
      <c r="CRN19" s="13"/>
      <c r="CRO19" s="13"/>
      <c r="CRP19" s="13"/>
      <c r="CRQ19" s="13"/>
      <c r="CRR19" s="13"/>
      <c r="CRS19" s="13"/>
      <c r="CRT19" s="13"/>
      <c r="CRU19" s="13"/>
      <c r="CRV19" s="13"/>
      <c r="CRW19" s="13"/>
      <c r="CRX19" s="13"/>
      <c r="CRY19" s="13"/>
      <c r="CRZ19" s="13"/>
      <c r="CSA19" s="13"/>
      <c r="CSB19" s="13"/>
      <c r="CSC19" s="13"/>
      <c r="CSD19" s="13"/>
      <c r="CSE19" s="13"/>
      <c r="CSF19" s="13"/>
      <c r="CSG19" s="13"/>
      <c r="CSH19" s="13"/>
      <c r="CSI19" s="13"/>
      <c r="CSJ19" s="13"/>
      <c r="CSK19" s="13"/>
      <c r="CSL19" s="13"/>
      <c r="CSM19" s="13"/>
      <c r="CSN19" s="13"/>
      <c r="CSO19" s="13"/>
      <c r="CSP19" s="13"/>
      <c r="CSQ19" s="13"/>
      <c r="CSR19" s="13"/>
      <c r="CSS19" s="13"/>
      <c r="CST19" s="13"/>
      <c r="CSU19" s="13"/>
      <c r="CSV19" s="13"/>
      <c r="CSW19" s="13"/>
      <c r="CSX19" s="13"/>
      <c r="CSY19" s="13"/>
      <c r="CSZ19" s="13"/>
      <c r="CTA19" s="13"/>
      <c r="CTB19" s="13"/>
      <c r="CTC19" s="13"/>
      <c r="CTD19" s="13"/>
      <c r="CTE19" s="13"/>
      <c r="CTF19" s="13"/>
      <c r="CTG19" s="13"/>
      <c r="CTH19" s="13"/>
      <c r="CTI19" s="13"/>
      <c r="CTJ19" s="13"/>
      <c r="CTK19" s="13"/>
      <c r="CTL19" s="13"/>
      <c r="CTM19" s="13"/>
      <c r="CTN19" s="13"/>
      <c r="CTO19" s="13"/>
      <c r="CTP19" s="13"/>
      <c r="CTQ19" s="13"/>
      <c r="CTR19" s="13"/>
      <c r="CTS19" s="13"/>
      <c r="CTT19" s="13"/>
      <c r="CTU19" s="13"/>
      <c r="CTV19" s="13"/>
      <c r="CTW19" s="13"/>
      <c r="CTX19" s="13"/>
      <c r="CTY19" s="13"/>
      <c r="CTZ19" s="13"/>
      <c r="CUA19" s="13"/>
      <c r="CUB19" s="13"/>
      <c r="CUC19" s="13"/>
      <c r="CUD19" s="13"/>
      <c r="CUE19" s="13"/>
      <c r="CUF19" s="13"/>
      <c r="CUG19" s="13"/>
      <c r="CUH19" s="13"/>
      <c r="CUI19" s="13"/>
      <c r="CUJ19" s="13"/>
      <c r="CUK19" s="13"/>
      <c r="CUL19" s="13"/>
      <c r="CUM19" s="13"/>
      <c r="CUN19" s="13"/>
      <c r="CUO19" s="13"/>
      <c r="CUP19" s="13"/>
      <c r="CUQ19" s="13"/>
      <c r="CUR19" s="13"/>
      <c r="CUS19" s="13"/>
      <c r="CUT19" s="13"/>
      <c r="CUU19" s="13"/>
      <c r="CUV19" s="13"/>
      <c r="CUW19" s="13"/>
      <c r="CUX19" s="13"/>
      <c r="CUY19" s="13"/>
      <c r="CUZ19" s="13"/>
      <c r="CVA19" s="13"/>
      <c r="CVB19" s="13"/>
      <c r="CVC19" s="13"/>
      <c r="CVD19" s="13"/>
      <c r="CVE19" s="13"/>
      <c r="CVF19" s="13"/>
      <c r="CVG19" s="13"/>
      <c r="CVH19" s="13"/>
      <c r="CVI19" s="13"/>
      <c r="CVJ19" s="13"/>
      <c r="CVK19" s="13"/>
      <c r="CVL19" s="13"/>
      <c r="CVM19" s="13"/>
      <c r="CVN19" s="13"/>
      <c r="CVO19" s="13"/>
      <c r="CVP19" s="13"/>
      <c r="CVQ19" s="13"/>
      <c r="CVR19" s="13"/>
      <c r="CVS19" s="13"/>
      <c r="CVT19" s="13"/>
      <c r="CVU19" s="13"/>
      <c r="CVV19" s="13"/>
      <c r="CVW19" s="13"/>
      <c r="CVX19" s="13"/>
      <c r="CVY19" s="13"/>
      <c r="CVZ19" s="13"/>
      <c r="CWA19" s="13"/>
      <c r="CWB19" s="13"/>
      <c r="CWC19" s="13"/>
      <c r="CWD19" s="13"/>
      <c r="CWE19" s="13"/>
      <c r="CWF19" s="13"/>
      <c r="CWG19" s="13"/>
      <c r="CWH19" s="13"/>
      <c r="CWI19" s="13"/>
      <c r="CWJ19" s="13"/>
      <c r="CWK19" s="13"/>
      <c r="CWL19" s="13"/>
      <c r="CWM19" s="13"/>
      <c r="CWN19" s="13"/>
      <c r="CWO19" s="13"/>
      <c r="CWP19" s="13"/>
      <c r="CWQ19" s="13"/>
      <c r="CWR19" s="13"/>
      <c r="CWS19" s="13"/>
      <c r="CWT19" s="13"/>
      <c r="CWU19" s="13"/>
      <c r="CWV19" s="13"/>
      <c r="CWW19" s="13"/>
      <c r="CWX19" s="13"/>
      <c r="CWY19" s="13"/>
      <c r="CWZ19" s="13"/>
      <c r="CXA19" s="13"/>
      <c r="CXB19" s="13"/>
      <c r="CXC19" s="13"/>
      <c r="CXD19" s="13"/>
      <c r="CXE19" s="13"/>
      <c r="CXF19" s="13"/>
      <c r="CXG19" s="13"/>
      <c r="CXH19" s="13"/>
      <c r="CXI19" s="13"/>
      <c r="CXJ19" s="13"/>
      <c r="CXK19" s="13"/>
      <c r="CXL19" s="13"/>
      <c r="CXM19" s="13"/>
      <c r="CXN19" s="13"/>
      <c r="CXO19" s="13"/>
      <c r="CXP19" s="13"/>
      <c r="CXQ19" s="13"/>
      <c r="CXR19" s="13"/>
      <c r="CXS19" s="13"/>
      <c r="CXT19" s="13"/>
      <c r="CXU19" s="13"/>
      <c r="CXV19" s="13"/>
      <c r="CXW19" s="13"/>
      <c r="CXX19" s="13"/>
      <c r="CXY19" s="13"/>
      <c r="CXZ19" s="13"/>
      <c r="CYA19" s="13"/>
      <c r="CYB19" s="13"/>
      <c r="CYC19" s="13"/>
      <c r="CYD19" s="13"/>
      <c r="CYE19" s="13"/>
      <c r="CYF19" s="13"/>
      <c r="CYG19" s="13"/>
      <c r="CYH19" s="13"/>
      <c r="CYI19" s="13"/>
      <c r="CYJ19" s="13"/>
      <c r="CYK19" s="13"/>
      <c r="CYL19" s="13"/>
      <c r="CYM19" s="13"/>
      <c r="CYN19" s="13"/>
      <c r="CYO19" s="13"/>
      <c r="CYP19" s="13"/>
      <c r="CYQ19" s="13"/>
      <c r="CYR19" s="13"/>
      <c r="CYS19" s="13"/>
      <c r="CYT19" s="13"/>
      <c r="CYU19" s="13"/>
      <c r="CYV19" s="13"/>
      <c r="CYW19" s="13"/>
      <c r="CYX19" s="13"/>
      <c r="CYY19" s="13"/>
      <c r="CYZ19" s="13"/>
      <c r="CZA19" s="13"/>
      <c r="CZB19" s="13"/>
      <c r="CZC19" s="13"/>
      <c r="CZD19" s="13"/>
      <c r="CZE19" s="13"/>
      <c r="CZF19" s="13"/>
      <c r="CZG19" s="13"/>
      <c r="CZH19" s="13"/>
      <c r="CZI19" s="13"/>
      <c r="CZJ19" s="13"/>
      <c r="CZK19" s="13"/>
      <c r="CZL19" s="13"/>
      <c r="CZM19" s="13"/>
      <c r="CZN19" s="13"/>
      <c r="CZO19" s="13"/>
      <c r="CZP19" s="13"/>
      <c r="CZQ19" s="13"/>
      <c r="CZR19" s="13"/>
      <c r="CZS19" s="13"/>
      <c r="CZT19" s="13"/>
      <c r="CZU19" s="13"/>
      <c r="CZV19" s="13"/>
      <c r="CZW19" s="13"/>
      <c r="CZX19" s="13"/>
      <c r="CZY19" s="13"/>
      <c r="CZZ19" s="13"/>
      <c r="DAA19" s="13"/>
      <c r="DAB19" s="13"/>
      <c r="DAC19" s="13"/>
      <c r="DAD19" s="13"/>
      <c r="DAE19" s="13"/>
      <c r="DAF19" s="13"/>
      <c r="DAG19" s="13"/>
      <c r="DAH19" s="13"/>
      <c r="DAI19" s="13"/>
      <c r="DAJ19" s="13"/>
      <c r="DAK19" s="13"/>
      <c r="DAL19" s="13"/>
      <c r="DAM19" s="13"/>
      <c r="DAN19" s="13"/>
      <c r="DAO19" s="13"/>
      <c r="DAP19" s="13"/>
      <c r="DAQ19" s="13"/>
      <c r="DAR19" s="13"/>
      <c r="DAS19" s="13"/>
      <c r="DAT19" s="13"/>
      <c r="DAU19" s="13"/>
      <c r="DAV19" s="13"/>
      <c r="DAW19" s="13"/>
      <c r="DAX19" s="13"/>
      <c r="DAY19" s="13"/>
      <c r="DAZ19" s="13"/>
      <c r="DBA19" s="13"/>
      <c r="DBB19" s="13"/>
      <c r="DBC19" s="13"/>
      <c r="DBD19" s="13"/>
      <c r="DBE19" s="13"/>
      <c r="DBF19" s="13"/>
      <c r="DBG19" s="13"/>
      <c r="DBH19" s="13"/>
      <c r="DBI19" s="13"/>
      <c r="DBJ19" s="13"/>
      <c r="DBK19" s="13"/>
      <c r="DBL19" s="13"/>
      <c r="DBM19" s="13"/>
      <c r="DBN19" s="13"/>
      <c r="DBO19" s="13"/>
      <c r="DBP19" s="13"/>
      <c r="DBQ19" s="13"/>
      <c r="DBR19" s="13"/>
      <c r="DBS19" s="13"/>
      <c r="DBT19" s="13"/>
      <c r="DBU19" s="13"/>
      <c r="DBV19" s="13"/>
      <c r="DBW19" s="13"/>
      <c r="DBX19" s="13"/>
      <c r="DBY19" s="13"/>
      <c r="DBZ19" s="13"/>
      <c r="DCA19" s="13"/>
      <c r="DCB19" s="13"/>
      <c r="DCC19" s="13"/>
      <c r="DCD19" s="13"/>
      <c r="DCE19" s="13"/>
      <c r="DCF19" s="13"/>
      <c r="DCG19" s="13"/>
      <c r="DCH19" s="13"/>
      <c r="DCI19" s="13"/>
      <c r="DCJ19" s="13"/>
      <c r="DCK19" s="13"/>
      <c r="DCL19" s="13"/>
      <c r="DCM19" s="13"/>
      <c r="DCN19" s="13"/>
      <c r="DCO19" s="13"/>
      <c r="DCP19" s="13"/>
      <c r="DCQ19" s="13"/>
      <c r="DCR19" s="13"/>
      <c r="DCS19" s="13"/>
      <c r="DCT19" s="13"/>
      <c r="DCU19" s="13"/>
      <c r="DCV19" s="13"/>
      <c r="DCW19" s="13"/>
      <c r="DCX19" s="13"/>
      <c r="DCY19" s="13"/>
      <c r="DCZ19" s="13"/>
      <c r="DDA19" s="13"/>
      <c r="DDB19" s="13"/>
      <c r="DDC19" s="13"/>
      <c r="DDD19" s="13"/>
      <c r="DDE19" s="13"/>
      <c r="DDF19" s="13"/>
      <c r="DDG19" s="13"/>
      <c r="DDH19" s="13"/>
      <c r="DDI19" s="13"/>
      <c r="DDJ19" s="13"/>
      <c r="DDK19" s="13"/>
      <c r="DDL19" s="13"/>
      <c r="DDM19" s="13"/>
      <c r="DDN19" s="13"/>
      <c r="DDO19" s="13"/>
      <c r="DDP19" s="13"/>
      <c r="DDQ19" s="13"/>
      <c r="DDR19" s="13"/>
      <c r="DDS19" s="13"/>
      <c r="DDT19" s="13"/>
      <c r="DDU19" s="13"/>
      <c r="DDV19" s="13"/>
      <c r="DDW19" s="13"/>
      <c r="DDX19" s="13"/>
      <c r="DDY19" s="13"/>
      <c r="DDZ19" s="13"/>
      <c r="DEA19" s="13"/>
      <c r="DEB19" s="13"/>
      <c r="DEC19" s="13"/>
      <c r="DED19" s="13"/>
      <c r="DEE19" s="13"/>
      <c r="DEF19" s="13"/>
      <c r="DEG19" s="13"/>
      <c r="DEH19" s="13"/>
      <c r="DEI19" s="13"/>
      <c r="DEJ19" s="13"/>
      <c r="DEK19" s="13"/>
      <c r="DEL19" s="13"/>
      <c r="DEM19" s="13"/>
      <c r="DEN19" s="13"/>
      <c r="DEO19" s="13"/>
      <c r="DEP19" s="13"/>
      <c r="DEQ19" s="13"/>
      <c r="DER19" s="13"/>
      <c r="DES19" s="13"/>
      <c r="DET19" s="13"/>
      <c r="DEU19" s="13"/>
      <c r="DEV19" s="13"/>
      <c r="DEW19" s="13"/>
      <c r="DEX19" s="13"/>
      <c r="DEY19" s="13"/>
      <c r="DEZ19" s="13"/>
      <c r="DFA19" s="13"/>
      <c r="DFB19" s="13"/>
      <c r="DFC19" s="13"/>
      <c r="DFD19" s="13"/>
      <c r="DFE19" s="13"/>
      <c r="DFF19" s="13"/>
      <c r="DFG19" s="13"/>
      <c r="DFH19" s="13"/>
      <c r="DFI19" s="13"/>
      <c r="DFJ19" s="13"/>
      <c r="DFK19" s="13"/>
      <c r="DFL19" s="13"/>
      <c r="DFM19" s="13"/>
      <c r="DFN19" s="13"/>
      <c r="DFO19" s="13"/>
      <c r="DFP19" s="13"/>
      <c r="DFQ19" s="13"/>
      <c r="DFR19" s="13"/>
      <c r="DFS19" s="13"/>
      <c r="DFT19" s="13"/>
      <c r="DFU19" s="13"/>
      <c r="DFV19" s="13"/>
      <c r="DFW19" s="13"/>
      <c r="DFX19" s="13"/>
      <c r="DFY19" s="13"/>
      <c r="DFZ19" s="13"/>
      <c r="DGA19" s="13"/>
      <c r="DGB19" s="13"/>
      <c r="DGC19" s="13"/>
      <c r="DGD19" s="13"/>
      <c r="DGE19" s="13"/>
      <c r="DGF19" s="13"/>
      <c r="DGG19" s="13"/>
      <c r="DGH19" s="13"/>
      <c r="DGI19" s="13"/>
      <c r="DGJ19" s="13"/>
      <c r="DGK19" s="13"/>
      <c r="DGL19" s="13"/>
      <c r="DGM19" s="13"/>
      <c r="DGN19" s="13"/>
      <c r="DGO19" s="13"/>
      <c r="DGP19" s="13"/>
      <c r="DGQ19" s="13"/>
      <c r="DGR19" s="13"/>
      <c r="DGS19" s="13"/>
      <c r="DGT19" s="13"/>
      <c r="DGU19" s="13"/>
      <c r="DGV19" s="13"/>
      <c r="DGW19" s="13"/>
      <c r="DGX19" s="13"/>
      <c r="DGY19" s="13"/>
      <c r="DGZ19" s="13"/>
      <c r="DHA19" s="13"/>
      <c r="DHB19" s="13"/>
      <c r="DHC19" s="13"/>
      <c r="DHD19" s="13"/>
      <c r="DHE19" s="13"/>
      <c r="DHF19" s="13"/>
      <c r="DHG19" s="13"/>
      <c r="DHH19" s="13"/>
      <c r="DHI19" s="13"/>
      <c r="DHJ19" s="13"/>
      <c r="DHK19" s="13"/>
      <c r="DHL19" s="13"/>
      <c r="DHM19" s="13"/>
      <c r="DHN19" s="13"/>
      <c r="DHO19" s="13"/>
      <c r="DHP19" s="13"/>
      <c r="DHQ19" s="13"/>
      <c r="DHR19" s="13"/>
      <c r="DHS19" s="13"/>
      <c r="DHT19" s="13"/>
      <c r="DHU19" s="13"/>
      <c r="DHV19" s="13"/>
      <c r="DHW19" s="13"/>
      <c r="DHX19" s="13"/>
      <c r="DHY19" s="13"/>
      <c r="DHZ19" s="13"/>
      <c r="DIA19" s="13"/>
      <c r="DIB19" s="13"/>
      <c r="DIC19" s="13"/>
      <c r="DID19" s="13"/>
      <c r="DIE19" s="13"/>
      <c r="DIF19" s="13"/>
      <c r="DIG19" s="13"/>
      <c r="DIH19" s="13"/>
      <c r="DII19" s="13"/>
      <c r="DIJ19" s="13"/>
      <c r="DIK19" s="13"/>
      <c r="DIL19" s="13"/>
      <c r="DIM19" s="13"/>
      <c r="DIN19" s="13"/>
      <c r="DIO19" s="13"/>
      <c r="DIP19" s="13"/>
      <c r="DIQ19" s="13"/>
      <c r="DIR19" s="13"/>
      <c r="DIS19" s="13"/>
      <c r="DIT19" s="13"/>
      <c r="DIU19" s="13"/>
      <c r="DIV19" s="13"/>
      <c r="DIW19" s="13"/>
      <c r="DIX19" s="13"/>
      <c r="DIY19" s="13"/>
      <c r="DIZ19" s="13"/>
      <c r="DJA19" s="13"/>
      <c r="DJB19" s="13"/>
      <c r="DJC19" s="13"/>
      <c r="DJD19" s="13"/>
      <c r="DJE19" s="13"/>
      <c r="DJF19" s="13"/>
      <c r="DJG19" s="13"/>
      <c r="DJH19" s="13"/>
      <c r="DJI19" s="13"/>
      <c r="DJJ19" s="13"/>
      <c r="DJK19" s="13"/>
      <c r="DJL19" s="13"/>
      <c r="DJM19" s="13"/>
      <c r="DJN19" s="13"/>
      <c r="DJO19" s="13"/>
      <c r="DJP19" s="13"/>
      <c r="DJQ19" s="13"/>
      <c r="DJR19" s="13"/>
      <c r="DJS19" s="13"/>
      <c r="DJT19" s="13"/>
      <c r="DJU19" s="13"/>
      <c r="DJV19" s="13"/>
      <c r="DJW19" s="13"/>
      <c r="DJX19" s="13"/>
      <c r="DJY19" s="13"/>
      <c r="DJZ19" s="13"/>
      <c r="DKA19" s="13"/>
      <c r="DKB19" s="13"/>
      <c r="DKC19" s="13"/>
      <c r="DKD19" s="13"/>
      <c r="DKE19" s="13"/>
      <c r="DKF19" s="13"/>
      <c r="DKG19" s="13"/>
      <c r="DKH19" s="13"/>
      <c r="DKI19" s="13"/>
      <c r="DKJ19" s="13"/>
      <c r="DKK19" s="13"/>
      <c r="DKL19" s="13"/>
      <c r="DKM19" s="13"/>
      <c r="DKN19" s="13"/>
      <c r="DKO19" s="13"/>
      <c r="DKP19" s="13"/>
      <c r="DKQ19" s="13"/>
      <c r="DKR19" s="13"/>
      <c r="DKS19" s="13"/>
      <c r="DKT19" s="13"/>
      <c r="DKU19" s="13"/>
      <c r="DKV19" s="13"/>
      <c r="DKW19" s="13"/>
      <c r="DKX19" s="13"/>
      <c r="DKY19" s="13"/>
      <c r="DKZ19" s="13"/>
      <c r="DLA19" s="13"/>
      <c r="DLB19" s="13"/>
      <c r="DLC19" s="13"/>
      <c r="DLD19" s="13"/>
      <c r="DLE19" s="13"/>
      <c r="DLF19" s="13"/>
      <c r="DLG19" s="13"/>
      <c r="DLH19" s="13"/>
      <c r="DLI19" s="13"/>
      <c r="DLJ19" s="13"/>
      <c r="DLK19" s="13"/>
      <c r="DLL19" s="13"/>
      <c r="DLM19" s="13"/>
      <c r="DLN19" s="13"/>
      <c r="DLO19" s="13"/>
      <c r="DLP19" s="13"/>
      <c r="DLQ19" s="13"/>
      <c r="DLR19" s="13"/>
      <c r="DLS19" s="13"/>
      <c r="DLT19" s="13"/>
      <c r="DLU19" s="13"/>
      <c r="DLV19" s="13"/>
      <c r="DLW19" s="13"/>
      <c r="DLX19" s="13"/>
      <c r="DLY19" s="13"/>
      <c r="DLZ19" s="13"/>
      <c r="DMA19" s="13"/>
      <c r="DMB19" s="13"/>
      <c r="DMC19" s="13"/>
      <c r="DMD19" s="13"/>
      <c r="DME19" s="13"/>
      <c r="DMF19" s="13"/>
      <c r="DMG19" s="13"/>
      <c r="DMH19" s="13"/>
      <c r="DMI19" s="13"/>
      <c r="DMJ19" s="13"/>
      <c r="DMK19" s="13"/>
      <c r="DML19" s="13"/>
      <c r="DMM19" s="13"/>
      <c r="DMN19" s="13"/>
      <c r="DMO19" s="13"/>
      <c r="DMP19" s="13"/>
      <c r="DMQ19" s="13"/>
      <c r="DMR19" s="13"/>
      <c r="DMS19" s="13"/>
      <c r="DMT19" s="13"/>
      <c r="DMU19" s="13"/>
      <c r="DMV19" s="13"/>
      <c r="DMW19" s="13"/>
      <c r="DMX19" s="13"/>
      <c r="DMY19" s="13"/>
      <c r="DMZ19" s="13"/>
      <c r="DNA19" s="13"/>
      <c r="DNB19" s="13"/>
      <c r="DNC19" s="13"/>
      <c r="DND19" s="13"/>
      <c r="DNE19" s="13"/>
      <c r="DNF19" s="13"/>
      <c r="DNG19" s="13"/>
      <c r="DNH19" s="13"/>
      <c r="DNI19" s="13"/>
      <c r="DNJ19" s="13"/>
      <c r="DNK19" s="13"/>
      <c r="DNL19" s="13"/>
      <c r="DNM19" s="13"/>
      <c r="DNN19" s="13"/>
      <c r="DNO19" s="13"/>
      <c r="DNP19" s="13"/>
      <c r="DNQ19" s="13"/>
      <c r="DNR19" s="13"/>
      <c r="DNS19" s="13"/>
      <c r="DNT19" s="13"/>
      <c r="DNU19" s="13"/>
      <c r="DNV19" s="13"/>
      <c r="DNW19" s="13"/>
      <c r="DNX19" s="13"/>
      <c r="DNY19" s="13"/>
      <c r="DNZ19" s="13"/>
      <c r="DOA19" s="13"/>
      <c r="DOB19" s="13"/>
      <c r="DOC19" s="13"/>
      <c r="DOD19" s="13"/>
      <c r="DOE19" s="13"/>
      <c r="DOF19" s="13"/>
      <c r="DOG19" s="13"/>
      <c r="DOH19" s="13"/>
      <c r="DOI19" s="13"/>
      <c r="DOJ19" s="13"/>
      <c r="DOK19" s="13"/>
      <c r="DOL19" s="13"/>
      <c r="DOM19" s="13"/>
      <c r="DON19" s="13"/>
      <c r="DOO19" s="13"/>
      <c r="DOP19" s="13"/>
      <c r="DOQ19" s="13"/>
      <c r="DOR19" s="13"/>
      <c r="DOS19" s="13"/>
      <c r="DOT19" s="13"/>
      <c r="DOU19" s="13"/>
      <c r="DOV19" s="13"/>
      <c r="DOW19" s="13"/>
      <c r="DOX19" s="13"/>
      <c r="DOY19" s="13"/>
      <c r="DOZ19" s="13"/>
      <c r="DPA19" s="13"/>
      <c r="DPB19" s="13"/>
      <c r="DPC19" s="13"/>
      <c r="DPD19" s="13"/>
      <c r="DPE19" s="13"/>
      <c r="DPF19" s="13"/>
      <c r="DPG19" s="13"/>
      <c r="DPH19" s="13"/>
      <c r="DPI19" s="13"/>
      <c r="DPJ19" s="13"/>
      <c r="DPK19" s="13"/>
      <c r="DPL19" s="13"/>
      <c r="DPM19" s="13"/>
      <c r="DPN19" s="13"/>
      <c r="DPO19" s="13"/>
      <c r="DPP19" s="13"/>
      <c r="DPQ19" s="13"/>
      <c r="DPR19" s="13"/>
      <c r="DPS19" s="13"/>
      <c r="DPT19" s="13"/>
      <c r="DPU19" s="13"/>
      <c r="DPV19" s="13"/>
      <c r="DPW19" s="13"/>
      <c r="DPX19" s="13"/>
      <c r="DPY19" s="13"/>
      <c r="DPZ19" s="13"/>
      <c r="DQA19" s="13"/>
      <c r="DQB19" s="13"/>
      <c r="DQC19" s="13"/>
      <c r="DQD19" s="13"/>
      <c r="DQE19" s="13"/>
      <c r="DQF19" s="13"/>
      <c r="DQG19" s="13"/>
      <c r="DQH19" s="13"/>
      <c r="DQI19" s="13"/>
      <c r="DQJ19" s="13"/>
      <c r="DQK19" s="13"/>
      <c r="DQL19" s="13"/>
      <c r="DQM19" s="13"/>
      <c r="DQN19" s="13"/>
      <c r="DQO19" s="13"/>
      <c r="DQP19" s="13"/>
      <c r="DQQ19" s="13"/>
      <c r="DQR19" s="13"/>
      <c r="DQS19" s="13"/>
      <c r="DQT19" s="13"/>
      <c r="DQU19" s="13"/>
      <c r="DQV19" s="13"/>
      <c r="DQW19" s="13"/>
      <c r="DQX19" s="13"/>
      <c r="DQY19" s="13"/>
      <c r="DQZ19" s="13"/>
      <c r="DRA19" s="13"/>
      <c r="DRB19" s="13"/>
      <c r="DRC19" s="13"/>
      <c r="DRD19" s="13"/>
      <c r="DRE19" s="13"/>
      <c r="DRF19" s="13"/>
      <c r="DRG19" s="13"/>
      <c r="DRH19" s="13"/>
      <c r="DRI19" s="13"/>
      <c r="DRJ19" s="13"/>
      <c r="DRK19" s="13"/>
      <c r="DRL19" s="13"/>
      <c r="DRM19" s="13"/>
      <c r="DRN19" s="13"/>
      <c r="DRO19" s="13"/>
      <c r="DRP19" s="13"/>
      <c r="DRQ19" s="13"/>
      <c r="DRR19" s="13"/>
      <c r="DRS19" s="13"/>
      <c r="DRT19" s="13"/>
      <c r="DRU19" s="13"/>
      <c r="DRV19" s="13"/>
      <c r="DRW19" s="13"/>
      <c r="DRX19" s="13"/>
      <c r="DRY19" s="13"/>
      <c r="DRZ19" s="13"/>
      <c r="DSA19" s="13"/>
      <c r="DSB19" s="13"/>
      <c r="DSC19" s="13"/>
      <c r="DSD19" s="13"/>
      <c r="DSE19" s="13"/>
      <c r="DSF19" s="13"/>
      <c r="DSG19" s="13"/>
      <c r="DSH19" s="13"/>
      <c r="DSI19" s="13"/>
      <c r="DSJ19" s="13"/>
      <c r="DSK19" s="13"/>
      <c r="DSL19" s="13"/>
      <c r="DSM19" s="13"/>
      <c r="DSN19" s="13"/>
      <c r="DSO19" s="13"/>
      <c r="DSP19" s="13"/>
      <c r="DSQ19" s="13"/>
      <c r="DSR19" s="13"/>
      <c r="DSS19" s="13"/>
      <c r="DST19" s="13"/>
      <c r="DSU19" s="13"/>
      <c r="DSV19" s="13"/>
      <c r="DSW19" s="13"/>
      <c r="DSX19" s="13"/>
      <c r="DSY19" s="13"/>
      <c r="DSZ19" s="13"/>
      <c r="DTA19" s="13"/>
      <c r="DTB19" s="13"/>
      <c r="DTC19" s="13"/>
      <c r="DTD19" s="13"/>
      <c r="DTE19" s="13"/>
      <c r="DTF19" s="13"/>
      <c r="DTG19" s="13"/>
      <c r="DTH19" s="13"/>
      <c r="DTI19" s="13"/>
      <c r="DTJ19" s="13"/>
      <c r="DTK19" s="13"/>
      <c r="DTL19" s="13"/>
      <c r="DTM19" s="13"/>
      <c r="DTN19" s="13"/>
      <c r="DTO19" s="13"/>
      <c r="DTP19" s="13"/>
      <c r="DTQ19" s="13"/>
      <c r="DTR19" s="13"/>
      <c r="DTS19" s="13"/>
      <c r="DTT19" s="13"/>
      <c r="DTU19" s="13"/>
      <c r="DTV19" s="13"/>
      <c r="DTW19" s="13"/>
      <c r="DTX19" s="13"/>
      <c r="DTY19" s="13"/>
      <c r="DTZ19" s="13"/>
      <c r="DUA19" s="13"/>
      <c r="DUB19" s="13"/>
      <c r="DUC19" s="13"/>
      <c r="DUD19" s="13"/>
      <c r="DUE19" s="13"/>
      <c r="DUF19" s="13"/>
      <c r="DUG19" s="13"/>
      <c r="DUH19" s="13"/>
      <c r="DUI19" s="13"/>
      <c r="DUJ19" s="13"/>
      <c r="DUK19" s="13"/>
      <c r="DUL19" s="13"/>
      <c r="DUM19" s="13"/>
      <c r="DUN19" s="13"/>
      <c r="DUO19" s="13"/>
      <c r="DUP19" s="13"/>
      <c r="DUQ19" s="13"/>
      <c r="DUR19" s="13"/>
      <c r="DUS19" s="13"/>
      <c r="DUT19" s="13"/>
      <c r="DUU19" s="13"/>
      <c r="DUV19" s="13"/>
      <c r="DUW19" s="13"/>
      <c r="DUX19" s="13"/>
      <c r="DUY19" s="13"/>
      <c r="DUZ19" s="13"/>
      <c r="DVA19" s="13"/>
      <c r="DVB19" s="13"/>
      <c r="DVC19" s="13"/>
      <c r="DVD19" s="13"/>
      <c r="DVE19" s="13"/>
      <c r="DVF19" s="13"/>
      <c r="DVG19" s="13"/>
      <c r="DVH19" s="13"/>
      <c r="DVI19" s="13"/>
      <c r="DVJ19" s="13"/>
      <c r="DVK19" s="13"/>
      <c r="DVL19" s="13"/>
      <c r="DVM19" s="13"/>
      <c r="DVN19" s="13"/>
      <c r="DVO19" s="13"/>
      <c r="DVP19" s="13"/>
      <c r="DVQ19" s="13"/>
      <c r="DVR19" s="13"/>
      <c r="DVS19" s="13"/>
      <c r="DVT19" s="13"/>
      <c r="DVU19" s="13"/>
      <c r="DVV19" s="13"/>
      <c r="DVW19" s="13"/>
      <c r="DVX19" s="13"/>
      <c r="DVY19" s="13"/>
      <c r="DVZ19" s="13"/>
      <c r="DWA19" s="13"/>
      <c r="DWB19" s="13"/>
      <c r="DWC19" s="13"/>
      <c r="DWD19" s="13"/>
      <c r="DWE19" s="13"/>
      <c r="DWF19" s="13"/>
      <c r="DWG19" s="13"/>
      <c r="DWH19" s="13"/>
      <c r="DWI19" s="13"/>
      <c r="DWJ19" s="13"/>
      <c r="DWK19" s="13"/>
      <c r="DWL19" s="13"/>
      <c r="DWM19" s="13"/>
      <c r="DWN19" s="13"/>
      <c r="DWO19" s="13"/>
      <c r="DWP19" s="13"/>
      <c r="DWQ19" s="13"/>
      <c r="DWR19" s="13"/>
      <c r="DWS19" s="13"/>
      <c r="DWT19" s="13"/>
      <c r="DWU19" s="13"/>
      <c r="DWV19" s="13"/>
      <c r="DWW19" s="13"/>
      <c r="DWX19" s="13"/>
      <c r="DWY19" s="13"/>
      <c r="DWZ19" s="13"/>
      <c r="DXA19" s="13"/>
      <c r="DXB19" s="13"/>
      <c r="DXC19" s="13"/>
      <c r="DXD19" s="13"/>
      <c r="DXE19" s="13"/>
      <c r="DXF19" s="13"/>
      <c r="DXG19" s="13"/>
      <c r="DXH19" s="13"/>
      <c r="DXI19" s="13"/>
      <c r="DXJ19" s="13"/>
      <c r="DXK19" s="13"/>
      <c r="DXL19" s="13"/>
      <c r="DXM19" s="13"/>
      <c r="DXN19" s="13"/>
      <c r="DXO19" s="13"/>
      <c r="DXP19" s="13"/>
      <c r="DXQ19" s="13"/>
      <c r="DXR19" s="13"/>
      <c r="DXS19" s="13"/>
      <c r="DXT19" s="13"/>
      <c r="DXU19" s="13"/>
      <c r="DXV19" s="13"/>
      <c r="DXW19" s="13"/>
      <c r="DXX19" s="13"/>
      <c r="DXY19" s="13"/>
      <c r="DXZ19" s="13"/>
      <c r="DYA19" s="13"/>
      <c r="DYB19" s="13"/>
      <c r="DYC19" s="13"/>
      <c r="DYD19" s="13"/>
      <c r="DYE19" s="13"/>
      <c r="DYF19" s="13"/>
      <c r="DYG19" s="13"/>
      <c r="DYH19" s="13"/>
      <c r="DYI19" s="13"/>
      <c r="DYJ19" s="13"/>
      <c r="DYK19" s="13"/>
      <c r="DYL19" s="13"/>
      <c r="DYM19" s="13"/>
      <c r="DYN19" s="13"/>
      <c r="DYO19" s="13"/>
      <c r="DYP19" s="13"/>
      <c r="DYQ19" s="13"/>
      <c r="DYR19" s="13"/>
      <c r="DYS19" s="13"/>
      <c r="DYT19" s="13"/>
      <c r="DYU19" s="13"/>
      <c r="DYV19" s="13"/>
      <c r="DYW19" s="13"/>
      <c r="DYX19" s="13"/>
      <c r="DYY19" s="13"/>
      <c r="DYZ19" s="13"/>
      <c r="DZA19" s="13"/>
      <c r="DZB19" s="13"/>
      <c r="DZC19" s="13"/>
      <c r="DZD19" s="13"/>
      <c r="DZE19" s="13"/>
      <c r="DZF19" s="13"/>
      <c r="DZG19" s="13"/>
      <c r="DZH19" s="13"/>
      <c r="DZI19" s="13"/>
      <c r="DZJ19" s="13"/>
      <c r="DZK19" s="13"/>
      <c r="DZL19" s="13"/>
      <c r="DZM19" s="13"/>
      <c r="DZN19" s="13"/>
      <c r="DZO19" s="13"/>
      <c r="DZP19" s="13"/>
      <c r="DZQ19" s="13"/>
      <c r="DZR19" s="13"/>
      <c r="DZS19" s="13"/>
      <c r="DZT19" s="13"/>
      <c r="DZU19" s="13"/>
      <c r="DZV19" s="13"/>
      <c r="DZW19" s="13"/>
      <c r="DZX19" s="13"/>
      <c r="DZY19" s="13"/>
      <c r="DZZ19" s="13"/>
      <c r="EAA19" s="13"/>
      <c r="EAB19" s="13"/>
      <c r="EAC19" s="13"/>
      <c r="EAD19" s="13"/>
      <c r="EAE19" s="13"/>
      <c r="EAF19" s="13"/>
      <c r="EAG19" s="13"/>
      <c r="EAH19" s="13"/>
      <c r="EAI19" s="13"/>
      <c r="EAJ19" s="13"/>
      <c r="EAK19" s="13"/>
      <c r="EAL19" s="13"/>
      <c r="EAM19" s="13"/>
      <c r="EAN19" s="13"/>
      <c r="EAO19" s="13"/>
      <c r="EAP19" s="13"/>
      <c r="EAQ19" s="13"/>
      <c r="EAR19" s="13"/>
      <c r="EAS19" s="13"/>
      <c r="EAT19" s="13"/>
      <c r="EAU19" s="13"/>
      <c r="EAV19" s="13"/>
      <c r="EAW19" s="13"/>
      <c r="EAX19" s="13"/>
      <c r="EAY19" s="13"/>
      <c r="EAZ19" s="13"/>
      <c r="EBA19" s="13"/>
      <c r="EBB19" s="13"/>
      <c r="EBC19" s="13"/>
      <c r="EBD19" s="13"/>
      <c r="EBE19" s="13"/>
      <c r="EBF19" s="13"/>
      <c r="EBG19" s="13"/>
      <c r="EBH19" s="13"/>
      <c r="EBI19" s="13"/>
      <c r="EBJ19" s="13"/>
      <c r="EBK19" s="13"/>
      <c r="EBL19" s="13"/>
      <c r="EBM19" s="13"/>
      <c r="EBN19" s="13"/>
      <c r="EBO19" s="13"/>
      <c r="EBP19" s="13"/>
      <c r="EBQ19" s="13"/>
      <c r="EBR19" s="13"/>
      <c r="EBS19" s="13"/>
      <c r="EBT19" s="13"/>
      <c r="EBU19" s="13"/>
      <c r="EBV19" s="13"/>
      <c r="EBW19" s="13"/>
      <c r="EBX19" s="13"/>
      <c r="EBY19" s="13"/>
      <c r="EBZ19" s="13"/>
      <c r="ECA19" s="13"/>
      <c r="ECB19" s="13"/>
      <c r="ECC19" s="13"/>
      <c r="ECD19" s="13"/>
      <c r="ECE19" s="13"/>
      <c r="ECF19" s="13"/>
      <c r="ECG19" s="13"/>
      <c r="ECH19" s="13"/>
      <c r="ECI19" s="13"/>
      <c r="ECJ19" s="13"/>
      <c r="ECK19" s="13"/>
      <c r="ECL19" s="13"/>
      <c r="ECM19" s="13"/>
      <c r="ECN19" s="13"/>
      <c r="ECO19" s="13"/>
      <c r="ECP19" s="13"/>
      <c r="ECQ19" s="13"/>
      <c r="ECR19" s="13"/>
      <c r="ECS19" s="13"/>
      <c r="ECT19" s="13"/>
      <c r="ECU19" s="13"/>
      <c r="ECV19" s="13"/>
      <c r="ECW19" s="13"/>
      <c r="ECX19" s="13"/>
      <c r="ECY19" s="13"/>
      <c r="ECZ19" s="13"/>
      <c r="EDA19" s="13"/>
      <c r="EDB19" s="13"/>
      <c r="EDC19" s="13"/>
      <c r="EDD19" s="13"/>
      <c r="EDE19" s="13"/>
      <c r="EDF19" s="13"/>
      <c r="EDG19" s="13"/>
      <c r="EDH19" s="13"/>
      <c r="EDI19" s="13"/>
      <c r="EDJ19" s="13"/>
      <c r="EDK19" s="13"/>
      <c r="EDL19" s="13"/>
      <c r="EDM19" s="13"/>
      <c r="EDN19" s="13"/>
      <c r="EDO19" s="13"/>
      <c r="EDP19" s="13"/>
      <c r="EDQ19" s="13"/>
      <c r="EDR19" s="13"/>
      <c r="EDS19" s="13"/>
      <c r="EDT19" s="13"/>
      <c r="EDU19" s="13"/>
      <c r="EDV19" s="13"/>
      <c r="EDW19" s="13"/>
      <c r="EDX19" s="13"/>
      <c r="EDY19" s="13"/>
      <c r="EDZ19" s="13"/>
      <c r="EEA19" s="13"/>
      <c r="EEB19" s="13"/>
      <c r="EEC19" s="13"/>
      <c r="EED19" s="13"/>
      <c r="EEE19" s="13"/>
      <c r="EEF19" s="13"/>
      <c r="EEG19" s="13"/>
      <c r="EEH19" s="13"/>
      <c r="EEI19" s="13"/>
      <c r="EEJ19" s="13"/>
      <c r="EEK19" s="13"/>
      <c r="EEL19" s="13"/>
      <c r="EEM19" s="13"/>
      <c r="EEN19" s="13"/>
      <c r="EEO19" s="13"/>
      <c r="EEP19" s="13"/>
      <c r="EEQ19" s="13"/>
      <c r="EER19" s="13"/>
      <c r="EES19" s="13"/>
      <c r="EET19" s="13"/>
      <c r="EEU19" s="13"/>
      <c r="EEV19" s="13"/>
      <c r="EEW19" s="13"/>
      <c r="EEX19" s="13"/>
      <c r="EEY19" s="13"/>
      <c r="EEZ19" s="13"/>
      <c r="EFA19" s="13"/>
      <c r="EFB19" s="13"/>
      <c r="EFC19" s="13"/>
      <c r="EFD19" s="13"/>
      <c r="EFE19" s="13"/>
      <c r="EFF19" s="13"/>
      <c r="EFG19" s="13"/>
      <c r="EFH19" s="13"/>
      <c r="EFI19" s="13"/>
      <c r="EFJ19" s="13"/>
      <c r="EFK19" s="13"/>
      <c r="EFL19" s="13"/>
      <c r="EFM19" s="13"/>
      <c r="EFN19" s="13"/>
      <c r="EFO19" s="13"/>
      <c r="EFP19" s="13"/>
      <c r="EFQ19" s="13"/>
      <c r="EFR19" s="13"/>
      <c r="EFS19" s="13"/>
      <c r="EFT19" s="13"/>
      <c r="EFU19" s="13"/>
      <c r="EFV19" s="13"/>
      <c r="EFW19" s="13"/>
      <c r="EFX19" s="13"/>
      <c r="EFY19" s="13"/>
      <c r="EFZ19" s="13"/>
      <c r="EGA19" s="13"/>
      <c r="EGB19" s="13"/>
      <c r="EGC19" s="13"/>
      <c r="EGD19" s="13"/>
      <c r="EGE19" s="13"/>
      <c r="EGF19" s="13"/>
      <c r="EGG19" s="13"/>
      <c r="EGH19" s="13"/>
      <c r="EGI19" s="13"/>
      <c r="EGJ19" s="13"/>
      <c r="EGK19" s="13"/>
      <c r="EGL19" s="13"/>
      <c r="EGM19" s="13"/>
      <c r="EGN19" s="13"/>
      <c r="EGO19" s="13"/>
      <c r="EGP19" s="13"/>
      <c r="EGQ19" s="13"/>
      <c r="EGR19" s="13"/>
      <c r="EGS19" s="13"/>
      <c r="EGT19" s="13"/>
      <c r="EGU19" s="13"/>
      <c r="EGV19" s="13"/>
      <c r="EGW19" s="13"/>
      <c r="EGX19" s="13"/>
      <c r="EGY19" s="13"/>
      <c r="EGZ19" s="13"/>
      <c r="EHA19" s="13"/>
      <c r="EHB19" s="13"/>
      <c r="EHC19" s="13"/>
      <c r="EHD19" s="13"/>
      <c r="EHE19" s="13"/>
      <c r="EHF19" s="13"/>
      <c r="EHG19" s="13"/>
      <c r="EHH19" s="13"/>
      <c r="EHI19" s="13"/>
      <c r="EHJ19" s="13"/>
      <c r="EHK19" s="13"/>
      <c r="EHL19" s="13"/>
      <c r="EHM19" s="13"/>
      <c r="EHN19" s="13"/>
      <c r="EHO19" s="13"/>
      <c r="EHP19" s="13"/>
      <c r="EHQ19" s="13"/>
      <c r="EHR19" s="13"/>
      <c r="EHS19" s="13"/>
      <c r="EHT19" s="13"/>
      <c r="EHU19" s="13"/>
      <c r="EHV19" s="13"/>
      <c r="EHW19" s="13"/>
      <c r="EHX19" s="13"/>
      <c r="EHY19" s="13"/>
      <c r="EHZ19" s="13"/>
      <c r="EIA19" s="13"/>
      <c r="EIB19" s="13"/>
      <c r="EIC19" s="13"/>
      <c r="EID19" s="13"/>
      <c r="EIE19" s="13"/>
      <c r="EIF19" s="13"/>
      <c r="EIG19" s="13"/>
      <c r="EIH19" s="13"/>
      <c r="EII19" s="13"/>
      <c r="EIJ19" s="13"/>
      <c r="EIK19" s="13"/>
      <c r="EIL19" s="13"/>
      <c r="EIM19" s="13"/>
      <c r="EIN19" s="13"/>
      <c r="EIO19" s="13"/>
      <c r="EIP19" s="13"/>
      <c r="EIQ19" s="13"/>
      <c r="EIR19" s="13"/>
      <c r="EIS19" s="13"/>
      <c r="EIT19" s="13"/>
      <c r="EIU19" s="13"/>
      <c r="EIV19" s="13"/>
      <c r="EIW19" s="13"/>
      <c r="EIX19" s="13"/>
      <c r="EIY19" s="13"/>
      <c r="EIZ19" s="13"/>
      <c r="EJA19" s="13"/>
      <c r="EJB19" s="13"/>
      <c r="EJC19" s="13"/>
      <c r="EJD19" s="13"/>
      <c r="EJE19" s="13"/>
      <c r="EJF19" s="13"/>
      <c r="EJG19" s="13"/>
      <c r="EJH19" s="13"/>
      <c r="EJI19" s="13"/>
      <c r="EJJ19" s="13"/>
      <c r="EJK19" s="13"/>
      <c r="EJL19" s="13"/>
      <c r="EJM19" s="13"/>
      <c r="EJN19" s="13"/>
      <c r="EJO19" s="13"/>
      <c r="EJP19" s="13"/>
      <c r="EJQ19" s="13"/>
      <c r="EJR19" s="13"/>
      <c r="EJS19" s="13"/>
      <c r="EJT19" s="13"/>
      <c r="EJU19" s="13"/>
      <c r="EJV19" s="13"/>
      <c r="EJW19" s="13"/>
      <c r="EJX19" s="13"/>
      <c r="EJY19" s="13"/>
      <c r="EJZ19" s="13"/>
      <c r="EKA19" s="13"/>
      <c r="EKB19" s="13"/>
      <c r="EKC19" s="13"/>
      <c r="EKD19" s="13"/>
      <c r="EKE19" s="13"/>
      <c r="EKF19" s="13"/>
      <c r="EKG19" s="13"/>
      <c r="EKH19" s="13"/>
      <c r="EKI19" s="13"/>
      <c r="EKJ19" s="13"/>
      <c r="EKK19" s="13"/>
      <c r="EKL19" s="13"/>
      <c r="EKM19" s="13"/>
      <c r="EKN19" s="13"/>
      <c r="EKO19" s="13"/>
      <c r="EKP19" s="13"/>
      <c r="EKQ19" s="13"/>
      <c r="EKR19" s="13"/>
      <c r="EKS19" s="13"/>
      <c r="EKT19" s="13"/>
      <c r="EKU19" s="13"/>
      <c r="EKV19" s="13"/>
      <c r="EKW19" s="13"/>
      <c r="EKX19" s="13"/>
      <c r="EKY19" s="13"/>
      <c r="EKZ19" s="13"/>
      <c r="ELA19" s="13"/>
      <c r="ELB19" s="13"/>
      <c r="ELC19" s="13"/>
      <c r="ELD19" s="13"/>
      <c r="ELE19" s="13"/>
      <c r="ELF19" s="13"/>
      <c r="ELG19" s="13"/>
      <c r="ELH19" s="13"/>
      <c r="ELI19" s="13"/>
      <c r="ELJ19" s="13"/>
      <c r="ELK19" s="13"/>
      <c r="ELL19" s="13"/>
      <c r="ELM19" s="13"/>
      <c r="ELN19" s="13"/>
      <c r="ELO19" s="13"/>
      <c r="ELP19" s="13"/>
      <c r="ELQ19" s="13"/>
      <c r="ELR19" s="13"/>
      <c r="ELS19" s="13"/>
      <c r="ELT19" s="13"/>
      <c r="ELU19" s="13"/>
      <c r="ELV19" s="13"/>
      <c r="ELW19" s="13"/>
      <c r="ELX19" s="13"/>
      <c r="ELY19" s="13"/>
      <c r="ELZ19" s="13"/>
      <c r="EMA19" s="13"/>
      <c r="EMB19" s="13"/>
      <c r="EMC19" s="13"/>
      <c r="EMD19" s="13"/>
      <c r="EME19" s="13"/>
      <c r="EMF19" s="13"/>
      <c r="EMG19" s="13"/>
      <c r="EMH19" s="13"/>
      <c r="EMI19" s="13"/>
      <c r="EMJ19" s="13"/>
      <c r="EMK19" s="13"/>
      <c r="EML19" s="13"/>
      <c r="EMM19" s="13"/>
      <c r="EMN19" s="13"/>
      <c r="EMO19" s="13"/>
      <c r="EMP19" s="13"/>
      <c r="EMQ19" s="13"/>
      <c r="EMR19" s="13"/>
      <c r="EMS19" s="13"/>
      <c r="EMT19" s="13"/>
      <c r="EMU19" s="13"/>
      <c r="EMV19" s="13"/>
      <c r="EMW19" s="13"/>
      <c r="EMX19" s="13"/>
      <c r="EMY19" s="13"/>
      <c r="EMZ19" s="13"/>
      <c r="ENA19" s="13"/>
      <c r="ENB19" s="13"/>
      <c r="ENC19" s="13"/>
      <c r="END19" s="13"/>
      <c r="ENE19" s="13"/>
      <c r="ENF19" s="13"/>
      <c r="ENG19" s="13"/>
      <c r="ENH19" s="13"/>
      <c r="ENI19" s="13"/>
      <c r="ENJ19" s="13"/>
      <c r="ENK19" s="13"/>
      <c r="ENL19" s="13"/>
      <c r="ENM19" s="13"/>
      <c r="ENN19" s="13"/>
      <c r="ENO19" s="13"/>
      <c r="ENP19" s="13"/>
      <c r="ENQ19" s="13"/>
      <c r="ENR19" s="13"/>
      <c r="ENS19" s="13"/>
      <c r="ENT19" s="13"/>
      <c r="ENU19" s="13"/>
      <c r="ENV19" s="13"/>
      <c r="ENW19" s="13"/>
      <c r="ENX19" s="13"/>
      <c r="ENY19" s="13"/>
      <c r="ENZ19" s="13"/>
      <c r="EOA19" s="13"/>
      <c r="EOB19" s="13"/>
      <c r="EOC19" s="13"/>
      <c r="EOD19" s="13"/>
      <c r="EOE19" s="13"/>
      <c r="EOF19" s="13"/>
      <c r="EOG19" s="13"/>
      <c r="EOH19" s="13"/>
      <c r="EOI19" s="13"/>
      <c r="EOJ19" s="13"/>
      <c r="EOK19" s="13"/>
      <c r="EOL19" s="13"/>
      <c r="EOM19" s="13"/>
      <c r="EON19" s="13"/>
      <c r="EOO19" s="13"/>
      <c r="EOP19" s="13"/>
      <c r="EOQ19" s="13"/>
      <c r="EOR19" s="13"/>
      <c r="EOS19" s="13"/>
      <c r="EOT19" s="13"/>
      <c r="EOU19" s="13"/>
      <c r="EOV19" s="13"/>
      <c r="EOW19" s="13"/>
      <c r="EOX19" s="13"/>
      <c r="EOY19" s="13"/>
      <c r="EOZ19" s="13"/>
      <c r="EPA19" s="13"/>
      <c r="EPB19" s="13"/>
      <c r="EPC19" s="13"/>
      <c r="EPD19" s="13"/>
      <c r="EPE19" s="13"/>
      <c r="EPF19" s="13"/>
      <c r="EPG19" s="13"/>
      <c r="EPH19" s="13"/>
      <c r="EPI19" s="13"/>
      <c r="EPJ19" s="13"/>
      <c r="EPK19" s="13"/>
      <c r="EPL19" s="13"/>
      <c r="EPM19" s="13"/>
      <c r="EPN19" s="13"/>
      <c r="EPO19" s="13"/>
      <c r="EPP19" s="13"/>
      <c r="EPQ19" s="13"/>
      <c r="EPR19" s="13"/>
      <c r="EPS19" s="13"/>
      <c r="EPT19" s="13"/>
      <c r="EPU19" s="13"/>
      <c r="EPV19" s="13"/>
      <c r="EPW19" s="13"/>
      <c r="EPX19" s="13"/>
      <c r="EPY19" s="13"/>
      <c r="EPZ19" s="13"/>
      <c r="EQA19" s="13"/>
      <c r="EQB19" s="13"/>
      <c r="EQC19" s="13"/>
      <c r="EQD19" s="13"/>
      <c r="EQE19" s="13"/>
      <c r="EQF19" s="13"/>
      <c r="EQG19" s="13"/>
      <c r="EQH19" s="13"/>
      <c r="EQI19" s="13"/>
      <c r="EQJ19" s="13"/>
      <c r="EQK19" s="13"/>
      <c r="EQL19" s="13"/>
      <c r="EQM19" s="13"/>
      <c r="EQN19" s="13"/>
      <c r="EQO19" s="13"/>
      <c r="EQP19" s="13"/>
      <c r="EQQ19" s="13"/>
      <c r="EQR19" s="13"/>
      <c r="EQS19" s="13"/>
      <c r="EQT19" s="13"/>
      <c r="EQU19" s="13"/>
      <c r="EQV19" s="13"/>
      <c r="EQW19" s="13"/>
      <c r="EQX19" s="13"/>
      <c r="EQY19" s="13"/>
      <c r="EQZ19" s="13"/>
      <c r="ERA19" s="13"/>
      <c r="ERB19" s="13"/>
      <c r="ERC19" s="13"/>
      <c r="ERD19" s="13"/>
      <c r="ERE19" s="13"/>
      <c r="ERF19" s="13"/>
      <c r="ERG19" s="13"/>
      <c r="ERH19" s="13"/>
      <c r="ERI19" s="13"/>
      <c r="ERJ19" s="13"/>
      <c r="ERK19" s="13"/>
      <c r="ERL19" s="13"/>
      <c r="ERM19" s="13"/>
      <c r="ERN19" s="13"/>
      <c r="ERO19" s="13"/>
      <c r="ERP19" s="13"/>
      <c r="ERQ19" s="13"/>
      <c r="ERR19" s="13"/>
      <c r="ERS19" s="13"/>
      <c r="ERT19" s="13"/>
      <c r="ERU19" s="13"/>
      <c r="ERV19" s="13"/>
      <c r="ERW19" s="13"/>
      <c r="ERX19" s="13"/>
      <c r="ERY19" s="13"/>
      <c r="ERZ19" s="13"/>
      <c r="ESA19" s="13"/>
      <c r="ESB19" s="13"/>
      <c r="ESC19" s="13"/>
      <c r="ESD19" s="13"/>
      <c r="ESE19" s="13"/>
      <c r="ESF19" s="13"/>
      <c r="ESG19" s="13"/>
      <c r="ESH19" s="13"/>
      <c r="ESI19" s="13"/>
      <c r="ESJ19" s="13"/>
      <c r="ESK19" s="13"/>
      <c r="ESL19" s="13"/>
      <c r="ESM19" s="13"/>
      <c r="ESN19" s="13"/>
      <c r="ESO19" s="13"/>
      <c r="ESP19" s="13"/>
      <c r="ESQ19" s="13"/>
      <c r="ESR19" s="13"/>
      <c r="ESS19" s="13"/>
      <c r="EST19" s="13"/>
      <c r="ESU19" s="13"/>
      <c r="ESV19" s="13"/>
      <c r="ESW19" s="13"/>
      <c r="ESX19" s="13"/>
      <c r="ESY19" s="13"/>
      <c r="ESZ19" s="13"/>
      <c r="ETA19" s="13"/>
      <c r="ETB19" s="13"/>
      <c r="ETC19" s="13"/>
      <c r="ETD19" s="13"/>
      <c r="ETE19" s="13"/>
      <c r="ETF19" s="13"/>
      <c r="ETG19" s="13"/>
      <c r="ETH19" s="13"/>
      <c r="ETI19" s="13"/>
      <c r="ETJ19" s="13"/>
      <c r="ETK19" s="13"/>
      <c r="ETL19" s="13"/>
      <c r="ETM19" s="13"/>
      <c r="ETN19" s="13"/>
      <c r="ETO19" s="13"/>
      <c r="ETP19" s="13"/>
      <c r="ETQ19" s="13"/>
      <c r="ETR19" s="13"/>
      <c r="ETS19" s="13"/>
      <c r="ETT19" s="13"/>
      <c r="ETU19" s="13"/>
      <c r="ETV19" s="13"/>
      <c r="ETW19" s="13"/>
      <c r="ETX19" s="13"/>
      <c r="ETY19" s="13"/>
      <c r="ETZ19" s="13"/>
      <c r="EUA19" s="13"/>
      <c r="EUB19" s="13"/>
      <c r="EUC19" s="13"/>
      <c r="EUD19" s="13"/>
      <c r="EUE19" s="13"/>
      <c r="EUF19" s="13"/>
      <c r="EUG19" s="13"/>
      <c r="EUH19" s="13"/>
      <c r="EUI19" s="13"/>
      <c r="EUJ19" s="13"/>
      <c r="EUK19" s="13"/>
      <c r="EUL19" s="13"/>
      <c r="EUM19" s="13"/>
      <c r="EUN19" s="13"/>
      <c r="EUO19" s="13"/>
      <c r="EUP19" s="13"/>
      <c r="EUQ19" s="13"/>
      <c r="EUR19" s="13"/>
      <c r="EUS19" s="13"/>
      <c r="EUT19" s="13"/>
      <c r="EUU19" s="13"/>
      <c r="EUV19" s="13"/>
      <c r="EUW19" s="13"/>
      <c r="EUX19" s="13"/>
      <c r="EUY19" s="13"/>
      <c r="EUZ19" s="13"/>
      <c r="EVA19" s="13"/>
      <c r="EVB19" s="13"/>
      <c r="EVC19" s="13"/>
      <c r="EVD19" s="13"/>
      <c r="EVE19" s="13"/>
      <c r="EVF19" s="13"/>
      <c r="EVG19" s="13"/>
      <c r="EVH19" s="13"/>
      <c r="EVI19" s="13"/>
      <c r="EVJ19" s="13"/>
      <c r="EVK19" s="13"/>
      <c r="EVL19" s="13"/>
      <c r="EVM19" s="13"/>
      <c r="EVN19" s="13"/>
      <c r="EVO19" s="13"/>
      <c r="EVP19" s="13"/>
      <c r="EVQ19" s="13"/>
      <c r="EVR19" s="13"/>
      <c r="EVS19" s="13"/>
      <c r="EVT19" s="13"/>
      <c r="EVU19" s="13"/>
      <c r="EVV19" s="13"/>
      <c r="EVW19" s="13"/>
      <c r="EVX19" s="13"/>
      <c r="EVY19" s="13"/>
      <c r="EVZ19" s="13"/>
      <c r="EWA19" s="13"/>
      <c r="EWB19" s="13"/>
      <c r="EWC19" s="13"/>
      <c r="EWD19" s="13"/>
      <c r="EWE19" s="13"/>
      <c r="EWF19" s="13"/>
      <c r="EWG19" s="13"/>
      <c r="EWH19" s="13"/>
      <c r="EWI19" s="13"/>
      <c r="EWJ19" s="13"/>
      <c r="EWK19" s="13"/>
      <c r="EWL19" s="13"/>
      <c r="EWM19" s="13"/>
      <c r="EWN19" s="13"/>
      <c r="EWO19" s="13"/>
      <c r="EWP19" s="13"/>
      <c r="EWQ19" s="13"/>
      <c r="EWR19" s="13"/>
      <c r="EWS19" s="13"/>
      <c r="EWT19" s="13"/>
      <c r="EWU19" s="13"/>
      <c r="EWV19" s="13"/>
      <c r="EWW19" s="13"/>
      <c r="EWX19" s="13"/>
      <c r="EWY19" s="13"/>
      <c r="EWZ19" s="13"/>
      <c r="EXA19" s="13"/>
      <c r="EXB19" s="13"/>
      <c r="EXC19" s="13"/>
      <c r="EXD19" s="13"/>
      <c r="EXE19" s="13"/>
      <c r="EXF19" s="13"/>
      <c r="EXG19" s="13"/>
      <c r="EXH19" s="13"/>
      <c r="EXI19" s="13"/>
      <c r="EXJ19" s="13"/>
      <c r="EXK19" s="13"/>
      <c r="EXL19" s="13"/>
      <c r="EXM19" s="13"/>
      <c r="EXN19" s="13"/>
      <c r="EXO19" s="13"/>
      <c r="EXP19" s="13"/>
      <c r="EXQ19" s="13"/>
      <c r="EXR19" s="13"/>
      <c r="EXS19" s="13"/>
      <c r="EXT19" s="13"/>
      <c r="EXU19" s="13"/>
      <c r="EXV19" s="13"/>
      <c r="EXW19" s="13"/>
      <c r="EXX19" s="13"/>
      <c r="EXY19" s="13"/>
      <c r="EXZ19" s="13"/>
      <c r="EYA19" s="13"/>
      <c r="EYB19" s="13"/>
      <c r="EYC19" s="13"/>
      <c r="EYD19" s="13"/>
      <c r="EYE19" s="13"/>
      <c r="EYF19" s="13"/>
      <c r="EYG19" s="13"/>
      <c r="EYH19" s="13"/>
      <c r="EYI19" s="13"/>
      <c r="EYJ19" s="13"/>
      <c r="EYK19" s="13"/>
      <c r="EYL19" s="13"/>
      <c r="EYM19" s="13"/>
      <c r="EYN19" s="13"/>
      <c r="EYO19" s="13"/>
      <c r="EYP19" s="13"/>
      <c r="EYQ19" s="13"/>
      <c r="EYR19" s="13"/>
      <c r="EYS19" s="13"/>
      <c r="EYT19" s="13"/>
      <c r="EYU19" s="13"/>
      <c r="EYV19" s="13"/>
      <c r="EYW19" s="13"/>
      <c r="EYX19" s="13"/>
      <c r="EYY19" s="13"/>
      <c r="EYZ19" s="13"/>
      <c r="EZA19" s="13"/>
      <c r="EZB19" s="13"/>
      <c r="EZC19" s="13"/>
      <c r="EZD19" s="13"/>
      <c r="EZE19" s="13"/>
      <c r="EZF19" s="13"/>
      <c r="EZG19" s="13"/>
      <c r="EZH19" s="13"/>
      <c r="EZI19" s="13"/>
      <c r="EZJ19" s="13"/>
      <c r="EZK19" s="13"/>
      <c r="EZL19" s="13"/>
      <c r="EZM19" s="13"/>
      <c r="EZN19" s="13"/>
      <c r="EZO19" s="13"/>
      <c r="EZP19" s="13"/>
      <c r="EZQ19" s="13"/>
      <c r="EZR19" s="13"/>
      <c r="EZS19" s="13"/>
      <c r="EZT19" s="13"/>
      <c r="EZU19" s="13"/>
      <c r="EZV19" s="13"/>
      <c r="EZW19" s="13"/>
      <c r="EZX19" s="13"/>
      <c r="EZY19" s="13"/>
      <c r="EZZ19" s="13"/>
      <c r="FAA19" s="13"/>
      <c r="FAB19" s="13"/>
      <c r="FAC19" s="13"/>
      <c r="FAD19" s="13"/>
      <c r="FAE19" s="13"/>
      <c r="FAF19" s="13"/>
      <c r="FAG19" s="13"/>
      <c r="FAH19" s="13"/>
      <c r="FAI19" s="13"/>
      <c r="FAJ19" s="13"/>
      <c r="FAK19" s="13"/>
      <c r="FAL19" s="13"/>
      <c r="FAM19" s="13"/>
      <c r="FAN19" s="13"/>
      <c r="FAO19" s="13"/>
      <c r="FAP19" s="13"/>
      <c r="FAQ19" s="13"/>
      <c r="FAR19" s="13"/>
      <c r="FAS19" s="13"/>
      <c r="FAT19" s="13"/>
      <c r="FAU19" s="13"/>
      <c r="FAV19" s="13"/>
      <c r="FAW19" s="13"/>
      <c r="FAX19" s="13"/>
      <c r="FAY19" s="13"/>
      <c r="FAZ19" s="13"/>
      <c r="FBA19" s="13"/>
      <c r="FBB19" s="13"/>
      <c r="FBC19" s="13"/>
      <c r="FBD19" s="13"/>
      <c r="FBE19" s="13"/>
      <c r="FBF19" s="13"/>
      <c r="FBG19" s="13"/>
      <c r="FBH19" s="13"/>
      <c r="FBI19" s="13"/>
      <c r="FBJ19" s="13"/>
      <c r="FBK19" s="13"/>
      <c r="FBL19" s="13"/>
      <c r="FBM19" s="13"/>
      <c r="FBN19" s="13"/>
      <c r="FBO19" s="13"/>
      <c r="FBP19" s="13"/>
      <c r="FBQ19" s="13"/>
      <c r="FBR19" s="13"/>
      <c r="FBS19" s="13"/>
      <c r="FBT19" s="13"/>
      <c r="FBU19" s="13"/>
      <c r="FBV19" s="13"/>
      <c r="FBW19" s="13"/>
      <c r="FBX19" s="13"/>
      <c r="FBY19" s="13"/>
      <c r="FBZ19" s="13"/>
      <c r="FCA19" s="13"/>
      <c r="FCB19" s="13"/>
      <c r="FCC19" s="13"/>
      <c r="FCD19" s="13"/>
      <c r="FCE19" s="13"/>
      <c r="FCF19" s="13"/>
      <c r="FCG19" s="13"/>
      <c r="FCH19" s="13"/>
      <c r="FCI19" s="13"/>
      <c r="FCJ19" s="13"/>
      <c r="FCK19" s="13"/>
      <c r="FCL19" s="13"/>
      <c r="FCM19" s="13"/>
      <c r="FCN19" s="13"/>
      <c r="FCO19" s="13"/>
      <c r="FCP19" s="13"/>
      <c r="FCQ19" s="13"/>
      <c r="FCR19" s="13"/>
      <c r="FCS19" s="13"/>
      <c r="FCT19" s="13"/>
      <c r="FCU19" s="13"/>
      <c r="FCV19" s="13"/>
      <c r="FCW19" s="13"/>
      <c r="FCX19" s="13"/>
      <c r="FCY19" s="13"/>
      <c r="FCZ19" s="13"/>
      <c r="FDA19" s="13"/>
      <c r="FDB19" s="13"/>
      <c r="FDC19" s="13"/>
      <c r="FDD19" s="13"/>
      <c r="FDE19" s="13"/>
      <c r="FDF19" s="13"/>
      <c r="FDG19" s="13"/>
      <c r="FDH19" s="13"/>
      <c r="FDI19" s="13"/>
      <c r="FDJ19" s="13"/>
      <c r="FDK19" s="13"/>
      <c r="FDL19" s="13"/>
      <c r="FDM19" s="13"/>
      <c r="FDN19" s="13"/>
      <c r="FDO19" s="13"/>
      <c r="FDP19" s="13"/>
      <c r="FDQ19" s="13"/>
      <c r="FDR19" s="13"/>
      <c r="FDS19" s="13"/>
      <c r="FDT19" s="13"/>
      <c r="FDU19" s="13"/>
      <c r="FDV19" s="13"/>
      <c r="FDW19" s="13"/>
      <c r="FDX19" s="13"/>
      <c r="FDY19" s="13"/>
      <c r="FDZ19" s="13"/>
      <c r="FEA19" s="13"/>
      <c r="FEB19" s="13"/>
      <c r="FEC19" s="13"/>
      <c r="FED19" s="13"/>
      <c r="FEE19" s="13"/>
      <c r="FEF19" s="13"/>
      <c r="FEG19" s="13"/>
      <c r="FEH19" s="13"/>
      <c r="FEI19" s="13"/>
      <c r="FEJ19" s="13"/>
      <c r="FEK19" s="13"/>
      <c r="FEL19" s="13"/>
      <c r="FEM19" s="13"/>
      <c r="FEN19" s="13"/>
      <c r="FEO19" s="13"/>
      <c r="FEP19" s="13"/>
      <c r="FEQ19" s="13"/>
      <c r="FER19" s="13"/>
      <c r="FES19" s="13"/>
      <c r="FET19" s="13"/>
      <c r="FEU19" s="13"/>
      <c r="FEV19" s="13"/>
      <c r="FEW19" s="13"/>
      <c r="FEX19" s="13"/>
      <c r="FEY19" s="13"/>
      <c r="FEZ19" s="13"/>
      <c r="FFA19" s="13"/>
      <c r="FFB19" s="13"/>
      <c r="FFC19" s="13"/>
      <c r="FFD19" s="13"/>
      <c r="FFE19" s="13"/>
      <c r="FFF19" s="13"/>
      <c r="FFG19" s="13"/>
      <c r="FFH19" s="13"/>
      <c r="FFI19" s="13"/>
      <c r="FFJ19" s="13"/>
      <c r="FFK19" s="13"/>
      <c r="FFL19" s="13"/>
      <c r="FFM19" s="13"/>
      <c r="FFN19" s="13"/>
      <c r="FFO19" s="13"/>
      <c r="FFP19" s="13"/>
      <c r="FFQ19" s="13"/>
      <c r="FFR19" s="13"/>
      <c r="FFS19" s="13"/>
      <c r="FFT19" s="13"/>
      <c r="FFU19" s="13"/>
      <c r="FFV19" s="13"/>
      <c r="FFW19" s="13"/>
      <c r="FFX19" s="13"/>
      <c r="FFY19" s="13"/>
      <c r="FFZ19" s="13"/>
      <c r="FGA19" s="13"/>
      <c r="FGB19" s="13"/>
      <c r="FGC19" s="13"/>
      <c r="FGD19" s="13"/>
      <c r="FGE19" s="13"/>
      <c r="FGF19" s="13"/>
      <c r="FGG19" s="13"/>
      <c r="FGH19" s="13"/>
      <c r="FGI19" s="13"/>
      <c r="FGJ19" s="13"/>
      <c r="FGK19" s="13"/>
      <c r="FGL19" s="13"/>
      <c r="FGM19" s="13"/>
      <c r="FGN19" s="13"/>
      <c r="FGO19" s="13"/>
      <c r="FGP19" s="13"/>
      <c r="FGQ19" s="13"/>
      <c r="FGR19" s="13"/>
      <c r="FGS19" s="13"/>
      <c r="FGT19" s="13"/>
      <c r="FGU19" s="13"/>
      <c r="FGV19" s="13"/>
      <c r="FGW19" s="13"/>
      <c r="FGX19" s="13"/>
      <c r="FGY19" s="13"/>
      <c r="FGZ19" s="13"/>
      <c r="FHA19" s="13"/>
      <c r="FHB19" s="13"/>
      <c r="FHC19" s="13"/>
      <c r="FHD19" s="13"/>
      <c r="FHE19" s="13"/>
      <c r="FHF19" s="13"/>
      <c r="FHG19" s="13"/>
      <c r="FHH19" s="13"/>
      <c r="FHI19" s="13"/>
      <c r="FHJ19" s="13"/>
      <c r="FHK19" s="13"/>
      <c r="FHL19" s="13"/>
      <c r="FHM19" s="13"/>
      <c r="FHN19" s="13"/>
      <c r="FHO19" s="13"/>
      <c r="FHP19" s="13"/>
      <c r="FHQ19" s="13"/>
      <c r="FHR19" s="13"/>
      <c r="FHS19" s="13"/>
      <c r="FHT19" s="13"/>
      <c r="FHU19" s="13"/>
      <c r="FHV19" s="13"/>
      <c r="FHW19" s="13"/>
      <c r="FHX19" s="13"/>
      <c r="FHY19" s="13"/>
      <c r="FHZ19" s="13"/>
      <c r="FIA19" s="13"/>
      <c r="FIB19" s="13"/>
      <c r="FIC19" s="13"/>
      <c r="FID19" s="13"/>
      <c r="FIE19" s="13"/>
      <c r="FIF19" s="13"/>
      <c r="FIG19" s="13"/>
      <c r="FIH19" s="13"/>
      <c r="FII19" s="13"/>
      <c r="FIJ19" s="13"/>
      <c r="FIK19" s="13"/>
      <c r="FIL19" s="13"/>
      <c r="FIM19" s="13"/>
      <c r="FIN19" s="13"/>
      <c r="FIO19" s="13"/>
      <c r="FIP19" s="13"/>
      <c r="FIQ19" s="13"/>
      <c r="FIR19" s="13"/>
      <c r="FIS19" s="13"/>
      <c r="FIT19" s="13"/>
      <c r="FIU19" s="13"/>
      <c r="FIV19" s="13"/>
      <c r="FIW19" s="13"/>
      <c r="FIX19" s="13"/>
      <c r="FIY19" s="13"/>
      <c r="FIZ19" s="13"/>
      <c r="FJA19" s="13"/>
      <c r="FJB19" s="13"/>
      <c r="FJC19" s="13"/>
      <c r="FJD19" s="13"/>
      <c r="FJE19" s="13"/>
      <c r="FJF19" s="13"/>
      <c r="FJG19" s="13"/>
      <c r="FJH19" s="13"/>
      <c r="FJI19" s="13"/>
      <c r="FJJ19" s="13"/>
      <c r="FJK19" s="13"/>
      <c r="FJL19" s="13"/>
      <c r="FJM19" s="13"/>
      <c r="FJN19" s="13"/>
      <c r="FJO19" s="13"/>
      <c r="FJP19" s="13"/>
      <c r="FJQ19" s="13"/>
      <c r="FJR19" s="13"/>
      <c r="FJS19" s="13"/>
      <c r="FJT19" s="13"/>
      <c r="FJU19" s="13"/>
      <c r="FJV19" s="13"/>
      <c r="FJW19" s="13"/>
      <c r="FJX19" s="13"/>
      <c r="FJY19" s="13"/>
      <c r="FJZ19" s="13"/>
      <c r="FKA19" s="13"/>
      <c r="FKB19" s="13"/>
      <c r="FKC19" s="13"/>
      <c r="FKD19" s="13"/>
      <c r="FKE19" s="13"/>
      <c r="FKF19" s="13"/>
      <c r="FKG19" s="13"/>
      <c r="FKH19" s="13"/>
      <c r="FKI19" s="13"/>
      <c r="FKJ19" s="13"/>
      <c r="FKK19" s="13"/>
      <c r="FKL19" s="13"/>
      <c r="FKM19" s="13"/>
      <c r="FKN19" s="13"/>
      <c r="FKO19" s="13"/>
      <c r="FKP19" s="13"/>
      <c r="FKQ19" s="13"/>
      <c r="FKR19" s="13"/>
      <c r="FKS19" s="13"/>
      <c r="FKT19" s="13"/>
      <c r="FKU19" s="13"/>
      <c r="FKV19" s="13"/>
      <c r="FKW19" s="13"/>
      <c r="FKX19" s="13"/>
      <c r="FKY19" s="13"/>
      <c r="FKZ19" s="13"/>
      <c r="FLA19" s="13"/>
      <c r="FLB19" s="13"/>
      <c r="FLC19" s="13"/>
      <c r="FLD19" s="13"/>
      <c r="FLE19" s="13"/>
      <c r="FLF19" s="13"/>
      <c r="FLG19" s="13"/>
      <c r="FLH19" s="13"/>
      <c r="FLI19" s="13"/>
      <c r="FLJ19" s="13"/>
      <c r="FLK19" s="13"/>
      <c r="FLL19" s="13"/>
      <c r="FLM19" s="13"/>
      <c r="FLN19" s="13"/>
      <c r="FLO19" s="13"/>
      <c r="FLP19" s="13"/>
      <c r="FLQ19" s="13"/>
      <c r="FLR19" s="13"/>
      <c r="FLS19" s="13"/>
      <c r="FLT19" s="13"/>
      <c r="FLU19" s="13"/>
      <c r="FLV19" s="13"/>
      <c r="FLW19" s="13"/>
      <c r="FLX19" s="13"/>
      <c r="FLY19" s="13"/>
      <c r="FLZ19" s="13"/>
      <c r="FMA19" s="13"/>
      <c r="FMB19" s="13"/>
      <c r="FMC19" s="13"/>
      <c r="FMD19" s="13"/>
      <c r="FME19" s="13"/>
      <c r="FMF19" s="13"/>
      <c r="FMG19" s="13"/>
      <c r="FMH19" s="13"/>
      <c r="FMI19" s="13"/>
      <c r="FMJ19" s="13"/>
      <c r="FMK19" s="13"/>
      <c r="FML19" s="13"/>
      <c r="FMM19" s="13"/>
      <c r="FMN19" s="13"/>
      <c r="FMO19" s="13"/>
      <c r="FMP19" s="13"/>
      <c r="FMQ19" s="13"/>
      <c r="FMR19" s="13"/>
      <c r="FMS19" s="13"/>
      <c r="FMT19" s="13"/>
      <c r="FMU19" s="13"/>
      <c r="FMV19" s="13"/>
      <c r="FMW19" s="13"/>
      <c r="FMX19" s="13"/>
      <c r="FMY19" s="13"/>
      <c r="FMZ19" s="13"/>
      <c r="FNA19" s="13"/>
      <c r="FNB19" s="13"/>
      <c r="FNC19" s="13"/>
      <c r="FND19" s="13"/>
      <c r="FNE19" s="13"/>
      <c r="FNF19" s="13"/>
      <c r="FNG19" s="13"/>
      <c r="FNH19" s="13"/>
      <c r="FNI19" s="13"/>
      <c r="FNJ19" s="13"/>
      <c r="FNK19" s="13"/>
      <c r="FNL19" s="13"/>
      <c r="FNM19" s="13"/>
      <c r="FNN19" s="13"/>
      <c r="FNO19" s="13"/>
      <c r="FNP19" s="13"/>
      <c r="FNQ19" s="13"/>
      <c r="FNR19" s="13"/>
      <c r="FNS19" s="13"/>
      <c r="FNT19" s="13"/>
      <c r="FNU19" s="13"/>
      <c r="FNV19" s="13"/>
      <c r="FNW19" s="13"/>
      <c r="FNX19" s="13"/>
      <c r="FNY19" s="13"/>
      <c r="FNZ19" s="13"/>
      <c r="FOA19" s="13"/>
      <c r="FOB19" s="13"/>
      <c r="FOC19" s="13"/>
      <c r="FOD19" s="13"/>
      <c r="FOE19" s="13"/>
      <c r="FOF19" s="13"/>
      <c r="FOG19" s="13"/>
      <c r="FOH19" s="13"/>
      <c r="FOI19" s="13"/>
      <c r="FOJ19" s="13"/>
      <c r="FOK19" s="13"/>
      <c r="FOL19" s="13"/>
      <c r="FOM19" s="13"/>
      <c r="FON19" s="13"/>
      <c r="FOO19" s="13"/>
      <c r="FOP19" s="13"/>
      <c r="FOQ19" s="13"/>
      <c r="FOR19" s="13"/>
      <c r="FOS19" s="13"/>
      <c r="FOT19" s="13"/>
      <c r="FOU19" s="13"/>
      <c r="FOV19" s="13"/>
      <c r="FOW19" s="13"/>
      <c r="FOX19" s="13"/>
      <c r="FOY19" s="13"/>
      <c r="FOZ19" s="13"/>
      <c r="FPA19" s="13"/>
      <c r="FPB19" s="13"/>
      <c r="FPC19" s="13"/>
      <c r="FPD19" s="13"/>
      <c r="FPE19" s="13"/>
      <c r="FPF19" s="13"/>
      <c r="FPG19" s="13"/>
      <c r="FPH19" s="13"/>
      <c r="FPI19" s="13"/>
      <c r="FPJ19" s="13"/>
      <c r="FPK19" s="13"/>
      <c r="FPL19" s="13"/>
      <c r="FPM19" s="13"/>
      <c r="FPN19" s="13"/>
      <c r="FPO19" s="13"/>
      <c r="FPP19" s="13"/>
      <c r="FPQ19" s="13"/>
      <c r="FPR19" s="13"/>
      <c r="FPS19" s="13"/>
      <c r="FPT19" s="13"/>
      <c r="FPU19" s="13"/>
      <c r="FPV19" s="13"/>
      <c r="FPW19" s="13"/>
      <c r="FPX19" s="13"/>
      <c r="FPY19" s="13"/>
      <c r="FPZ19" s="13"/>
      <c r="FQA19" s="13"/>
      <c r="FQB19" s="13"/>
      <c r="FQC19" s="13"/>
      <c r="FQD19" s="13"/>
      <c r="FQE19" s="13"/>
      <c r="FQF19" s="13"/>
      <c r="FQG19" s="13"/>
      <c r="FQH19" s="13"/>
      <c r="FQI19" s="13"/>
      <c r="FQJ19" s="13"/>
      <c r="FQK19" s="13"/>
      <c r="FQL19" s="13"/>
      <c r="FQM19" s="13"/>
      <c r="FQN19" s="13"/>
      <c r="FQO19" s="13"/>
      <c r="FQP19" s="13"/>
      <c r="FQQ19" s="13"/>
      <c r="FQR19" s="13"/>
      <c r="FQS19" s="13"/>
      <c r="FQT19" s="13"/>
      <c r="FQU19" s="13"/>
      <c r="FQV19" s="13"/>
      <c r="FQW19" s="13"/>
      <c r="FQX19" s="13"/>
      <c r="FQY19" s="13"/>
      <c r="FQZ19" s="13"/>
      <c r="FRA19" s="13"/>
      <c r="FRB19" s="13"/>
      <c r="FRC19" s="13"/>
      <c r="FRD19" s="13"/>
      <c r="FRE19" s="13"/>
      <c r="FRF19" s="13"/>
      <c r="FRG19" s="13"/>
      <c r="FRH19" s="13"/>
      <c r="FRI19" s="13"/>
      <c r="FRJ19" s="13"/>
      <c r="FRK19" s="13"/>
      <c r="FRL19" s="13"/>
      <c r="FRM19" s="13"/>
      <c r="FRN19" s="13"/>
      <c r="FRO19" s="13"/>
      <c r="FRP19" s="13"/>
      <c r="FRQ19" s="13"/>
      <c r="FRR19" s="13"/>
      <c r="FRS19" s="13"/>
      <c r="FRT19" s="13"/>
      <c r="FRU19" s="13"/>
      <c r="FRV19" s="13"/>
      <c r="FRW19" s="13"/>
      <c r="FRX19" s="13"/>
      <c r="FRY19" s="13"/>
      <c r="FRZ19" s="13"/>
      <c r="FSA19" s="13"/>
      <c r="FSB19" s="13"/>
      <c r="FSC19" s="13"/>
      <c r="FSD19" s="13"/>
      <c r="FSE19" s="13"/>
      <c r="FSF19" s="13"/>
      <c r="FSG19" s="13"/>
      <c r="FSH19" s="13"/>
      <c r="FSI19" s="13"/>
      <c r="FSJ19" s="13"/>
      <c r="FSK19" s="13"/>
      <c r="FSL19" s="13"/>
      <c r="FSM19" s="13"/>
      <c r="FSN19" s="13"/>
      <c r="FSO19" s="13"/>
      <c r="FSP19" s="13"/>
      <c r="FSQ19" s="13"/>
      <c r="FSR19" s="13"/>
      <c r="FSS19" s="13"/>
      <c r="FST19" s="13"/>
      <c r="FSU19" s="13"/>
      <c r="FSV19" s="13"/>
      <c r="FSW19" s="13"/>
      <c r="FSX19" s="13"/>
      <c r="FSY19" s="13"/>
      <c r="FSZ19" s="13"/>
      <c r="FTA19" s="13"/>
      <c r="FTB19" s="13"/>
      <c r="FTC19" s="13"/>
      <c r="FTD19" s="13"/>
      <c r="FTE19" s="13"/>
      <c r="FTF19" s="13"/>
      <c r="FTG19" s="13"/>
      <c r="FTH19" s="13"/>
      <c r="FTI19" s="13"/>
      <c r="FTJ19" s="13"/>
      <c r="FTK19" s="13"/>
      <c r="FTL19" s="13"/>
      <c r="FTM19" s="13"/>
      <c r="FTN19" s="13"/>
      <c r="FTO19" s="13"/>
      <c r="FTP19" s="13"/>
      <c r="FTQ19" s="13"/>
      <c r="FTR19" s="13"/>
      <c r="FTS19" s="13"/>
      <c r="FTT19" s="13"/>
      <c r="FTU19" s="13"/>
      <c r="FTV19" s="13"/>
      <c r="FTW19" s="13"/>
      <c r="FTX19" s="13"/>
      <c r="FTY19" s="13"/>
      <c r="FTZ19" s="13"/>
      <c r="FUA19" s="13"/>
      <c r="FUB19" s="13"/>
      <c r="FUC19" s="13"/>
      <c r="FUD19" s="13"/>
      <c r="FUE19" s="13"/>
      <c r="FUF19" s="13"/>
      <c r="FUG19" s="13"/>
      <c r="FUH19" s="13"/>
      <c r="FUI19" s="13"/>
      <c r="FUJ19" s="13"/>
      <c r="FUK19" s="13"/>
      <c r="FUL19" s="13"/>
      <c r="FUM19" s="13"/>
      <c r="FUN19" s="13"/>
      <c r="FUO19" s="13"/>
      <c r="FUP19" s="13"/>
      <c r="FUQ19" s="13"/>
      <c r="FUR19" s="13"/>
      <c r="FUS19" s="13"/>
      <c r="FUT19" s="13"/>
      <c r="FUU19" s="13"/>
      <c r="FUV19" s="13"/>
      <c r="FUW19" s="13"/>
      <c r="FUX19" s="13"/>
      <c r="FUY19" s="13"/>
      <c r="FUZ19" s="13"/>
      <c r="FVA19" s="13"/>
      <c r="FVB19" s="13"/>
      <c r="FVC19" s="13"/>
      <c r="FVD19" s="13"/>
      <c r="FVE19" s="13"/>
      <c r="FVF19" s="13"/>
      <c r="FVG19" s="13"/>
      <c r="FVH19" s="13"/>
      <c r="FVI19" s="13"/>
      <c r="FVJ19" s="13"/>
      <c r="FVK19" s="13"/>
      <c r="FVL19" s="13"/>
      <c r="FVM19" s="13"/>
      <c r="FVN19" s="13"/>
      <c r="FVO19" s="13"/>
      <c r="FVP19" s="13"/>
      <c r="FVQ19" s="13"/>
      <c r="FVR19" s="13"/>
      <c r="FVS19" s="13"/>
      <c r="FVT19" s="13"/>
      <c r="FVU19" s="13"/>
      <c r="FVV19" s="13"/>
      <c r="FVW19" s="13"/>
      <c r="FVX19" s="13"/>
      <c r="FVY19" s="13"/>
      <c r="FVZ19" s="13"/>
      <c r="FWA19" s="13"/>
      <c r="FWB19" s="13"/>
      <c r="FWC19" s="13"/>
      <c r="FWD19" s="13"/>
      <c r="FWE19" s="13"/>
      <c r="FWF19" s="13"/>
      <c r="FWG19" s="13"/>
      <c r="FWH19" s="13"/>
      <c r="FWI19" s="13"/>
      <c r="FWJ19" s="13"/>
      <c r="FWK19" s="13"/>
      <c r="FWL19" s="13"/>
      <c r="FWM19" s="13"/>
      <c r="FWN19" s="13"/>
      <c r="FWO19" s="13"/>
      <c r="FWP19" s="13"/>
      <c r="FWQ19" s="13"/>
      <c r="FWR19" s="13"/>
      <c r="FWS19" s="13"/>
      <c r="FWT19" s="13"/>
      <c r="FWU19" s="13"/>
      <c r="FWV19" s="13"/>
      <c r="FWW19" s="13"/>
      <c r="FWX19" s="13"/>
      <c r="FWY19" s="13"/>
      <c r="FWZ19" s="13"/>
      <c r="FXA19" s="13"/>
      <c r="FXB19" s="13"/>
      <c r="FXC19" s="13"/>
      <c r="FXD19" s="13"/>
      <c r="FXE19" s="13"/>
      <c r="FXF19" s="13"/>
      <c r="FXG19" s="13"/>
      <c r="FXH19" s="13"/>
      <c r="FXI19" s="13"/>
      <c r="FXJ19" s="13"/>
      <c r="FXK19" s="13"/>
      <c r="FXL19" s="13"/>
      <c r="FXM19" s="13"/>
      <c r="FXN19" s="13"/>
      <c r="FXO19" s="13"/>
      <c r="FXP19" s="13"/>
      <c r="FXQ19" s="13"/>
      <c r="FXR19" s="13"/>
      <c r="FXS19" s="13"/>
      <c r="FXT19" s="13"/>
      <c r="FXU19" s="13"/>
      <c r="FXV19" s="13"/>
      <c r="FXW19" s="13"/>
      <c r="FXX19" s="13"/>
      <c r="FXY19" s="13"/>
      <c r="FXZ19" s="13"/>
      <c r="FYA19" s="13"/>
      <c r="FYB19" s="13"/>
      <c r="FYC19" s="13"/>
      <c r="FYD19" s="13"/>
      <c r="FYE19" s="13"/>
      <c r="FYF19" s="13"/>
      <c r="FYG19" s="13"/>
      <c r="FYH19" s="13"/>
      <c r="FYI19" s="13"/>
      <c r="FYJ19" s="13"/>
      <c r="FYK19" s="13"/>
      <c r="FYL19" s="13"/>
      <c r="FYM19" s="13"/>
      <c r="FYN19" s="13"/>
      <c r="FYO19" s="13"/>
      <c r="FYP19" s="13"/>
      <c r="FYQ19" s="13"/>
      <c r="FYR19" s="13"/>
      <c r="FYS19" s="13"/>
      <c r="FYT19" s="13"/>
      <c r="FYU19" s="13"/>
      <c r="FYV19" s="13"/>
      <c r="FYW19" s="13"/>
      <c r="FYX19" s="13"/>
      <c r="FYY19" s="13"/>
      <c r="FYZ19" s="13"/>
      <c r="FZA19" s="13"/>
      <c r="FZB19" s="13"/>
      <c r="FZC19" s="13"/>
      <c r="FZD19" s="13"/>
      <c r="FZE19" s="13"/>
      <c r="FZF19" s="13"/>
      <c r="FZG19" s="13"/>
      <c r="FZH19" s="13"/>
      <c r="FZI19" s="13"/>
      <c r="FZJ19" s="13"/>
      <c r="FZK19" s="13"/>
      <c r="FZL19" s="13"/>
      <c r="FZM19" s="13"/>
      <c r="FZN19" s="13"/>
      <c r="FZO19" s="13"/>
      <c r="FZP19" s="13"/>
      <c r="FZQ19" s="13"/>
      <c r="FZR19" s="13"/>
      <c r="FZS19" s="13"/>
      <c r="FZT19" s="13"/>
      <c r="FZU19" s="13"/>
      <c r="FZV19" s="13"/>
      <c r="FZW19" s="13"/>
      <c r="FZX19" s="13"/>
      <c r="FZY19" s="13"/>
      <c r="FZZ19" s="13"/>
      <c r="GAA19" s="13"/>
      <c r="GAB19" s="13"/>
      <c r="GAC19" s="13"/>
      <c r="GAD19" s="13"/>
      <c r="GAE19" s="13"/>
      <c r="GAF19" s="13"/>
      <c r="GAG19" s="13"/>
      <c r="GAH19" s="13"/>
      <c r="GAI19" s="13"/>
      <c r="GAJ19" s="13"/>
      <c r="GAK19" s="13"/>
      <c r="GAL19" s="13"/>
      <c r="GAM19" s="13"/>
      <c r="GAN19" s="13"/>
      <c r="GAO19" s="13"/>
      <c r="GAP19" s="13"/>
      <c r="GAQ19" s="13"/>
      <c r="GAR19" s="13"/>
      <c r="GAS19" s="13"/>
      <c r="GAT19" s="13"/>
      <c r="GAU19" s="13"/>
      <c r="GAV19" s="13"/>
      <c r="GAW19" s="13"/>
      <c r="GAX19" s="13"/>
      <c r="GAY19" s="13"/>
      <c r="GAZ19" s="13"/>
      <c r="GBA19" s="13"/>
      <c r="GBB19" s="13"/>
      <c r="GBC19" s="13"/>
      <c r="GBD19" s="13"/>
      <c r="GBE19" s="13"/>
      <c r="GBF19" s="13"/>
      <c r="GBG19" s="13"/>
      <c r="GBH19" s="13"/>
      <c r="GBI19" s="13"/>
      <c r="GBJ19" s="13"/>
      <c r="GBK19" s="13"/>
      <c r="GBL19" s="13"/>
      <c r="GBM19" s="13"/>
      <c r="GBN19" s="13"/>
      <c r="GBO19" s="13"/>
      <c r="GBP19" s="13"/>
      <c r="GBQ19" s="13"/>
      <c r="GBR19" s="13"/>
      <c r="GBS19" s="13"/>
      <c r="GBT19" s="13"/>
      <c r="GBU19" s="13"/>
      <c r="GBV19" s="13"/>
      <c r="GBW19" s="13"/>
      <c r="GBX19" s="13"/>
      <c r="GBY19" s="13"/>
      <c r="GBZ19" s="13"/>
      <c r="GCA19" s="13"/>
      <c r="GCB19" s="13"/>
      <c r="GCC19" s="13"/>
      <c r="GCD19" s="13"/>
      <c r="GCE19" s="13"/>
      <c r="GCF19" s="13"/>
      <c r="GCG19" s="13"/>
      <c r="GCH19" s="13"/>
      <c r="GCI19" s="13"/>
      <c r="GCJ19" s="13"/>
      <c r="GCK19" s="13"/>
      <c r="GCL19" s="13"/>
      <c r="GCM19" s="13"/>
      <c r="GCN19" s="13"/>
      <c r="GCO19" s="13"/>
      <c r="GCP19" s="13"/>
      <c r="GCQ19" s="13"/>
      <c r="GCR19" s="13"/>
      <c r="GCS19" s="13"/>
      <c r="GCT19" s="13"/>
      <c r="GCU19" s="13"/>
      <c r="GCV19" s="13"/>
      <c r="GCW19" s="13"/>
      <c r="GCX19" s="13"/>
      <c r="GCY19" s="13"/>
      <c r="GCZ19" s="13"/>
      <c r="GDA19" s="13"/>
      <c r="GDB19" s="13"/>
      <c r="GDC19" s="13"/>
      <c r="GDD19" s="13"/>
      <c r="GDE19" s="13"/>
      <c r="GDF19" s="13"/>
      <c r="GDG19" s="13"/>
      <c r="GDH19" s="13"/>
      <c r="GDI19" s="13"/>
      <c r="GDJ19" s="13"/>
      <c r="GDK19" s="13"/>
      <c r="GDL19" s="13"/>
      <c r="GDM19" s="13"/>
      <c r="GDN19" s="13"/>
      <c r="GDO19" s="13"/>
      <c r="GDP19" s="13"/>
      <c r="GDQ19" s="13"/>
      <c r="GDR19" s="13"/>
      <c r="GDS19" s="13"/>
      <c r="GDT19" s="13"/>
      <c r="GDU19" s="13"/>
      <c r="GDV19" s="13"/>
      <c r="GDW19" s="13"/>
      <c r="GDX19" s="13"/>
      <c r="GDY19" s="13"/>
      <c r="GDZ19" s="13"/>
      <c r="GEA19" s="13"/>
      <c r="GEB19" s="13"/>
      <c r="GEC19" s="13"/>
      <c r="GED19" s="13"/>
      <c r="GEE19" s="13"/>
      <c r="GEF19" s="13"/>
      <c r="GEG19" s="13"/>
      <c r="GEH19" s="13"/>
      <c r="GEI19" s="13"/>
      <c r="GEJ19" s="13"/>
      <c r="GEK19" s="13"/>
      <c r="GEL19" s="13"/>
      <c r="GEM19" s="13"/>
      <c r="GEN19" s="13"/>
      <c r="GEO19" s="13"/>
      <c r="GEP19" s="13"/>
      <c r="GEQ19" s="13"/>
      <c r="GER19" s="13"/>
      <c r="GES19" s="13"/>
      <c r="GET19" s="13"/>
      <c r="GEU19" s="13"/>
      <c r="GEV19" s="13"/>
      <c r="GEW19" s="13"/>
      <c r="GEX19" s="13"/>
      <c r="GEY19" s="13"/>
      <c r="GEZ19" s="13"/>
      <c r="GFA19" s="13"/>
      <c r="GFB19" s="13"/>
      <c r="GFC19" s="13"/>
      <c r="GFD19" s="13"/>
      <c r="GFE19" s="13"/>
      <c r="GFF19" s="13"/>
      <c r="GFG19" s="13"/>
      <c r="GFH19" s="13"/>
      <c r="GFI19" s="13"/>
      <c r="GFJ19" s="13"/>
      <c r="GFK19" s="13"/>
      <c r="GFL19" s="13"/>
      <c r="GFM19" s="13"/>
      <c r="GFN19" s="13"/>
      <c r="GFO19" s="13"/>
      <c r="GFP19" s="13"/>
      <c r="GFQ19" s="13"/>
      <c r="GFR19" s="13"/>
      <c r="GFS19" s="13"/>
      <c r="GFT19" s="13"/>
      <c r="GFU19" s="13"/>
      <c r="GFV19" s="13"/>
      <c r="GFW19" s="13"/>
      <c r="GFX19" s="13"/>
      <c r="GFY19" s="13"/>
      <c r="GFZ19" s="13"/>
      <c r="GGA19" s="13"/>
      <c r="GGB19" s="13"/>
      <c r="GGC19" s="13"/>
      <c r="GGD19" s="13"/>
      <c r="GGE19" s="13"/>
      <c r="GGF19" s="13"/>
      <c r="GGG19" s="13"/>
      <c r="GGH19" s="13"/>
      <c r="GGI19" s="13"/>
      <c r="GGJ19" s="13"/>
      <c r="GGK19" s="13"/>
      <c r="GGL19" s="13"/>
      <c r="GGM19" s="13"/>
      <c r="GGN19" s="13"/>
      <c r="GGO19" s="13"/>
      <c r="GGP19" s="13"/>
      <c r="GGQ19" s="13"/>
      <c r="GGR19" s="13"/>
      <c r="GGS19" s="13"/>
      <c r="GGT19" s="13"/>
      <c r="GGU19" s="13"/>
      <c r="GGV19" s="13"/>
      <c r="GGW19" s="13"/>
      <c r="GGX19" s="13"/>
      <c r="GGY19" s="13"/>
      <c r="GGZ19" s="13"/>
      <c r="GHA19" s="13"/>
      <c r="GHB19" s="13"/>
      <c r="GHC19" s="13"/>
      <c r="GHD19" s="13"/>
      <c r="GHE19" s="13"/>
      <c r="GHF19" s="13"/>
      <c r="GHG19" s="13"/>
      <c r="GHH19" s="13"/>
      <c r="GHI19" s="13"/>
      <c r="GHJ19" s="13"/>
      <c r="GHK19" s="13"/>
      <c r="GHL19" s="13"/>
      <c r="GHM19" s="13"/>
      <c r="GHN19" s="13"/>
      <c r="GHO19" s="13"/>
      <c r="GHP19" s="13"/>
      <c r="GHQ19" s="13"/>
      <c r="GHR19" s="13"/>
      <c r="GHS19" s="13"/>
      <c r="GHT19" s="13"/>
      <c r="GHU19" s="13"/>
      <c r="GHV19" s="13"/>
      <c r="GHW19" s="13"/>
      <c r="GHX19" s="13"/>
      <c r="GHY19" s="13"/>
      <c r="GHZ19" s="13"/>
      <c r="GIA19" s="13"/>
      <c r="GIB19" s="13"/>
      <c r="GIC19" s="13"/>
      <c r="GID19" s="13"/>
      <c r="GIE19" s="13"/>
      <c r="GIF19" s="13"/>
      <c r="GIG19" s="13"/>
      <c r="GIH19" s="13"/>
      <c r="GII19" s="13"/>
      <c r="GIJ19" s="13"/>
      <c r="GIK19" s="13"/>
      <c r="GIL19" s="13"/>
      <c r="GIM19" s="13"/>
      <c r="GIN19" s="13"/>
      <c r="GIO19" s="13"/>
      <c r="GIP19" s="13"/>
      <c r="GIQ19" s="13"/>
      <c r="GIR19" s="13"/>
      <c r="GIS19" s="13"/>
      <c r="GIT19" s="13"/>
      <c r="GIU19" s="13"/>
      <c r="GIV19" s="13"/>
      <c r="GIW19" s="13"/>
      <c r="GIX19" s="13"/>
      <c r="GIY19" s="13"/>
      <c r="GIZ19" s="13"/>
      <c r="GJA19" s="13"/>
      <c r="GJB19" s="13"/>
      <c r="GJC19" s="13"/>
      <c r="GJD19" s="13"/>
      <c r="GJE19" s="13"/>
      <c r="GJF19" s="13"/>
      <c r="GJG19" s="13"/>
      <c r="GJH19" s="13"/>
      <c r="GJI19" s="13"/>
      <c r="GJJ19" s="13"/>
      <c r="GJK19" s="13"/>
      <c r="GJL19" s="13"/>
      <c r="GJM19" s="13"/>
      <c r="GJN19" s="13"/>
      <c r="GJO19" s="13"/>
      <c r="GJP19" s="13"/>
      <c r="GJQ19" s="13"/>
      <c r="GJR19" s="13"/>
      <c r="GJS19" s="13"/>
      <c r="GJT19" s="13"/>
      <c r="GJU19" s="13"/>
      <c r="GJV19" s="13"/>
      <c r="GJW19" s="13"/>
      <c r="GJX19" s="13"/>
      <c r="GJY19" s="13"/>
      <c r="GJZ19" s="13"/>
      <c r="GKA19" s="13"/>
      <c r="GKB19" s="13"/>
      <c r="GKC19" s="13"/>
      <c r="GKD19" s="13"/>
      <c r="GKE19" s="13"/>
      <c r="GKF19" s="13"/>
      <c r="GKG19" s="13"/>
      <c r="GKH19" s="13"/>
      <c r="GKI19" s="13"/>
      <c r="GKJ19" s="13"/>
      <c r="GKK19" s="13"/>
      <c r="GKL19" s="13"/>
      <c r="GKM19" s="13"/>
      <c r="GKN19" s="13"/>
      <c r="GKO19" s="13"/>
      <c r="GKP19" s="13"/>
      <c r="GKQ19" s="13"/>
      <c r="GKR19" s="13"/>
      <c r="GKS19" s="13"/>
      <c r="GKT19" s="13"/>
      <c r="GKU19" s="13"/>
      <c r="GKV19" s="13"/>
      <c r="GKW19" s="13"/>
      <c r="GKX19" s="13"/>
      <c r="GKY19" s="13"/>
      <c r="GKZ19" s="13"/>
      <c r="GLA19" s="13"/>
      <c r="GLB19" s="13"/>
      <c r="GLC19" s="13"/>
      <c r="GLD19" s="13"/>
      <c r="GLE19" s="13"/>
      <c r="GLF19" s="13"/>
      <c r="GLG19" s="13"/>
      <c r="GLH19" s="13"/>
      <c r="GLI19" s="13"/>
      <c r="GLJ19" s="13"/>
      <c r="GLK19" s="13"/>
      <c r="GLL19" s="13"/>
      <c r="GLM19" s="13"/>
      <c r="GLN19" s="13"/>
      <c r="GLO19" s="13"/>
      <c r="GLP19" s="13"/>
      <c r="GLQ19" s="13"/>
      <c r="GLR19" s="13"/>
      <c r="GLS19" s="13"/>
      <c r="GLT19" s="13"/>
      <c r="GLU19" s="13"/>
      <c r="GLV19" s="13"/>
      <c r="GLW19" s="13"/>
      <c r="GLX19" s="13"/>
      <c r="GLY19" s="13"/>
      <c r="GLZ19" s="13"/>
      <c r="GMA19" s="13"/>
      <c r="GMB19" s="13"/>
      <c r="GMC19" s="13"/>
      <c r="GMD19" s="13"/>
      <c r="GME19" s="13"/>
      <c r="GMF19" s="13"/>
      <c r="GMG19" s="13"/>
      <c r="GMH19" s="13"/>
      <c r="GMI19" s="13"/>
      <c r="GMJ19" s="13"/>
      <c r="GMK19" s="13"/>
      <c r="GML19" s="13"/>
      <c r="GMM19" s="13"/>
      <c r="GMN19" s="13"/>
      <c r="GMO19" s="13"/>
      <c r="GMP19" s="13"/>
      <c r="GMQ19" s="13"/>
      <c r="GMR19" s="13"/>
      <c r="GMS19" s="13"/>
      <c r="GMT19" s="13"/>
      <c r="GMU19" s="13"/>
      <c r="GMV19" s="13"/>
      <c r="GMW19" s="13"/>
      <c r="GMX19" s="13"/>
      <c r="GMY19" s="13"/>
      <c r="GMZ19" s="13"/>
      <c r="GNA19" s="13"/>
      <c r="GNB19" s="13"/>
      <c r="GNC19" s="13"/>
      <c r="GND19" s="13"/>
      <c r="GNE19" s="13"/>
      <c r="GNF19" s="13"/>
      <c r="GNG19" s="13"/>
      <c r="GNH19" s="13"/>
      <c r="GNI19" s="13"/>
      <c r="GNJ19" s="13"/>
      <c r="GNK19" s="13"/>
      <c r="GNL19" s="13"/>
      <c r="GNM19" s="13"/>
      <c r="GNN19" s="13"/>
      <c r="GNO19" s="13"/>
      <c r="GNP19" s="13"/>
      <c r="GNQ19" s="13"/>
      <c r="GNR19" s="13"/>
      <c r="GNS19" s="13"/>
      <c r="GNT19" s="13"/>
      <c r="GNU19" s="13"/>
      <c r="GNV19" s="13"/>
      <c r="GNW19" s="13"/>
      <c r="GNX19" s="13"/>
      <c r="GNY19" s="13"/>
      <c r="GNZ19" s="13"/>
      <c r="GOA19" s="13"/>
      <c r="GOB19" s="13"/>
      <c r="GOC19" s="13"/>
      <c r="GOD19" s="13"/>
      <c r="GOE19" s="13"/>
      <c r="GOF19" s="13"/>
      <c r="GOG19" s="13"/>
      <c r="GOH19" s="13"/>
      <c r="GOI19" s="13"/>
      <c r="GOJ19" s="13"/>
      <c r="GOK19" s="13"/>
      <c r="GOL19" s="13"/>
      <c r="GOM19" s="13"/>
      <c r="GON19" s="13"/>
      <c r="GOO19" s="13"/>
      <c r="GOP19" s="13"/>
      <c r="GOQ19" s="13"/>
      <c r="GOR19" s="13"/>
      <c r="GOS19" s="13"/>
      <c r="GOT19" s="13"/>
      <c r="GOU19" s="13"/>
      <c r="GOV19" s="13"/>
      <c r="GOW19" s="13"/>
      <c r="GOX19" s="13"/>
      <c r="GOY19" s="13"/>
      <c r="GOZ19" s="13"/>
      <c r="GPA19" s="13"/>
      <c r="GPB19" s="13"/>
      <c r="GPC19" s="13"/>
      <c r="GPD19" s="13"/>
      <c r="GPE19" s="13"/>
      <c r="GPF19" s="13"/>
      <c r="GPG19" s="13"/>
      <c r="GPH19" s="13"/>
      <c r="GPI19" s="13"/>
      <c r="GPJ19" s="13"/>
      <c r="GPK19" s="13"/>
      <c r="GPL19" s="13"/>
      <c r="GPM19" s="13"/>
      <c r="GPN19" s="13"/>
      <c r="GPO19" s="13"/>
      <c r="GPP19" s="13"/>
      <c r="GPQ19" s="13"/>
      <c r="GPR19" s="13"/>
      <c r="GPS19" s="13"/>
      <c r="GPT19" s="13"/>
      <c r="GPU19" s="13"/>
      <c r="GPV19" s="13"/>
      <c r="GPW19" s="13"/>
      <c r="GPX19" s="13"/>
      <c r="GPY19" s="13"/>
      <c r="GPZ19" s="13"/>
      <c r="GQA19" s="13"/>
      <c r="GQB19" s="13"/>
      <c r="GQC19" s="13"/>
      <c r="GQD19" s="13"/>
      <c r="GQE19" s="13"/>
      <c r="GQF19" s="13"/>
      <c r="GQG19" s="13"/>
      <c r="GQH19" s="13"/>
      <c r="GQI19" s="13"/>
      <c r="GQJ19" s="13"/>
      <c r="GQK19" s="13"/>
      <c r="GQL19" s="13"/>
      <c r="GQM19" s="13"/>
      <c r="GQN19" s="13"/>
      <c r="GQO19" s="13"/>
      <c r="GQP19" s="13"/>
      <c r="GQQ19" s="13"/>
      <c r="GQR19" s="13"/>
      <c r="GQS19" s="13"/>
      <c r="GQT19" s="13"/>
      <c r="GQU19" s="13"/>
      <c r="GQV19" s="13"/>
      <c r="GQW19" s="13"/>
      <c r="GQX19" s="13"/>
      <c r="GQY19" s="13"/>
      <c r="GQZ19" s="13"/>
      <c r="GRA19" s="13"/>
      <c r="GRB19" s="13"/>
      <c r="GRC19" s="13"/>
      <c r="GRD19" s="13"/>
      <c r="GRE19" s="13"/>
      <c r="GRF19" s="13"/>
      <c r="GRG19" s="13"/>
      <c r="GRH19" s="13"/>
      <c r="GRI19" s="13"/>
      <c r="GRJ19" s="13"/>
      <c r="GRK19" s="13"/>
      <c r="GRL19" s="13"/>
      <c r="GRM19" s="13"/>
      <c r="GRN19" s="13"/>
      <c r="GRO19" s="13"/>
      <c r="GRP19" s="13"/>
      <c r="GRQ19" s="13"/>
      <c r="GRR19" s="13"/>
      <c r="GRS19" s="13"/>
      <c r="GRT19" s="13"/>
      <c r="GRU19" s="13"/>
      <c r="GRV19" s="13"/>
      <c r="GRW19" s="13"/>
      <c r="GRX19" s="13"/>
      <c r="GRY19" s="13"/>
      <c r="GRZ19" s="13"/>
      <c r="GSA19" s="13"/>
      <c r="GSB19" s="13"/>
      <c r="GSC19" s="13"/>
      <c r="GSD19" s="13"/>
      <c r="GSE19" s="13"/>
      <c r="GSF19" s="13"/>
      <c r="GSG19" s="13"/>
      <c r="GSH19" s="13"/>
      <c r="GSI19" s="13"/>
      <c r="GSJ19" s="13"/>
      <c r="GSK19" s="13"/>
      <c r="GSL19" s="13"/>
      <c r="GSM19" s="13"/>
      <c r="GSN19" s="13"/>
      <c r="GSO19" s="13"/>
      <c r="GSP19" s="13"/>
      <c r="GSQ19" s="13"/>
      <c r="GSR19" s="13"/>
      <c r="GSS19" s="13"/>
      <c r="GST19" s="13"/>
      <c r="GSU19" s="13"/>
      <c r="GSV19" s="13"/>
      <c r="GSW19" s="13"/>
      <c r="GSX19" s="13"/>
      <c r="GSY19" s="13"/>
      <c r="GSZ19" s="13"/>
      <c r="GTA19" s="13"/>
      <c r="GTB19" s="13"/>
      <c r="GTC19" s="13"/>
      <c r="GTD19" s="13"/>
      <c r="GTE19" s="13"/>
      <c r="GTF19" s="13"/>
      <c r="GTG19" s="13"/>
      <c r="GTH19" s="13"/>
      <c r="GTI19" s="13"/>
      <c r="GTJ19" s="13"/>
      <c r="GTK19" s="13"/>
      <c r="GTL19" s="13"/>
      <c r="GTM19" s="13"/>
      <c r="GTN19" s="13"/>
      <c r="GTO19" s="13"/>
      <c r="GTP19" s="13"/>
      <c r="GTQ19" s="13"/>
      <c r="GTR19" s="13"/>
      <c r="GTS19" s="13"/>
      <c r="GTT19" s="13"/>
      <c r="GTU19" s="13"/>
      <c r="GTV19" s="13"/>
      <c r="GTW19" s="13"/>
      <c r="GTX19" s="13"/>
      <c r="GTY19" s="13"/>
      <c r="GTZ19" s="13"/>
      <c r="GUA19" s="13"/>
      <c r="GUB19" s="13"/>
      <c r="GUC19" s="13"/>
      <c r="GUD19" s="13"/>
      <c r="GUE19" s="13"/>
      <c r="GUF19" s="13"/>
      <c r="GUG19" s="13"/>
      <c r="GUH19" s="13"/>
      <c r="GUI19" s="13"/>
      <c r="GUJ19" s="13"/>
      <c r="GUK19" s="13"/>
      <c r="GUL19" s="13"/>
      <c r="GUM19" s="13"/>
      <c r="GUN19" s="13"/>
      <c r="GUO19" s="13"/>
      <c r="GUP19" s="13"/>
      <c r="GUQ19" s="13"/>
      <c r="GUR19" s="13"/>
      <c r="GUS19" s="13"/>
      <c r="GUT19" s="13"/>
      <c r="GUU19" s="13"/>
      <c r="GUV19" s="13"/>
      <c r="GUW19" s="13"/>
      <c r="GUX19" s="13"/>
      <c r="GUY19" s="13"/>
      <c r="GUZ19" s="13"/>
      <c r="GVA19" s="13"/>
      <c r="GVB19" s="13"/>
      <c r="GVC19" s="13"/>
      <c r="GVD19" s="13"/>
      <c r="GVE19" s="13"/>
      <c r="GVF19" s="13"/>
      <c r="GVG19" s="13"/>
      <c r="GVH19" s="13"/>
      <c r="GVI19" s="13"/>
      <c r="GVJ19" s="13"/>
      <c r="GVK19" s="13"/>
      <c r="GVL19" s="13"/>
      <c r="GVM19" s="13"/>
      <c r="GVN19" s="13"/>
      <c r="GVO19" s="13"/>
      <c r="GVP19" s="13"/>
      <c r="GVQ19" s="13"/>
      <c r="GVR19" s="13"/>
      <c r="GVS19" s="13"/>
      <c r="GVT19" s="13"/>
      <c r="GVU19" s="13"/>
      <c r="GVV19" s="13"/>
      <c r="GVW19" s="13"/>
      <c r="GVX19" s="13"/>
      <c r="GVY19" s="13"/>
      <c r="GVZ19" s="13"/>
      <c r="GWA19" s="13"/>
      <c r="GWB19" s="13"/>
      <c r="GWC19" s="13"/>
      <c r="GWD19" s="13"/>
      <c r="GWE19" s="13"/>
      <c r="GWF19" s="13"/>
      <c r="GWG19" s="13"/>
      <c r="GWH19" s="13"/>
      <c r="GWI19" s="13"/>
      <c r="GWJ19" s="13"/>
      <c r="GWK19" s="13"/>
      <c r="GWL19" s="13"/>
      <c r="GWM19" s="13"/>
      <c r="GWN19" s="13"/>
      <c r="GWO19" s="13"/>
      <c r="GWP19" s="13"/>
      <c r="GWQ19" s="13"/>
      <c r="GWR19" s="13"/>
      <c r="GWS19" s="13"/>
      <c r="GWT19" s="13"/>
      <c r="GWU19" s="13"/>
      <c r="GWV19" s="13"/>
      <c r="GWW19" s="13"/>
      <c r="GWX19" s="13"/>
      <c r="GWY19" s="13"/>
      <c r="GWZ19" s="13"/>
      <c r="GXA19" s="13"/>
      <c r="GXB19" s="13"/>
      <c r="GXC19" s="13"/>
      <c r="GXD19" s="13"/>
      <c r="GXE19" s="13"/>
      <c r="GXF19" s="13"/>
      <c r="GXG19" s="13"/>
      <c r="GXH19" s="13"/>
      <c r="GXI19" s="13"/>
      <c r="GXJ19" s="13"/>
      <c r="GXK19" s="13"/>
      <c r="GXL19" s="13"/>
      <c r="GXM19" s="13"/>
      <c r="GXN19" s="13"/>
      <c r="GXO19" s="13"/>
      <c r="GXP19" s="13"/>
      <c r="GXQ19" s="13"/>
      <c r="GXR19" s="13"/>
      <c r="GXS19" s="13"/>
      <c r="GXT19" s="13"/>
      <c r="GXU19" s="13"/>
      <c r="GXV19" s="13"/>
      <c r="GXW19" s="13"/>
      <c r="GXX19" s="13"/>
      <c r="GXY19" s="13"/>
      <c r="GXZ19" s="13"/>
      <c r="GYA19" s="13"/>
      <c r="GYB19" s="13"/>
      <c r="GYC19" s="13"/>
      <c r="GYD19" s="13"/>
      <c r="GYE19" s="13"/>
      <c r="GYF19" s="13"/>
      <c r="GYG19" s="13"/>
      <c r="GYH19" s="13"/>
      <c r="GYI19" s="13"/>
      <c r="GYJ19" s="13"/>
      <c r="GYK19" s="13"/>
      <c r="GYL19" s="13"/>
      <c r="GYM19" s="13"/>
      <c r="GYN19" s="13"/>
      <c r="GYO19" s="13"/>
      <c r="GYP19" s="13"/>
      <c r="GYQ19" s="13"/>
      <c r="GYR19" s="13"/>
      <c r="GYS19" s="13"/>
      <c r="GYT19" s="13"/>
      <c r="GYU19" s="13"/>
      <c r="GYV19" s="13"/>
      <c r="GYW19" s="13"/>
      <c r="GYX19" s="13"/>
      <c r="GYY19" s="13"/>
      <c r="GYZ19" s="13"/>
      <c r="GZA19" s="13"/>
      <c r="GZB19" s="13"/>
      <c r="GZC19" s="13"/>
      <c r="GZD19" s="13"/>
      <c r="GZE19" s="13"/>
      <c r="GZF19" s="13"/>
      <c r="GZG19" s="13"/>
      <c r="GZH19" s="13"/>
      <c r="GZI19" s="13"/>
      <c r="GZJ19" s="13"/>
      <c r="GZK19" s="13"/>
      <c r="GZL19" s="13"/>
      <c r="GZM19" s="13"/>
      <c r="GZN19" s="13"/>
      <c r="GZO19" s="13"/>
      <c r="GZP19" s="13"/>
      <c r="GZQ19" s="13"/>
      <c r="GZR19" s="13"/>
      <c r="GZS19" s="13"/>
      <c r="GZT19" s="13"/>
      <c r="GZU19" s="13"/>
      <c r="GZV19" s="13"/>
      <c r="GZW19" s="13"/>
      <c r="GZX19" s="13"/>
      <c r="GZY19" s="13"/>
      <c r="GZZ19" s="13"/>
      <c r="HAA19" s="13"/>
      <c r="HAB19" s="13"/>
      <c r="HAC19" s="13"/>
      <c r="HAD19" s="13"/>
      <c r="HAE19" s="13"/>
      <c r="HAF19" s="13"/>
      <c r="HAG19" s="13"/>
      <c r="HAH19" s="13"/>
      <c r="HAI19" s="13"/>
      <c r="HAJ19" s="13"/>
      <c r="HAK19" s="13"/>
      <c r="HAL19" s="13"/>
      <c r="HAM19" s="13"/>
      <c r="HAN19" s="13"/>
      <c r="HAO19" s="13"/>
      <c r="HAP19" s="13"/>
      <c r="HAQ19" s="13"/>
      <c r="HAR19" s="13"/>
      <c r="HAS19" s="13"/>
      <c r="HAT19" s="13"/>
      <c r="HAU19" s="13"/>
      <c r="HAV19" s="13"/>
      <c r="HAW19" s="13"/>
      <c r="HAX19" s="13"/>
      <c r="HAY19" s="13"/>
      <c r="HAZ19" s="13"/>
      <c r="HBA19" s="13"/>
      <c r="HBB19" s="13"/>
      <c r="HBC19" s="13"/>
      <c r="HBD19" s="13"/>
      <c r="HBE19" s="13"/>
      <c r="HBF19" s="13"/>
      <c r="HBG19" s="13"/>
      <c r="HBH19" s="13"/>
      <c r="HBI19" s="13"/>
      <c r="HBJ19" s="13"/>
      <c r="HBK19" s="13"/>
      <c r="HBL19" s="13"/>
      <c r="HBM19" s="13"/>
      <c r="HBN19" s="13"/>
      <c r="HBO19" s="13"/>
      <c r="HBP19" s="13"/>
      <c r="HBQ19" s="13"/>
      <c r="HBR19" s="13"/>
      <c r="HBS19" s="13"/>
      <c r="HBT19" s="13"/>
      <c r="HBU19" s="13"/>
      <c r="HBV19" s="13"/>
      <c r="HBW19" s="13"/>
      <c r="HBX19" s="13"/>
      <c r="HBY19" s="13"/>
      <c r="HBZ19" s="13"/>
      <c r="HCA19" s="13"/>
      <c r="HCB19" s="13"/>
      <c r="HCC19" s="13"/>
      <c r="HCD19" s="13"/>
      <c r="HCE19" s="13"/>
      <c r="HCF19" s="13"/>
      <c r="HCG19" s="13"/>
      <c r="HCH19" s="13"/>
      <c r="HCI19" s="13"/>
      <c r="HCJ19" s="13"/>
      <c r="HCK19" s="13"/>
      <c r="HCL19" s="13"/>
      <c r="HCM19" s="13"/>
      <c r="HCN19" s="13"/>
      <c r="HCO19" s="13"/>
      <c r="HCP19" s="13"/>
      <c r="HCQ19" s="13"/>
      <c r="HCR19" s="13"/>
      <c r="HCS19" s="13"/>
      <c r="HCT19" s="13"/>
      <c r="HCU19" s="13"/>
      <c r="HCV19" s="13"/>
      <c r="HCW19" s="13"/>
      <c r="HCX19" s="13"/>
      <c r="HCY19" s="13"/>
      <c r="HCZ19" s="13"/>
      <c r="HDA19" s="13"/>
      <c r="HDB19" s="13"/>
      <c r="HDC19" s="13"/>
      <c r="HDD19" s="13"/>
      <c r="HDE19" s="13"/>
      <c r="HDF19" s="13"/>
      <c r="HDG19" s="13"/>
      <c r="HDH19" s="13"/>
      <c r="HDI19" s="13"/>
      <c r="HDJ19" s="13"/>
      <c r="HDK19" s="13"/>
      <c r="HDL19" s="13"/>
      <c r="HDM19" s="13"/>
      <c r="HDN19" s="13"/>
      <c r="HDO19" s="13"/>
      <c r="HDP19" s="13"/>
      <c r="HDQ19" s="13"/>
      <c r="HDR19" s="13"/>
      <c r="HDS19" s="13"/>
      <c r="HDT19" s="13"/>
      <c r="HDU19" s="13"/>
      <c r="HDV19" s="13"/>
      <c r="HDW19" s="13"/>
      <c r="HDX19" s="13"/>
      <c r="HDY19" s="13"/>
      <c r="HDZ19" s="13"/>
      <c r="HEA19" s="13"/>
      <c r="HEB19" s="13"/>
      <c r="HEC19" s="13"/>
      <c r="HED19" s="13"/>
      <c r="HEE19" s="13"/>
      <c r="HEF19" s="13"/>
      <c r="HEG19" s="13"/>
      <c r="HEH19" s="13"/>
      <c r="HEI19" s="13"/>
      <c r="HEJ19" s="13"/>
      <c r="HEK19" s="13"/>
      <c r="HEL19" s="13"/>
      <c r="HEM19" s="13"/>
      <c r="HEN19" s="13"/>
      <c r="HEO19" s="13"/>
      <c r="HEP19" s="13"/>
      <c r="HEQ19" s="13"/>
      <c r="HER19" s="13"/>
      <c r="HES19" s="13"/>
      <c r="HET19" s="13"/>
      <c r="HEU19" s="13"/>
      <c r="HEV19" s="13"/>
      <c r="HEW19" s="13"/>
      <c r="HEX19" s="13"/>
      <c r="HEY19" s="13"/>
      <c r="HEZ19" s="13"/>
      <c r="HFA19" s="13"/>
      <c r="HFB19" s="13"/>
      <c r="HFC19" s="13"/>
      <c r="HFD19" s="13"/>
      <c r="HFE19" s="13"/>
      <c r="HFF19" s="13"/>
      <c r="HFG19" s="13"/>
      <c r="HFH19" s="13"/>
      <c r="HFI19" s="13"/>
      <c r="HFJ19" s="13"/>
      <c r="HFK19" s="13"/>
      <c r="HFL19" s="13"/>
      <c r="HFM19" s="13"/>
      <c r="HFN19" s="13"/>
      <c r="HFO19" s="13"/>
      <c r="HFP19" s="13"/>
      <c r="HFQ19" s="13"/>
      <c r="HFR19" s="13"/>
      <c r="HFS19" s="13"/>
      <c r="HFT19" s="13"/>
      <c r="HFU19" s="13"/>
      <c r="HFV19" s="13"/>
      <c r="HFW19" s="13"/>
      <c r="HFX19" s="13"/>
      <c r="HFY19" s="13"/>
      <c r="HFZ19" s="13"/>
      <c r="HGA19" s="13"/>
      <c r="HGB19" s="13"/>
      <c r="HGC19" s="13"/>
      <c r="HGD19" s="13"/>
      <c r="HGE19" s="13"/>
      <c r="HGF19" s="13"/>
      <c r="HGG19" s="13"/>
      <c r="HGH19" s="13"/>
      <c r="HGI19" s="13"/>
      <c r="HGJ19" s="13"/>
      <c r="HGK19" s="13"/>
      <c r="HGL19" s="13"/>
      <c r="HGM19" s="13"/>
      <c r="HGN19" s="13"/>
      <c r="HGO19" s="13"/>
      <c r="HGP19" s="13"/>
      <c r="HGQ19" s="13"/>
      <c r="HGR19" s="13"/>
      <c r="HGS19" s="13"/>
      <c r="HGT19" s="13"/>
      <c r="HGU19" s="13"/>
      <c r="HGV19" s="13"/>
      <c r="HGW19" s="13"/>
      <c r="HGX19" s="13"/>
      <c r="HGY19" s="13"/>
      <c r="HGZ19" s="13"/>
      <c r="HHA19" s="13"/>
      <c r="HHB19" s="13"/>
      <c r="HHC19" s="13"/>
      <c r="HHD19" s="13"/>
      <c r="HHE19" s="13"/>
      <c r="HHF19" s="13"/>
      <c r="HHG19" s="13"/>
      <c r="HHH19" s="13"/>
      <c r="HHI19" s="13"/>
      <c r="HHJ19" s="13"/>
      <c r="HHK19" s="13"/>
      <c r="HHL19" s="13"/>
      <c r="HHM19" s="13"/>
      <c r="HHN19" s="13"/>
      <c r="HHO19" s="13"/>
      <c r="HHP19" s="13"/>
      <c r="HHQ19" s="13"/>
      <c r="HHR19" s="13"/>
      <c r="HHS19" s="13"/>
      <c r="HHT19" s="13"/>
      <c r="HHU19" s="13"/>
      <c r="HHV19" s="13"/>
      <c r="HHW19" s="13"/>
      <c r="HHX19" s="13"/>
      <c r="HHY19" s="13"/>
      <c r="HHZ19" s="13"/>
      <c r="HIA19" s="13"/>
      <c r="HIB19" s="13"/>
      <c r="HIC19" s="13"/>
      <c r="HID19" s="13"/>
      <c r="HIE19" s="13"/>
      <c r="HIF19" s="13"/>
      <c r="HIG19" s="13"/>
      <c r="HIH19" s="13"/>
      <c r="HII19" s="13"/>
      <c r="HIJ19" s="13"/>
      <c r="HIK19" s="13"/>
      <c r="HIL19" s="13"/>
      <c r="HIM19" s="13"/>
      <c r="HIN19" s="13"/>
      <c r="HIO19" s="13"/>
      <c r="HIP19" s="13"/>
      <c r="HIQ19" s="13"/>
      <c r="HIR19" s="13"/>
      <c r="HIS19" s="13"/>
      <c r="HIT19" s="13"/>
      <c r="HIU19" s="13"/>
      <c r="HIV19" s="13"/>
      <c r="HIW19" s="13"/>
      <c r="HIX19" s="13"/>
      <c r="HIY19" s="13"/>
      <c r="HIZ19" s="13"/>
      <c r="HJA19" s="13"/>
      <c r="HJB19" s="13"/>
      <c r="HJC19" s="13"/>
      <c r="HJD19" s="13"/>
      <c r="HJE19" s="13"/>
      <c r="HJF19" s="13"/>
      <c r="HJG19" s="13"/>
      <c r="HJH19" s="13"/>
      <c r="HJI19" s="13"/>
      <c r="HJJ19" s="13"/>
      <c r="HJK19" s="13"/>
      <c r="HJL19" s="13"/>
      <c r="HJM19" s="13"/>
      <c r="HJN19" s="13"/>
      <c r="HJO19" s="13"/>
      <c r="HJP19" s="13"/>
      <c r="HJQ19" s="13"/>
      <c r="HJR19" s="13"/>
      <c r="HJS19" s="13"/>
      <c r="HJT19" s="13"/>
      <c r="HJU19" s="13"/>
      <c r="HJV19" s="13"/>
      <c r="HJW19" s="13"/>
      <c r="HJX19" s="13"/>
      <c r="HJY19" s="13"/>
      <c r="HJZ19" s="13"/>
      <c r="HKA19" s="13"/>
      <c r="HKB19" s="13"/>
      <c r="HKC19" s="13"/>
      <c r="HKD19" s="13"/>
      <c r="HKE19" s="13"/>
      <c r="HKF19" s="13"/>
      <c r="HKG19" s="13"/>
      <c r="HKH19" s="13"/>
      <c r="HKI19" s="13"/>
      <c r="HKJ19" s="13"/>
      <c r="HKK19" s="13"/>
      <c r="HKL19" s="13"/>
      <c r="HKM19" s="13"/>
      <c r="HKN19" s="13"/>
      <c r="HKO19" s="13"/>
      <c r="HKP19" s="13"/>
      <c r="HKQ19" s="13"/>
      <c r="HKR19" s="13"/>
      <c r="HKS19" s="13"/>
      <c r="HKT19" s="13"/>
      <c r="HKU19" s="13"/>
      <c r="HKV19" s="13"/>
      <c r="HKW19" s="13"/>
      <c r="HKX19" s="13"/>
      <c r="HKY19" s="13"/>
      <c r="HKZ19" s="13"/>
      <c r="HLA19" s="13"/>
      <c r="HLB19" s="13"/>
      <c r="HLC19" s="13"/>
      <c r="HLD19" s="13"/>
      <c r="HLE19" s="13"/>
      <c r="HLF19" s="13"/>
      <c r="HLG19" s="13"/>
      <c r="HLH19" s="13"/>
      <c r="HLI19" s="13"/>
      <c r="HLJ19" s="13"/>
      <c r="HLK19" s="13"/>
      <c r="HLL19" s="13"/>
      <c r="HLM19" s="13"/>
      <c r="HLN19" s="13"/>
      <c r="HLO19" s="13"/>
      <c r="HLP19" s="13"/>
      <c r="HLQ19" s="13"/>
      <c r="HLR19" s="13"/>
      <c r="HLS19" s="13"/>
      <c r="HLT19" s="13"/>
      <c r="HLU19" s="13"/>
      <c r="HLV19" s="13"/>
      <c r="HLW19" s="13"/>
      <c r="HLX19" s="13"/>
      <c r="HLY19" s="13"/>
      <c r="HLZ19" s="13"/>
      <c r="HMA19" s="13"/>
      <c r="HMB19" s="13"/>
      <c r="HMC19" s="13"/>
      <c r="HMD19" s="13"/>
      <c r="HME19" s="13"/>
      <c r="HMF19" s="13"/>
      <c r="HMG19" s="13"/>
      <c r="HMH19" s="13"/>
      <c r="HMI19" s="13"/>
      <c r="HMJ19" s="13"/>
      <c r="HMK19" s="13"/>
      <c r="HML19" s="13"/>
      <c r="HMM19" s="13"/>
      <c r="HMN19" s="13"/>
      <c r="HMO19" s="13"/>
      <c r="HMP19" s="13"/>
      <c r="HMQ19" s="13"/>
      <c r="HMR19" s="13"/>
      <c r="HMS19" s="13"/>
      <c r="HMT19" s="13"/>
      <c r="HMU19" s="13"/>
      <c r="HMV19" s="13"/>
      <c r="HMW19" s="13"/>
      <c r="HMX19" s="13"/>
      <c r="HMY19" s="13"/>
      <c r="HMZ19" s="13"/>
      <c r="HNA19" s="13"/>
      <c r="HNB19" s="13"/>
      <c r="HNC19" s="13"/>
      <c r="HND19" s="13"/>
      <c r="HNE19" s="13"/>
      <c r="HNF19" s="13"/>
      <c r="HNG19" s="13"/>
      <c r="HNH19" s="13"/>
      <c r="HNI19" s="13"/>
      <c r="HNJ19" s="13"/>
      <c r="HNK19" s="13"/>
      <c r="HNL19" s="13"/>
      <c r="HNM19" s="13"/>
      <c r="HNN19" s="13"/>
      <c r="HNO19" s="13"/>
      <c r="HNP19" s="13"/>
      <c r="HNQ19" s="13"/>
      <c r="HNR19" s="13"/>
      <c r="HNS19" s="13"/>
      <c r="HNT19" s="13"/>
      <c r="HNU19" s="13"/>
      <c r="HNV19" s="13"/>
      <c r="HNW19" s="13"/>
      <c r="HNX19" s="13"/>
      <c r="HNY19" s="13"/>
      <c r="HNZ19" s="13"/>
      <c r="HOA19" s="13"/>
      <c r="HOB19" s="13"/>
      <c r="HOC19" s="13"/>
      <c r="HOD19" s="13"/>
      <c r="HOE19" s="13"/>
      <c r="HOF19" s="13"/>
      <c r="HOG19" s="13"/>
      <c r="HOH19" s="13"/>
      <c r="HOI19" s="13"/>
      <c r="HOJ19" s="13"/>
      <c r="HOK19" s="13"/>
      <c r="HOL19" s="13"/>
      <c r="HOM19" s="13"/>
      <c r="HON19" s="13"/>
      <c r="HOO19" s="13"/>
      <c r="HOP19" s="13"/>
      <c r="HOQ19" s="13"/>
      <c r="HOR19" s="13"/>
      <c r="HOS19" s="13"/>
      <c r="HOT19" s="13"/>
      <c r="HOU19" s="13"/>
      <c r="HOV19" s="13"/>
      <c r="HOW19" s="13"/>
      <c r="HOX19" s="13"/>
      <c r="HOY19" s="13"/>
      <c r="HOZ19" s="13"/>
      <c r="HPA19" s="13"/>
      <c r="HPB19" s="13"/>
      <c r="HPC19" s="13"/>
      <c r="HPD19" s="13"/>
      <c r="HPE19" s="13"/>
      <c r="HPF19" s="13"/>
      <c r="HPG19" s="13"/>
      <c r="HPH19" s="13"/>
      <c r="HPI19" s="13"/>
      <c r="HPJ19" s="13"/>
      <c r="HPK19" s="13"/>
      <c r="HPL19" s="13"/>
      <c r="HPM19" s="13"/>
      <c r="HPN19" s="13"/>
      <c r="HPO19" s="13"/>
      <c r="HPP19" s="13"/>
      <c r="HPQ19" s="13"/>
      <c r="HPR19" s="13"/>
      <c r="HPS19" s="13"/>
      <c r="HPT19" s="13"/>
      <c r="HPU19" s="13"/>
      <c r="HPV19" s="13"/>
      <c r="HPW19" s="13"/>
      <c r="HPX19" s="13"/>
      <c r="HPY19" s="13"/>
      <c r="HPZ19" s="13"/>
      <c r="HQA19" s="13"/>
      <c r="HQB19" s="13"/>
      <c r="HQC19" s="13"/>
      <c r="HQD19" s="13"/>
      <c r="HQE19" s="13"/>
      <c r="HQF19" s="13"/>
      <c r="HQG19" s="13"/>
      <c r="HQH19" s="13"/>
      <c r="HQI19" s="13"/>
      <c r="HQJ19" s="13"/>
      <c r="HQK19" s="13"/>
      <c r="HQL19" s="13"/>
      <c r="HQM19" s="13"/>
      <c r="HQN19" s="13"/>
      <c r="HQO19" s="13"/>
      <c r="HQP19" s="13"/>
      <c r="HQQ19" s="13"/>
      <c r="HQR19" s="13"/>
      <c r="HQS19" s="13"/>
      <c r="HQT19" s="13"/>
      <c r="HQU19" s="13"/>
      <c r="HQV19" s="13"/>
      <c r="HQW19" s="13"/>
      <c r="HQX19" s="13"/>
      <c r="HQY19" s="13"/>
      <c r="HQZ19" s="13"/>
      <c r="HRA19" s="13"/>
      <c r="HRB19" s="13"/>
      <c r="HRC19" s="13"/>
      <c r="HRD19" s="13"/>
      <c r="HRE19" s="13"/>
      <c r="HRF19" s="13"/>
      <c r="HRG19" s="13"/>
      <c r="HRH19" s="13"/>
      <c r="HRI19" s="13"/>
      <c r="HRJ19" s="13"/>
      <c r="HRK19" s="13"/>
      <c r="HRL19" s="13"/>
      <c r="HRM19" s="13"/>
      <c r="HRN19" s="13"/>
      <c r="HRO19" s="13"/>
      <c r="HRP19" s="13"/>
      <c r="HRQ19" s="13"/>
      <c r="HRR19" s="13"/>
      <c r="HRS19" s="13"/>
      <c r="HRT19" s="13"/>
      <c r="HRU19" s="13"/>
      <c r="HRV19" s="13"/>
      <c r="HRW19" s="13"/>
      <c r="HRX19" s="13"/>
      <c r="HRY19" s="13"/>
      <c r="HRZ19" s="13"/>
      <c r="HSA19" s="13"/>
      <c r="HSB19" s="13"/>
      <c r="HSC19" s="13"/>
      <c r="HSD19" s="13"/>
      <c r="HSE19" s="13"/>
      <c r="HSF19" s="13"/>
      <c r="HSG19" s="13"/>
      <c r="HSH19" s="13"/>
      <c r="HSI19" s="13"/>
      <c r="HSJ19" s="13"/>
      <c r="HSK19" s="13"/>
      <c r="HSL19" s="13"/>
      <c r="HSM19" s="13"/>
      <c r="HSN19" s="13"/>
      <c r="HSO19" s="13"/>
      <c r="HSP19" s="13"/>
      <c r="HSQ19" s="13"/>
      <c r="HSR19" s="13"/>
      <c r="HSS19" s="13"/>
      <c r="HST19" s="13"/>
      <c r="HSU19" s="13"/>
      <c r="HSV19" s="13"/>
      <c r="HSW19" s="13"/>
      <c r="HSX19" s="13"/>
      <c r="HSY19" s="13"/>
      <c r="HSZ19" s="13"/>
      <c r="HTA19" s="13"/>
      <c r="HTB19" s="13"/>
      <c r="HTC19" s="13"/>
      <c r="HTD19" s="13"/>
      <c r="HTE19" s="13"/>
      <c r="HTF19" s="13"/>
      <c r="HTG19" s="13"/>
      <c r="HTH19" s="13"/>
      <c r="HTI19" s="13"/>
      <c r="HTJ19" s="13"/>
      <c r="HTK19" s="13"/>
      <c r="HTL19" s="13"/>
      <c r="HTM19" s="13"/>
      <c r="HTN19" s="13"/>
      <c r="HTO19" s="13"/>
      <c r="HTP19" s="13"/>
      <c r="HTQ19" s="13"/>
      <c r="HTR19" s="13"/>
      <c r="HTS19" s="13"/>
      <c r="HTT19" s="13"/>
      <c r="HTU19" s="13"/>
      <c r="HTV19" s="13"/>
      <c r="HTW19" s="13"/>
      <c r="HTX19" s="13"/>
      <c r="HTY19" s="13"/>
      <c r="HTZ19" s="13"/>
      <c r="HUA19" s="13"/>
      <c r="HUB19" s="13"/>
      <c r="HUC19" s="13"/>
      <c r="HUD19" s="13"/>
      <c r="HUE19" s="13"/>
      <c r="HUF19" s="13"/>
      <c r="HUG19" s="13"/>
      <c r="HUH19" s="13"/>
      <c r="HUI19" s="13"/>
      <c r="HUJ19" s="13"/>
      <c r="HUK19" s="13"/>
      <c r="HUL19" s="13"/>
      <c r="HUM19" s="13"/>
      <c r="HUN19" s="13"/>
      <c r="HUO19" s="13"/>
      <c r="HUP19" s="13"/>
      <c r="HUQ19" s="13"/>
      <c r="HUR19" s="13"/>
      <c r="HUS19" s="13"/>
      <c r="HUT19" s="13"/>
      <c r="HUU19" s="13"/>
      <c r="HUV19" s="13"/>
      <c r="HUW19" s="13"/>
      <c r="HUX19" s="13"/>
      <c r="HUY19" s="13"/>
      <c r="HUZ19" s="13"/>
      <c r="HVA19" s="13"/>
      <c r="HVB19" s="13"/>
      <c r="HVC19" s="13"/>
      <c r="HVD19" s="13"/>
      <c r="HVE19" s="13"/>
      <c r="HVF19" s="13"/>
      <c r="HVG19" s="13"/>
      <c r="HVH19" s="13"/>
      <c r="HVI19" s="13"/>
      <c r="HVJ19" s="13"/>
      <c r="HVK19" s="13"/>
      <c r="HVL19" s="13"/>
      <c r="HVM19" s="13"/>
      <c r="HVN19" s="13"/>
      <c r="HVO19" s="13"/>
      <c r="HVP19" s="13"/>
      <c r="HVQ19" s="13"/>
      <c r="HVR19" s="13"/>
      <c r="HVS19" s="13"/>
      <c r="HVT19" s="13"/>
      <c r="HVU19" s="13"/>
      <c r="HVV19" s="13"/>
      <c r="HVW19" s="13"/>
      <c r="HVX19" s="13"/>
      <c r="HVY19" s="13"/>
      <c r="HVZ19" s="13"/>
      <c r="HWA19" s="13"/>
      <c r="HWB19" s="13"/>
      <c r="HWC19" s="13"/>
      <c r="HWD19" s="13"/>
      <c r="HWE19" s="13"/>
      <c r="HWF19" s="13"/>
      <c r="HWG19" s="13"/>
      <c r="HWH19" s="13"/>
      <c r="HWI19" s="13"/>
      <c r="HWJ19" s="13"/>
      <c r="HWK19" s="13"/>
      <c r="HWL19" s="13"/>
      <c r="HWM19" s="13"/>
      <c r="HWN19" s="13"/>
      <c r="HWO19" s="13"/>
      <c r="HWP19" s="13"/>
      <c r="HWQ19" s="13"/>
      <c r="HWR19" s="13"/>
      <c r="HWS19" s="13"/>
      <c r="HWT19" s="13"/>
      <c r="HWU19" s="13"/>
      <c r="HWV19" s="13"/>
      <c r="HWW19" s="13"/>
      <c r="HWX19" s="13"/>
      <c r="HWY19" s="13"/>
      <c r="HWZ19" s="13"/>
      <c r="HXA19" s="13"/>
      <c r="HXB19" s="13"/>
      <c r="HXC19" s="13"/>
      <c r="HXD19" s="13"/>
      <c r="HXE19" s="13"/>
      <c r="HXF19" s="13"/>
      <c r="HXG19" s="13"/>
      <c r="HXH19" s="13"/>
      <c r="HXI19" s="13"/>
      <c r="HXJ19" s="13"/>
      <c r="HXK19" s="13"/>
      <c r="HXL19" s="13"/>
      <c r="HXM19" s="13"/>
      <c r="HXN19" s="13"/>
      <c r="HXO19" s="13"/>
      <c r="HXP19" s="13"/>
      <c r="HXQ19" s="13"/>
      <c r="HXR19" s="13"/>
      <c r="HXS19" s="13"/>
      <c r="HXT19" s="13"/>
      <c r="HXU19" s="13"/>
      <c r="HXV19" s="13"/>
      <c r="HXW19" s="13"/>
      <c r="HXX19" s="13"/>
      <c r="HXY19" s="13"/>
      <c r="HXZ19" s="13"/>
      <c r="HYA19" s="13"/>
      <c r="HYB19" s="13"/>
      <c r="HYC19" s="13"/>
      <c r="HYD19" s="13"/>
      <c r="HYE19" s="13"/>
      <c r="HYF19" s="13"/>
      <c r="HYG19" s="13"/>
      <c r="HYH19" s="13"/>
      <c r="HYI19" s="13"/>
      <c r="HYJ19" s="13"/>
      <c r="HYK19" s="13"/>
      <c r="HYL19" s="13"/>
      <c r="HYM19" s="13"/>
      <c r="HYN19" s="13"/>
      <c r="HYO19" s="13"/>
      <c r="HYP19" s="13"/>
      <c r="HYQ19" s="13"/>
      <c r="HYR19" s="13"/>
      <c r="HYS19" s="13"/>
      <c r="HYT19" s="13"/>
      <c r="HYU19" s="13"/>
      <c r="HYV19" s="13"/>
      <c r="HYW19" s="13"/>
      <c r="HYX19" s="13"/>
      <c r="HYY19" s="13"/>
      <c r="HYZ19" s="13"/>
      <c r="HZA19" s="13"/>
      <c r="HZB19" s="13"/>
      <c r="HZC19" s="13"/>
      <c r="HZD19" s="13"/>
      <c r="HZE19" s="13"/>
      <c r="HZF19" s="13"/>
      <c r="HZG19" s="13"/>
      <c r="HZH19" s="13"/>
      <c r="HZI19" s="13"/>
      <c r="HZJ19" s="13"/>
      <c r="HZK19" s="13"/>
      <c r="HZL19" s="13"/>
      <c r="HZM19" s="13"/>
      <c r="HZN19" s="13"/>
      <c r="HZO19" s="13"/>
      <c r="HZP19" s="13"/>
      <c r="HZQ19" s="13"/>
      <c r="HZR19" s="13"/>
      <c r="HZS19" s="13"/>
      <c r="HZT19" s="13"/>
      <c r="HZU19" s="13"/>
      <c r="HZV19" s="13"/>
      <c r="HZW19" s="13"/>
      <c r="HZX19" s="13"/>
      <c r="HZY19" s="13"/>
      <c r="HZZ19" s="13"/>
      <c r="IAA19" s="13"/>
      <c r="IAB19" s="13"/>
      <c r="IAC19" s="13"/>
      <c r="IAD19" s="13"/>
      <c r="IAE19" s="13"/>
      <c r="IAF19" s="13"/>
      <c r="IAG19" s="13"/>
      <c r="IAH19" s="13"/>
      <c r="IAI19" s="13"/>
      <c r="IAJ19" s="13"/>
      <c r="IAK19" s="13"/>
      <c r="IAL19" s="13"/>
      <c r="IAM19" s="13"/>
      <c r="IAN19" s="13"/>
      <c r="IAO19" s="13"/>
      <c r="IAP19" s="13"/>
      <c r="IAQ19" s="13"/>
      <c r="IAR19" s="13"/>
      <c r="IAS19" s="13"/>
      <c r="IAT19" s="13"/>
      <c r="IAU19" s="13"/>
      <c r="IAV19" s="13"/>
      <c r="IAW19" s="13"/>
      <c r="IAX19" s="13"/>
      <c r="IAY19" s="13"/>
      <c r="IAZ19" s="13"/>
      <c r="IBA19" s="13"/>
      <c r="IBB19" s="13"/>
      <c r="IBC19" s="13"/>
      <c r="IBD19" s="13"/>
      <c r="IBE19" s="13"/>
      <c r="IBF19" s="13"/>
      <c r="IBG19" s="13"/>
      <c r="IBH19" s="13"/>
      <c r="IBI19" s="13"/>
      <c r="IBJ19" s="13"/>
      <c r="IBK19" s="13"/>
      <c r="IBL19" s="13"/>
      <c r="IBM19" s="13"/>
      <c r="IBN19" s="13"/>
      <c r="IBO19" s="13"/>
      <c r="IBP19" s="13"/>
      <c r="IBQ19" s="13"/>
      <c r="IBR19" s="13"/>
      <c r="IBS19" s="13"/>
      <c r="IBT19" s="13"/>
      <c r="IBU19" s="13"/>
      <c r="IBV19" s="13"/>
      <c r="IBW19" s="13"/>
      <c r="IBX19" s="13"/>
      <c r="IBY19" s="13"/>
      <c r="IBZ19" s="13"/>
      <c r="ICA19" s="13"/>
      <c r="ICB19" s="13"/>
      <c r="ICC19" s="13"/>
      <c r="ICD19" s="13"/>
      <c r="ICE19" s="13"/>
      <c r="ICF19" s="13"/>
      <c r="ICG19" s="13"/>
      <c r="ICH19" s="13"/>
      <c r="ICI19" s="13"/>
      <c r="ICJ19" s="13"/>
      <c r="ICK19" s="13"/>
      <c r="ICL19" s="13"/>
      <c r="ICM19" s="13"/>
      <c r="ICN19" s="13"/>
      <c r="ICO19" s="13"/>
      <c r="ICP19" s="13"/>
      <c r="ICQ19" s="13"/>
      <c r="ICR19" s="13"/>
      <c r="ICS19" s="13"/>
      <c r="ICT19" s="13"/>
      <c r="ICU19" s="13"/>
      <c r="ICV19" s="13"/>
      <c r="ICW19" s="13"/>
      <c r="ICX19" s="13"/>
      <c r="ICY19" s="13"/>
      <c r="ICZ19" s="13"/>
      <c r="IDA19" s="13"/>
      <c r="IDB19" s="13"/>
      <c r="IDC19" s="13"/>
      <c r="IDD19" s="13"/>
      <c r="IDE19" s="13"/>
      <c r="IDF19" s="13"/>
      <c r="IDG19" s="13"/>
      <c r="IDH19" s="13"/>
      <c r="IDI19" s="13"/>
      <c r="IDJ19" s="13"/>
      <c r="IDK19" s="13"/>
      <c r="IDL19" s="13"/>
      <c r="IDM19" s="13"/>
      <c r="IDN19" s="13"/>
      <c r="IDO19" s="13"/>
      <c r="IDP19" s="13"/>
      <c r="IDQ19" s="13"/>
      <c r="IDR19" s="13"/>
      <c r="IDS19" s="13"/>
      <c r="IDT19" s="13"/>
      <c r="IDU19" s="13"/>
      <c r="IDV19" s="13"/>
      <c r="IDW19" s="13"/>
      <c r="IDX19" s="13"/>
      <c r="IDY19" s="13"/>
      <c r="IDZ19" s="13"/>
      <c r="IEA19" s="13"/>
      <c r="IEB19" s="13"/>
      <c r="IEC19" s="13"/>
      <c r="IED19" s="13"/>
      <c r="IEE19" s="13"/>
      <c r="IEF19" s="13"/>
      <c r="IEG19" s="13"/>
      <c r="IEH19" s="13"/>
      <c r="IEI19" s="13"/>
      <c r="IEJ19" s="13"/>
      <c r="IEK19" s="13"/>
      <c r="IEL19" s="13"/>
      <c r="IEM19" s="13"/>
      <c r="IEN19" s="13"/>
      <c r="IEO19" s="13"/>
      <c r="IEP19" s="13"/>
      <c r="IEQ19" s="13"/>
      <c r="IER19" s="13"/>
      <c r="IES19" s="13"/>
      <c r="IET19" s="13"/>
      <c r="IEU19" s="13"/>
      <c r="IEV19" s="13"/>
      <c r="IEW19" s="13"/>
      <c r="IEX19" s="13"/>
      <c r="IEY19" s="13"/>
      <c r="IEZ19" s="13"/>
      <c r="IFA19" s="13"/>
      <c r="IFB19" s="13"/>
      <c r="IFC19" s="13"/>
      <c r="IFD19" s="13"/>
      <c r="IFE19" s="13"/>
      <c r="IFF19" s="13"/>
      <c r="IFG19" s="13"/>
      <c r="IFH19" s="13"/>
      <c r="IFI19" s="13"/>
      <c r="IFJ19" s="13"/>
      <c r="IFK19" s="13"/>
      <c r="IFL19" s="13"/>
      <c r="IFM19" s="13"/>
      <c r="IFN19" s="13"/>
      <c r="IFO19" s="13"/>
      <c r="IFP19" s="13"/>
      <c r="IFQ19" s="13"/>
      <c r="IFR19" s="13"/>
      <c r="IFS19" s="13"/>
      <c r="IFT19" s="13"/>
      <c r="IFU19" s="13"/>
      <c r="IFV19" s="13"/>
      <c r="IFW19" s="13"/>
      <c r="IFX19" s="13"/>
      <c r="IFY19" s="13"/>
      <c r="IFZ19" s="13"/>
      <c r="IGA19" s="13"/>
      <c r="IGB19" s="13"/>
      <c r="IGC19" s="13"/>
      <c r="IGD19" s="13"/>
      <c r="IGE19" s="13"/>
      <c r="IGF19" s="13"/>
      <c r="IGG19" s="13"/>
      <c r="IGH19" s="13"/>
      <c r="IGI19" s="13"/>
      <c r="IGJ19" s="13"/>
      <c r="IGK19" s="13"/>
      <c r="IGL19" s="13"/>
      <c r="IGM19" s="13"/>
      <c r="IGN19" s="13"/>
      <c r="IGO19" s="13"/>
      <c r="IGP19" s="13"/>
      <c r="IGQ19" s="13"/>
      <c r="IGR19" s="13"/>
      <c r="IGS19" s="13"/>
      <c r="IGT19" s="13"/>
      <c r="IGU19" s="13"/>
      <c r="IGV19" s="13"/>
      <c r="IGW19" s="13"/>
      <c r="IGX19" s="13"/>
      <c r="IGY19" s="13"/>
      <c r="IGZ19" s="13"/>
      <c r="IHA19" s="13"/>
      <c r="IHB19" s="13"/>
      <c r="IHC19" s="13"/>
      <c r="IHD19" s="13"/>
      <c r="IHE19" s="13"/>
      <c r="IHF19" s="13"/>
      <c r="IHG19" s="13"/>
      <c r="IHH19" s="13"/>
      <c r="IHI19" s="13"/>
      <c r="IHJ19" s="13"/>
      <c r="IHK19" s="13"/>
      <c r="IHL19" s="13"/>
      <c r="IHM19" s="13"/>
      <c r="IHN19" s="13"/>
      <c r="IHO19" s="13"/>
      <c r="IHP19" s="13"/>
      <c r="IHQ19" s="13"/>
      <c r="IHR19" s="13"/>
      <c r="IHS19" s="13"/>
      <c r="IHT19" s="13"/>
      <c r="IHU19" s="13"/>
      <c r="IHV19" s="13"/>
      <c r="IHW19" s="13"/>
      <c r="IHX19" s="13"/>
      <c r="IHY19" s="13"/>
      <c r="IHZ19" s="13"/>
      <c r="IIA19" s="13"/>
      <c r="IIB19" s="13"/>
      <c r="IIC19" s="13"/>
      <c r="IID19" s="13"/>
      <c r="IIE19" s="13"/>
      <c r="IIF19" s="13"/>
      <c r="IIG19" s="13"/>
      <c r="IIH19" s="13"/>
      <c r="III19" s="13"/>
      <c r="IIJ19" s="13"/>
      <c r="IIK19" s="13"/>
      <c r="IIL19" s="13"/>
      <c r="IIM19" s="13"/>
      <c r="IIN19" s="13"/>
      <c r="IIO19" s="13"/>
      <c r="IIP19" s="13"/>
      <c r="IIQ19" s="13"/>
      <c r="IIR19" s="13"/>
      <c r="IIS19" s="13"/>
      <c r="IIT19" s="13"/>
      <c r="IIU19" s="13"/>
      <c r="IIV19" s="13"/>
      <c r="IIW19" s="13"/>
      <c r="IIX19" s="13"/>
      <c r="IIY19" s="13"/>
      <c r="IIZ19" s="13"/>
      <c r="IJA19" s="13"/>
      <c r="IJB19" s="13"/>
      <c r="IJC19" s="13"/>
      <c r="IJD19" s="13"/>
      <c r="IJE19" s="13"/>
      <c r="IJF19" s="13"/>
      <c r="IJG19" s="13"/>
      <c r="IJH19" s="13"/>
      <c r="IJI19" s="13"/>
      <c r="IJJ19" s="13"/>
      <c r="IJK19" s="13"/>
      <c r="IJL19" s="13"/>
      <c r="IJM19" s="13"/>
      <c r="IJN19" s="13"/>
      <c r="IJO19" s="13"/>
      <c r="IJP19" s="13"/>
      <c r="IJQ19" s="13"/>
      <c r="IJR19" s="13"/>
      <c r="IJS19" s="13"/>
      <c r="IJT19" s="13"/>
      <c r="IJU19" s="13"/>
      <c r="IJV19" s="13"/>
      <c r="IJW19" s="13"/>
      <c r="IJX19" s="13"/>
      <c r="IJY19" s="13"/>
      <c r="IJZ19" s="13"/>
      <c r="IKA19" s="13"/>
      <c r="IKB19" s="13"/>
      <c r="IKC19" s="13"/>
      <c r="IKD19" s="13"/>
      <c r="IKE19" s="13"/>
      <c r="IKF19" s="13"/>
      <c r="IKG19" s="13"/>
      <c r="IKH19" s="13"/>
      <c r="IKI19" s="13"/>
      <c r="IKJ19" s="13"/>
      <c r="IKK19" s="13"/>
      <c r="IKL19" s="13"/>
      <c r="IKM19" s="13"/>
      <c r="IKN19" s="13"/>
      <c r="IKO19" s="13"/>
      <c r="IKP19" s="13"/>
      <c r="IKQ19" s="13"/>
      <c r="IKR19" s="13"/>
      <c r="IKS19" s="13"/>
      <c r="IKT19" s="13"/>
      <c r="IKU19" s="13"/>
      <c r="IKV19" s="13"/>
      <c r="IKW19" s="13"/>
      <c r="IKX19" s="13"/>
      <c r="IKY19" s="13"/>
      <c r="IKZ19" s="13"/>
      <c r="ILA19" s="13"/>
      <c r="ILB19" s="13"/>
      <c r="ILC19" s="13"/>
      <c r="ILD19" s="13"/>
      <c r="ILE19" s="13"/>
      <c r="ILF19" s="13"/>
      <c r="ILG19" s="13"/>
      <c r="ILH19" s="13"/>
      <c r="ILI19" s="13"/>
      <c r="ILJ19" s="13"/>
      <c r="ILK19" s="13"/>
      <c r="ILL19" s="13"/>
      <c r="ILM19" s="13"/>
      <c r="ILN19" s="13"/>
      <c r="ILO19" s="13"/>
      <c r="ILP19" s="13"/>
      <c r="ILQ19" s="13"/>
      <c r="ILR19" s="13"/>
      <c r="ILS19" s="13"/>
      <c r="ILT19" s="13"/>
      <c r="ILU19" s="13"/>
      <c r="ILV19" s="13"/>
      <c r="ILW19" s="13"/>
      <c r="ILX19" s="13"/>
      <c r="ILY19" s="13"/>
      <c r="ILZ19" s="13"/>
      <c r="IMA19" s="13"/>
      <c r="IMB19" s="13"/>
      <c r="IMC19" s="13"/>
      <c r="IMD19" s="13"/>
      <c r="IME19" s="13"/>
      <c r="IMF19" s="13"/>
      <c r="IMG19" s="13"/>
      <c r="IMH19" s="13"/>
      <c r="IMI19" s="13"/>
      <c r="IMJ19" s="13"/>
      <c r="IMK19" s="13"/>
      <c r="IML19" s="13"/>
      <c r="IMM19" s="13"/>
      <c r="IMN19" s="13"/>
      <c r="IMO19" s="13"/>
      <c r="IMP19" s="13"/>
      <c r="IMQ19" s="13"/>
      <c r="IMR19" s="13"/>
      <c r="IMS19" s="13"/>
      <c r="IMT19" s="13"/>
      <c r="IMU19" s="13"/>
      <c r="IMV19" s="13"/>
      <c r="IMW19" s="13"/>
      <c r="IMX19" s="13"/>
      <c r="IMY19" s="13"/>
      <c r="IMZ19" s="13"/>
      <c r="INA19" s="13"/>
      <c r="INB19" s="13"/>
      <c r="INC19" s="13"/>
      <c r="IND19" s="13"/>
      <c r="INE19" s="13"/>
      <c r="INF19" s="13"/>
      <c r="ING19" s="13"/>
      <c r="INH19" s="13"/>
      <c r="INI19" s="13"/>
      <c r="INJ19" s="13"/>
      <c r="INK19" s="13"/>
      <c r="INL19" s="13"/>
      <c r="INM19" s="13"/>
      <c r="INN19" s="13"/>
      <c r="INO19" s="13"/>
      <c r="INP19" s="13"/>
      <c r="INQ19" s="13"/>
      <c r="INR19" s="13"/>
      <c r="INS19" s="13"/>
      <c r="INT19" s="13"/>
      <c r="INU19" s="13"/>
      <c r="INV19" s="13"/>
      <c r="INW19" s="13"/>
      <c r="INX19" s="13"/>
      <c r="INY19" s="13"/>
      <c r="INZ19" s="13"/>
      <c r="IOA19" s="13"/>
      <c r="IOB19" s="13"/>
      <c r="IOC19" s="13"/>
      <c r="IOD19" s="13"/>
      <c r="IOE19" s="13"/>
      <c r="IOF19" s="13"/>
      <c r="IOG19" s="13"/>
      <c r="IOH19" s="13"/>
      <c r="IOI19" s="13"/>
      <c r="IOJ19" s="13"/>
      <c r="IOK19" s="13"/>
      <c r="IOL19" s="13"/>
      <c r="IOM19" s="13"/>
      <c r="ION19" s="13"/>
      <c r="IOO19" s="13"/>
      <c r="IOP19" s="13"/>
      <c r="IOQ19" s="13"/>
      <c r="IOR19" s="13"/>
      <c r="IOS19" s="13"/>
      <c r="IOT19" s="13"/>
      <c r="IOU19" s="13"/>
      <c r="IOV19" s="13"/>
      <c r="IOW19" s="13"/>
      <c r="IOX19" s="13"/>
      <c r="IOY19" s="13"/>
      <c r="IOZ19" s="13"/>
      <c r="IPA19" s="13"/>
      <c r="IPB19" s="13"/>
      <c r="IPC19" s="13"/>
      <c r="IPD19" s="13"/>
      <c r="IPE19" s="13"/>
      <c r="IPF19" s="13"/>
      <c r="IPG19" s="13"/>
      <c r="IPH19" s="13"/>
      <c r="IPI19" s="13"/>
      <c r="IPJ19" s="13"/>
      <c r="IPK19" s="13"/>
      <c r="IPL19" s="13"/>
      <c r="IPM19" s="13"/>
      <c r="IPN19" s="13"/>
      <c r="IPO19" s="13"/>
      <c r="IPP19" s="13"/>
      <c r="IPQ19" s="13"/>
      <c r="IPR19" s="13"/>
      <c r="IPS19" s="13"/>
      <c r="IPT19" s="13"/>
      <c r="IPU19" s="13"/>
      <c r="IPV19" s="13"/>
      <c r="IPW19" s="13"/>
      <c r="IPX19" s="13"/>
      <c r="IPY19" s="13"/>
      <c r="IPZ19" s="13"/>
      <c r="IQA19" s="13"/>
      <c r="IQB19" s="13"/>
      <c r="IQC19" s="13"/>
      <c r="IQD19" s="13"/>
      <c r="IQE19" s="13"/>
      <c r="IQF19" s="13"/>
      <c r="IQG19" s="13"/>
      <c r="IQH19" s="13"/>
      <c r="IQI19" s="13"/>
      <c r="IQJ19" s="13"/>
      <c r="IQK19" s="13"/>
      <c r="IQL19" s="13"/>
      <c r="IQM19" s="13"/>
      <c r="IQN19" s="13"/>
      <c r="IQO19" s="13"/>
      <c r="IQP19" s="13"/>
      <c r="IQQ19" s="13"/>
      <c r="IQR19" s="13"/>
      <c r="IQS19" s="13"/>
      <c r="IQT19" s="13"/>
      <c r="IQU19" s="13"/>
      <c r="IQV19" s="13"/>
      <c r="IQW19" s="13"/>
      <c r="IQX19" s="13"/>
      <c r="IQY19" s="13"/>
      <c r="IQZ19" s="13"/>
      <c r="IRA19" s="13"/>
      <c r="IRB19" s="13"/>
      <c r="IRC19" s="13"/>
      <c r="IRD19" s="13"/>
      <c r="IRE19" s="13"/>
      <c r="IRF19" s="13"/>
      <c r="IRG19" s="13"/>
      <c r="IRH19" s="13"/>
      <c r="IRI19" s="13"/>
      <c r="IRJ19" s="13"/>
      <c r="IRK19" s="13"/>
      <c r="IRL19" s="13"/>
      <c r="IRM19" s="13"/>
      <c r="IRN19" s="13"/>
      <c r="IRO19" s="13"/>
      <c r="IRP19" s="13"/>
      <c r="IRQ19" s="13"/>
      <c r="IRR19" s="13"/>
      <c r="IRS19" s="13"/>
      <c r="IRT19" s="13"/>
      <c r="IRU19" s="13"/>
      <c r="IRV19" s="13"/>
      <c r="IRW19" s="13"/>
      <c r="IRX19" s="13"/>
      <c r="IRY19" s="13"/>
      <c r="IRZ19" s="13"/>
      <c r="ISA19" s="13"/>
      <c r="ISB19" s="13"/>
      <c r="ISC19" s="13"/>
      <c r="ISD19" s="13"/>
      <c r="ISE19" s="13"/>
      <c r="ISF19" s="13"/>
      <c r="ISG19" s="13"/>
      <c r="ISH19" s="13"/>
      <c r="ISI19" s="13"/>
      <c r="ISJ19" s="13"/>
      <c r="ISK19" s="13"/>
      <c r="ISL19" s="13"/>
      <c r="ISM19" s="13"/>
      <c r="ISN19" s="13"/>
      <c r="ISO19" s="13"/>
      <c r="ISP19" s="13"/>
      <c r="ISQ19" s="13"/>
      <c r="ISR19" s="13"/>
      <c r="ISS19" s="13"/>
      <c r="IST19" s="13"/>
      <c r="ISU19" s="13"/>
      <c r="ISV19" s="13"/>
      <c r="ISW19" s="13"/>
      <c r="ISX19" s="13"/>
      <c r="ISY19" s="13"/>
      <c r="ISZ19" s="13"/>
      <c r="ITA19" s="13"/>
      <c r="ITB19" s="13"/>
      <c r="ITC19" s="13"/>
      <c r="ITD19" s="13"/>
      <c r="ITE19" s="13"/>
      <c r="ITF19" s="13"/>
      <c r="ITG19" s="13"/>
      <c r="ITH19" s="13"/>
      <c r="ITI19" s="13"/>
      <c r="ITJ19" s="13"/>
      <c r="ITK19" s="13"/>
      <c r="ITL19" s="13"/>
      <c r="ITM19" s="13"/>
      <c r="ITN19" s="13"/>
      <c r="ITO19" s="13"/>
      <c r="ITP19" s="13"/>
      <c r="ITQ19" s="13"/>
      <c r="ITR19" s="13"/>
      <c r="ITS19" s="13"/>
      <c r="ITT19" s="13"/>
      <c r="ITU19" s="13"/>
      <c r="ITV19" s="13"/>
      <c r="ITW19" s="13"/>
      <c r="ITX19" s="13"/>
      <c r="ITY19" s="13"/>
      <c r="ITZ19" s="13"/>
      <c r="IUA19" s="13"/>
      <c r="IUB19" s="13"/>
      <c r="IUC19" s="13"/>
      <c r="IUD19" s="13"/>
      <c r="IUE19" s="13"/>
      <c r="IUF19" s="13"/>
      <c r="IUG19" s="13"/>
      <c r="IUH19" s="13"/>
      <c r="IUI19" s="13"/>
      <c r="IUJ19" s="13"/>
      <c r="IUK19" s="13"/>
      <c r="IUL19" s="13"/>
      <c r="IUM19" s="13"/>
      <c r="IUN19" s="13"/>
      <c r="IUO19" s="13"/>
      <c r="IUP19" s="13"/>
      <c r="IUQ19" s="13"/>
      <c r="IUR19" s="13"/>
      <c r="IUS19" s="13"/>
      <c r="IUT19" s="13"/>
      <c r="IUU19" s="13"/>
      <c r="IUV19" s="13"/>
      <c r="IUW19" s="13"/>
      <c r="IUX19" s="13"/>
      <c r="IUY19" s="13"/>
      <c r="IUZ19" s="13"/>
      <c r="IVA19" s="13"/>
      <c r="IVB19" s="13"/>
      <c r="IVC19" s="13"/>
      <c r="IVD19" s="13"/>
      <c r="IVE19" s="13"/>
      <c r="IVF19" s="13"/>
      <c r="IVG19" s="13"/>
      <c r="IVH19" s="13"/>
      <c r="IVI19" s="13"/>
      <c r="IVJ19" s="13"/>
      <c r="IVK19" s="13"/>
      <c r="IVL19" s="13"/>
      <c r="IVM19" s="13"/>
      <c r="IVN19" s="13"/>
      <c r="IVO19" s="13"/>
      <c r="IVP19" s="13"/>
      <c r="IVQ19" s="13"/>
      <c r="IVR19" s="13"/>
      <c r="IVS19" s="13"/>
      <c r="IVT19" s="13"/>
      <c r="IVU19" s="13"/>
      <c r="IVV19" s="13"/>
      <c r="IVW19" s="13"/>
      <c r="IVX19" s="13"/>
      <c r="IVY19" s="13"/>
      <c r="IVZ19" s="13"/>
      <c r="IWA19" s="13"/>
      <c r="IWB19" s="13"/>
      <c r="IWC19" s="13"/>
      <c r="IWD19" s="13"/>
      <c r="IWE19" s="13"/>
      <c r="IWF19" s="13"/>
      <c r="IWG19" s="13"/>
      <c r="IWH19" s="13"/>
      <c r="IWI19" s="13"/>
      <c r="IWJ19" s="13"/>
      <c r="IWK19" s="13"/>
      <c r="IWL19" s="13"/>
      <c r="IWM19" s="13"/>
      <c r="IWN19" s="13"/>
      <c r="IWO19" s="13"/>
      <c r="IWP19" s="13"/>
      <c r="IWQ19" s="13"/>
      <c r="IWR19" s="13"/>
      <c r="IWS19" s="13"/>
      <c r="IWT19" s="13"/>
      <c r="IWU19" s="13"/>
      <c r="IWV19" s="13"/>
      <c r="IWW19" s="13"/>
      <c r="IWX19" s="13"/>
      <c r="IWY19" s="13"/>
      <c r="IWZ19" s="13"/>
      <c r="IXA19" s="13"/>
      <c r="IXB19" s="13"/>
      <c r="IXC19" s="13"/>
      <c r="IXD19" s="13"/>
      <c r="IXE19" s="13"/>
      <c r="IXF19" s="13"/>
      <c r="IXG19" s="13"/>
      <c r="IXH19" s="13"/>
      <c r="IXI19" s="13"/>
      <c r="IXJ19" s="13"/>
      <c r="IXK19" s="13"/>
      <c r="IXL19" s="13"/>
      <c r="IXM19" s="13"/>
      <c r="IXN19" s="13"/>
      <c r="IXO19" s="13"/>
      <c r="IXP19" s="13"/>
      <c r="IXQ19" s="13"/>
      <c r="IXR19" s="13"/>
      <c r="IXS19" s="13"/>
      <c r="IXT19" s="13"/>
      <c r="IXU19" s="13"/>
      <c r="IXV19" s="13"/>
      <c r="IXW19" s="13"/>
      <c r="IXX19" s="13"/>
      <c r="IXY19" s="13"/>
      <c r="IXZ19" s="13"/>
      <c r="IYA19" s="13"/>
      <c r="IYB19" s="13"/>
      <c r="IYC19" s="13"/>
      <c r="IYD19" s="13"/>
      <c r="IYE19" s="13"/>
      <c r="IYF19" s="13"/>
      <c r="IYG19" s="13"/>
      <c r="IYH19" s="13"/>
      <c r="IYI19" s="13"/>
      <c r="IYJ19" s="13"/>
      <c r="IYK19" s="13"/>
      <c r="IYL19" s="13"/>
      <c r="IYM19" s="13"/>
      <c r="IYN19" s="13"/>
      <c r="IYO19" s="13"/>
      <c r="IYP19" s="13"/>
      <c r="IYQ19" s="13"/>
      <c r="IYR19" s="13"/>
      <c r="IYS19" s="13"/>
      <c r="IYT19" s="13"/>
      <c r="IYU19" s="13"/>
      <c r="IYV19" s="13"/>
      <c r="IYW19" s="13"/>
      <c r="IYX19" s="13"/>
      <c r="IYY19" s="13"/>
      <c r="IYZ19" s="13"/>
      <c r="IZA19" s="13"/>
      <c r="IZB19" s="13"/>
      <c r="IZC19" s="13"/>
      <c r="IZD19" s="13"/>
      <c r="IZE19" s="13"/>
      <c r="IZF19" s="13"/>
      <c r="IZG19" s="13"/>
      <c r="IZH19" s="13"/>
      <c r="IZI19" s="13"/>
      <c r="IZJ19" s="13"/>
      <c r="IZK19" s="13"/>
      <c r="IZL19" s="13"/>
      <c r="IZM19" s="13"/>
      <c r="IZN19" s="13"/>
      <c r="IZO19" s="13"/>
      <c r="IZP19" s="13"/>
      <c r="IZQ19" s="13"/>
      <c r="IZR19" s="13"/>
      <c r="IZS19" s="13"/>
      <c r="IZT19" s="13"/>
      <c r="IZU19" s="13"/>
      <c r="IZV19" s="13"/>
      <c r="IZW19" s="13"/>
      <c r="IZX19" s="13"/>
      <c r="IZY19" s="13"/>
      <c r="IZZ19" s="13"/>
      <c r="JAA19" s="13"/>
      <c r="JAB19" s="13"/>
      <c r="JAC19" s="13"/>
      <c r="JAD19" s="13"/>
      <c r="JAE19" s="13"/>
      <c r="JAF19" s="13"/>
      <c r="JAG19" s="13"/>
      <c r="JAH19" s="13"/>
      <c r="JAI19" s="13"/>
      <c r="JAJ19" s="13"/>
      <c r="JAK19" s="13"/>
      <c r="JAL19" s="13"/>
      <c r="JAM19" s="13"/>
      <c r="JAN19" s="13"/>
      <c r="JAO19" s="13"/>
      <c r="JAP19" s="13"/>
      <c r="JAQ19" s="13"/>
      <c r="JAR19" s="13"/>
      <c r="JAS19" s="13"/>
      <c r="JAT19" s="13"/>
      <c r="JAU19" s="13"/>
      <c r="JAV19" s="13"/>
      <c r="JAW19" s="13"/>
      <c r="JAX19" s="13"/>
      <c r="JAY19" s="13"/>
      <c r="JAZ19" s="13"/>
      <c r="JBA19" s="13"/>
      <c r="JBB19" s="13"/>
      <c r="JBC19" s="13"/>
      <c r="JBD19" s="13"/>
      <c r="JBE19" s="13"/>
      <c r="JBF19" s="13"/>
      <c r="JBG19" s="13"/>
      <c r="JBH19" s="13"/>
      <c r="JBI19" s="13"/>
      <c r="JBJ19" s="13"/>
      <c r="JBK19" s="13"/>
      <c r="JBL19" s="13"/>
      <c r="JBM19" s="13"/>
      <c r="JBN19" s="13"/>
      <c r="JBO19" s="13"/>
      <c r="JBP19" s="13"/>
      <c r="JBQ19" s="13"/>
      <c r="JBR19" s="13"/>
      <c r="JBS19" s="13"/>
      <c r="JBT19" s="13"/>
      <c r="JBU19" s="13"/>
      <c r="JBV19" s="13"/>
      <c r="JBW19" s="13"/>
      <c r="JBX19" s="13"/>
      <c r="JBY19" s="13"/>
      <c r="JBZ19" s="13"/>
      <c r="JCA19" s="13"/>
      <c r="JCB19" s="13"/>
      <c r="JCC19" s="13"/>
      <c r="JCD19" s="13"/>
      <c r="JCE19" s="13"/>
      <c r="JCF19" s="13"/>
      <c r="JCG19" s="13"/>
      <c r="JCH19" s="13"/>
      <c r="JCI19" s="13"/>
      <c r="JCJ19" s="13"/>
      <c r="JCK19" s="13"/>
      <c r="JCL19" s="13"/>
      <c r="JCM19" s="13"/>
      <c r="JCN19" s="13"/>
      <c r="JCO19" s="13"/>
      <c r="JCP19" s="13"/>
      <c r="JCQ19" s="13"/>
      <c r="JCR19" s="13"/>
      <c r="JCS19" s="13"/>
      <c r="JCT19" s="13"/>
      <c r="JCU19" s="13"/>
      <c r="JCV19" s="13"/>
      <c r="JCW19" s="13"/>
      <c r="JCX19" s="13"/>
      <c r="JCY19" s="13"/>
      <c r="JCZ19" s="13"/>
      <c r="JDA19" s="13"/>
      <c r="JDB19" s="13"/>
      <c r="JDC19" s="13"/>
      <c r="JDD19" s="13"/>
      <c r="JDE19" s="13"/>
      <c r="JDF19" s="13"/>
      <c r="JDG19" s="13"/>
      <c r="JDH19" s="13"/>
      <c r="JDI19" s="13"/>
      <c r="JDJ19" s="13"/>
      <c r="JDK19" s="13"/>
      <c r="JDL19" s="13"/>
      <c r="JDM19" s="13"/>
      <c r="JDN19" s="13"/>
      <c r="JDO19" s="13"/>
      <c r="JDP19" s="13"/>
      <c r="JDQ19" s="13"/>
      <c r="JDR19" s="13"/>
      <c r="JDS19" s="13"/>
      <c r="JDT19" s="13"/>
      <c r="JDU19" s="13"/>
      <c r="JDV19" s="13"/>
      <c r="JDW19" s="13"/>
      <c r="JDX19" s="13"/>
      <c r="JDY19" s="13"/>
      <c r="JDZ19" s="13"/>
      <c r="JEA19" s="13"/>
      <c r="JEB19" s="13"/>
      <c r="JEC19" s="13"/>
      <c r="JED19" s="13"/>
      <c r="JEE19" s="13"/>
      <c r="JEF19" s="13"/>
      <c r="JEG19" s="13"/>
      <c r="JEH19" s="13"/>
      <c r="JEI19" s="13"/>
      <c r="JEJ19" s="13"/>
      <c r="JEK19" s="13"/>
      <c r="JEL19" s="13"/>
      <c r="JEM19" s="13"/>
      <c r="JEN19" s="13"/>
      <c r="JEO19" s="13"/>
      <c r="JEP19" s="13"/>
      <c r="JEQ19" s="13"/>
      <c r="JER19" s="13"/>
      <c r="JES19" s="13"/>
      <c r="JET19" s="13"/>
      <c r="JEU19" s="13"/>
      <c r="JEV19" s="13"/>
      <c r="JEW19" s="13"/>
      <c r="JEX19" s="13"/>
      <c r="JEY19" s="13"/>
      <c r="JEZ19" s="13"/>
      <c r="JFA19" s="13"/>
      <c r="JFB19" s="13"/>
      <c r="JFC19" s="13"/>
      <c r="JFD19" s="13"/>
      <c r="JFE19" s="13"/>
      <c r="JFF19" s="13"/>
      <c r="JFG19" s="13"/>
      <c r="JFH19" s="13"/>
      <c r="JFI19" s="13"/>
      <c r="JFJ19" s="13"/>
      <c r="JFK19" s="13"/>
      <c r="JFL19" s="13"/>
      <c r="JFM19" s="13"/>
      <c r="JFN19" s="13"/>
      <c r="JFO19" s="13"/>
      <c r="JFP19" s="13"/>
      <c r="JFQ19" s="13"/>
      <c r="JFR19" s="13"/>
      <c r="JFS19" s="13"/>
      <c r="JFT19" s="13"/>
      <c r="JFU19" s="13"/>
      <c r="JFV19" s="13"/>
      <c r="JFW19" s="13"/>
      <c r="JFX19" s="13"/>
      <c r="JFY19" s="13"/>
      <c r="JFZ19" s="13"/>
      <c r="JGA19" s="13"/>
      <c r="JGB19" s="13"/>
      <c r="JGC19" s="13"/>
      <c r="JGD19" s="13"/>
      <c r="JGE19" s="13"/>
      <c r="JGF19" s="13"/>
      <c r="JGG19" s="13"/>
      <c r="JGH19" s="13"/>
      <c r="JGI19" s="13"/>
      <c r="JGJ19" s="13"/>
      <c r="JGK19" s="13"/>
      <c r="JGL19" s="13"/>
      <c r="JGM19" s="13"/>
      <c r="JGN19" s="13"/>
      <c r="JGO19" s="13"/>
      <c r="JGP19" s="13"/>
      <c r="JGQ19" s="13"/>
      <c r="JGR19" s="13"/>
      <c r="JGS19" s="13"/>
      <c r="JGT19" s="13"/>
      <c r="JGU19" s="13"/>
      <c r="JGV19" s="13"/>
      <c r="JGW19" s="13"/>
      <c r="JGX19" s="13"/>
      <c r="JGY19" s="13"/>
      <c r="JGZ19" s="13"/>
      <c r="JHA19" s="13"/>
      <c r="JHB19" s="13"/>
      <c r="JHC19" s="13"/>
      <c r="JHD19" s="13"/>
      <c r="JHE19" s="13"/>
      <c r="JHF19" s="13"/>
      <c r="JHG19" s="13"/>
      <c r="JHH19" s="13"/>
      <c r="JHI19" s="13"/>
      <c r="JHJ19" s="13"/>
      <c r="JHK19" s="13"/>
      <c r="JHL19" s="13"/>
      <c r="JHM19" s="13"/>
      <c r="JHN19" s="13"/>
      <c r="JHO19" s="13"/>
      <c r="JHP19" s="13"/>
      <c r="JHQ19" s="13"/>
      <c r="JHR19" s="13"/>
      <c r="JHS19" s="13"/>
      <c r="JHT19" s="13"/>
      <c r="JHU19" s="13"/>
      <c r="JHV19" s="13"/>
      <c r="JHW19" s="13"/>
      <c r="JHX19" s="13"/>
      <c r="JHY19" s="13"/>
      <c r="JHZ19" s="13"/>
      <c r="JIA19" s="13"/>
      <c r="JIB19" s="13"/>
      <c r="JIC19" s="13"/>
      <c r="JID19" s="13"/>
      <c r="JIE19" s="13"/>
      <c r="JIF19" s="13"/>
      <c r="JIG19" s="13"/>
      <c r="JIH19" s="13"/>
      <c r="JII19" s="13"/>
      <c r="JIJ19" s="13"/>
      <c r="JIK19" s="13"/>
      <c r="JIL19" s="13"/>
      <c r="JIM19" s="13"/>
      <c r="JIN19" s="13"/>
      <c r="JIO19" s="13"/>
      <c r="JIP19" s="13"/>
      <c r="JIQ19" s="13"/>
      <c r="JIR19" s="13"/>
      <c r="JIS19" s="13"/>
      <c r="JIT19" s="13"/>
      <c r="JIU19" s="13"/>
      <c r="JIV19" s="13"/>
      <c r="JIW19" s="13"/>
      <c r="JIX19" s="13"/>
      <c r="JIY19" s="13"/>
      <c r="JIZ19" s="13"/>
      <c r="JJA19" s="13"/>
      <c r="JJB19" s="13"/>
      <c r="JJC19" s="13"/>
      <c r="JJD19" s="13"/>
      <c r="JJE19" s="13"/>
      <c r="JJF19" s="13"/>
      <c r="JJG19" s="13"/>
      <c r="JJH19" s="13"/>
      <c r="JJI19" s="13"/>
      <c r="JJJ19" s="13"/>
      <c r="JJK19" s="13"/>
      <c r="JJL19" s="13"/>
      <c r="JJM19" s="13"/>
      <c r="JJN19" s="13"/>
      <c r="JJO19" s="13"/>
      <c r="JJP19" s="13"/>
      <c r="JJQ19" s="13"/>
      <c r="JJR19" s="13"/>
      <c r="JJS19" s="13"/>
      <c r="JJT19" s="13"/>
      <c r="JJU19" s="13"/>
      <c r="JJV19" s="13"/>
      <c r="JJW19" s="13"/>
      <c r="JJX19" s="13"/>
      <c r="JJY19" s="13"/>
      <c r="JJZ19" s="13"/>
      <c r="JKA19" s="13"/>
      <c r="JKB19" s="13"/>
      <c r="JKC19" s="13"/>
      <c r="JKD19" s="13"/>
      <c r="JKE19" s="13"/>
      <c r="JKF19" s="13"/>
      <c r="JKG19" s="13"/>
      <c r="JKH19" s="13"/>
      <c r="JKI19" s="13"/>
      <c r="JKJ19" s="13"/>
      <c r="JKK19" s="13"/>
      <c r="JKL19" s="13"/>
      <c r="JKM19" s="13"/>
      <c r="JKN19" s="13"/>
      <c r="JKO19" s="13"/>
      <c r="JKP19" s="13"/>
      <c r="JKQ19" s="13"/>
      <c r="JKR19" s="13"/>
      <c r="JKS19" s="13"/>
      <c r="JKT19" s="13"/>
      <c r="JKU19" s="13"/>
      <c r="JKV19" s="13"/>
      <c r="JKW19" s="13"/>
      <c r="JKX19" s="13"/>
      <c r="JKY19" s="13"/>
      <c r="JKZ19" s="13"/>
      <c r="JLA19" s="13"/>
      <c r="JLB19" s="13"/>
      <c r="JLC19" s="13"/>
      <c r="JLD19" s="13"/>
      <c r="JLE19" s="13"/>
      <c r="JLF19" s="13"/>
      <c r="JLG19" s="13"/>
      <c r="JLH19" s="13"/>
      <c r="JLI19" s="13"/>
      <c r="JLJ19" s="13"/>
      <c r="JLK19" s="13"/>
      <c r="JLL19" s="13"/>
      <c r="JLM19" s="13"/>
      <c r="JLN19" s="13"/>
      <c r="JLO19" s="13"/>
      <c r="JLP19" s="13"/>
      <c r="JLQ19" s="13"/>
      <c r="JLR19" s="13"/>
      <c r="JLS19" s="13"/>
      <c r="JLT19" s="13"/>
      <c r="JLU19" s="13"/>
      <c r="JLV19" s="13"/>
      <c r="JLW19" s="13"/>
      <c r="JLX19" s="13"/>
      <c r="JLY19" s="13"/>
      <c r="JLZ19" s="13"/>
      <c r="JMA19" s="13"/>
      <c r="JMB19" s="13"/>
      <c r="JMC19" s="13"/>
      <c r="JMD19" s="13"/>
      <c r="JME19" s="13"/>
      <c r="JMF19" s="13"/>
      <c r="JMG19" s="13"/>
      <c r="JMH19" s="13"/>
      <c r="JMI19" s="13"/>
      <c r="JMJ19" s="13"/>
      <c r="JMK19" s="13"/>
      <c r="JML19" s="13"/>
      <c r="JMM19" s="13"/>
      <c r="JMN19" s="13"/>
      <c r="JMO19" s="13"/>
      <c r="JMP19" s="13"/>
      <c r="JMQ19" s="13"/>
      <c r="JMR19" s="13"/>
      <c r="JMS19" s="13"/>
      <c r="JMT19" s="13"/>
      <c r="JMU19" s="13"/>
      <c r="JMV19" s="13"/>
      <c r="JMW19" s="13"/>
      <c r="JMX19" s="13"/>
      <c r="JMY19" s="13"/>
      <c r="JMZ19" s="13"/>
      <c r="JNA19" s="13"/>
      <c r="JNB19" s="13"/>
      <c r="JNC19" s="13"/>
      <c r="JND19" s="13"/>
      <c r="JNE19" s="13"/>
      <c r="JNF19" s="13"/>
      <c r="JNG19" s="13"/>
      <c r="JNH19" s="13"/>
      <c r="JNI19" s="13"/>
      <c r="JNJ19" s="13"/>
      <c r="JNK19" s="13"/>
      <c r="JNL19" s="13"/>
      <c r="JNM19" s="13"/>
      <c r="JNN19" s="13"/>
      <c r="JNO19" s="13"/>
      <c r="JNP19" s="13"/>
      <c r="JNQ19" s="13"/>
      <c r="JNR19" s="13"/>
      <c r="JNS19" s="13"/>
      <c r="JNT19" s="13"/>
      <c r="JNU19" s="13"/>
      <c r="JNV19" s="13"/>
      <c r="JNW19" s="13"/>
      <c r="JNX19" s="13"/>
      <c r="JNY19" s="13"/>
      <c r="JNZ19" s="13"/>
      <c r="JOA19" s="13"/>
      <c r="JOB19" s="13"/>
      <c r="JOC19" s="13"/>
      <c r="JOD19" s="13"/>
      <c r="JOE19" s="13"/>
      <c r="JOF19" s="13"/>
      <c r="JOG19" s="13"/>
      <c r="JOH19" s="13"/>
      <c r="JOI19" s="13"/>
      <c r="JOJ19" s="13"/>
      <c r="JOK19" s="13"/>
      <c r="JOL19" s="13"/>
      <c r="JOM19" s="13"/>
      <c r="JON19" s="13"/>
      <c r="JOO19" s="13"/>
      <c r="JOP19" s="13"/>
      <c r="JOQ19" s="13"/>
      <c r="JOR19" s="13"/>
      <c r="JOS19" s="13"/>
      <c r="JOT19" s="13"/>
      <c r="JOU19" s="13"/>
      <c r="JOV19" s="13"/>
      <c r="JOW19" s="13"/>
      <c r="JOX19" s="13"/>
      <c r="JOY19" s="13"/>
      <c r="JOZ19" s="13"/>
      <c r="JPA19" s="13"/>
      <c r="JPB19" s="13"/>
      <c r="JPC19" s="13"/>
      <c r="JPD19" s="13"/>
      <c r="JPE19" s="13"/>
      <c r="JPF19" s="13"/>
      <c r="JPG19" s="13"/>
      <c r="JPH19" s="13"/>
      <c r="JPI19" s="13"/>
      <c r="JPJ19" s="13"/>
      <c r="JPK19" s="13"/>
      <c r="JPL19" s="13"/>
      <c r="JPM19" s="13"/>
      <c r="JPN19" s="13"/>
      <c r="JPO19" s="13"/>
      <c r="JPP19" s="13"/>
      <c r="JPQ19" s="13"/>
      <c r="JPR19" s="13"/>
      <c r="JPS19" s="13"/>
      <c r="JPT19" s="13"/>
      <c r="JPU19" s="13"/>
      <c r="JPV19" s="13"/>
      <c r="JPW19" s="13"/>
      <c r="JPX19" s="13"/>
      <c r="JPY19" s="13"/>
      <c r="JPZ19" s="13"/>
      <c r="JQA19" s="13"/>
      <c r="JQB19" s="13"/>
      <c r="JQC19" s="13"/>
      <c r="JQD19" s="13"/>
      <c r="JQE19" s="13"/>
      <c r="JQF19" s="13"/>
      <c r="JQG19" s="13"/>
      <c r="JQH19" s="13"/>
      <c r="JQI19" s="13"/>
      <c r="JQJ19" s="13"/>
      <c r="JQK19" s="13"/>
      <c r="JQL19" s="13"/>
      <c r="JQM19" s="13"/>
      <c r="JQN19" s="13"/>
      <c r="JQO19" s="13"/>
      <c r="JQP19" s="13"/>
      <c r="JQQ19" s="13"/>
      <c r="JQR19" s="13"/>
      <c r="JQS19" s="13"/>
      <c r="JQT19" s="13"/>
      <c r="JQU19" s="13"/>
      <c r="JQV19" s="13"/>
      <c r="JQW19" s="13"/>
      <c r="JQX19" s="13"/>
      <c r="JQY19" s="13"/>
      <c r="JQZ19" s="13"/>
      <c r="JRA19" s="13"/>
      <c r="JRB19" s="13"/>
      <c r="JRC19" s="13"/>
      <c r="JRD19" s="13"/>
      <c r="JRE19" s="13"/>
      <c r="JRF19" s="13"/>
      <c r="JRG19" s="13"/>
      <c r="JRH19" s="13"/>
      <c r="JRI19" s="13"/>
      <c r="JRJ19" s="13"/>
      <c r="JRK19" s="13"/>
      <c r="JRL19" s="13"/>
      <c r="JRM19" s="13"/>
      <c r="JRN19" s="13"/>
      <c r="JRO19" s="13"/>
      <c r="JRP19" s="13"/>
      <c r="JRQ19" s="13"/>
      <c r="JRR19" s="13"/>
      <c r="JRS19" s="13"/>
      <c r="JRT19" s="13"/>
      <c r="JRU19" s="13"/>
      <c r="JRV19" s="13"/>
      <c r="JRW19" s="13"/>
      <c r="JRX19" s="13"/>
      <c r="JRY19" s="13"/>
      <c r="JRZ19" s="13"/>
      <c r="JSA19" s="13"/>
      <c r="JSB19" s="13"/>
      <c r="JSC19" s="13"/>
      <c r="JSD19" s="13"/>
      <c r="JSE19" s="13"/>
      <c r="JSF19" s="13"/>
      <c r="JSG19" s="13"/>
      <c r="JSH19" s="13"/>
      <c r="JSI19" s="13"/>
      <c r="JSJ19" s="13"/>
      <c r="JSK19" s="13"/>
      <c r="JSL19" s="13"/>
      <c r="JSM19" s="13"/>
      <c r="JSN19" s="13"/>
      <c r="JSO19" s="13"/>
      <c r="JSP19" s="13"/>
      <c r="JSQ19" s="13"/>
      <c r="JSR19" s="13"/>
      <c r="JSS19" s="13"/>
      <c r="JST19" s="13"/>
      <c r="JSU19" s="13"/>
      <c r="JSV19" s="13"/>
      <c r="JSW19" s="13"/>
      <c r="JSX19" s="13"/>
      <c r="JSY19" s="13"/>
      <c r="JSZ19" s="13"/>
      <c r="JTA19" s="13"/>
      <c r="JTB19" s="13"/>
      <c r="JTC19" s="13"/>
      <c r="JTD19" s="13"/>
      <c r="JTE19" s="13"/>
      <c r="JTF19" s="13"/>
      <c r="JTG19" s="13"/>
      <c r="JTH19" s="13"/>
      <c r="JTI19" s="13"/>
      <c r="JTJ19" s="13"/>
      <c r="JTK19" s="13"/>
      <c r="JTL19" s="13"/>
      <c r="JTM19" s="13"/>
      <c r="JTN19" s="13"/>
      <c r="JTO19" s="13"/>
      <c r="JTP19" s="13"/>
      <c r="JTQ19" s="13"/>
      <c r="JTR19" s="13"/>
      <c r="JTS19" s="13"/>
      <c r="JTT19" s="13"/>
      <c r="JTU19" s="13"/>
      <c r="JTV19" s="13"/>
      <c r="JTW19" s="13"/>
      <c r="JTX19" s="13"/>
      <c r="JTY19" s="13"/>
      <c r="JTZ19" s="13"/>
      <c r="JUA19" s="13"/>
      <c r="JUB19" s="13"/>
      <c r="JUC19" s="13"/>
      <c r="JUD19" s="13"/>
      <c r="JUE19" s="13"/>
      <c r="JUF19" s="13"/>
      <c r="JUG19" s="13"/>
      <c r="JUH19" s="13"/>
      <c r="JUI19" s="13"/>
      <c r="JUJ19" s="13"/>
      <c r="JUK19" s="13"/>
      <c r="JUL19" s="13"/>
      <c r="JUM19" s="13"/>
      <c r="JUN19" s="13"/>
      <c r="JUO19" s="13"/>
      <c r="JUP19" s="13"/>
      <c r="JUQ19" s="13"/>
      <c r="JUR19" s="13"/>
      <c r="JUS19" s="13"/>
      <c r="JUT19" s="13"/>
      <c r="JUU19" s="13"/>
      <c r="JUV19" s="13"/>
      <c r="JUW19" s="13"/>
      <c r="JUX19" s="13"/>
      <c r="JUY19" s="13"/>
      <c r="JUZ19" s="13"/>
      <c r="JVA19" s="13"/>
      <c r="JVB19" s="13"/>
      <c r="JVC19" s="13"/>
      <c r="JVD19" s="13"/>
      <c r="JVE19" s="13"/>
      <c r="JVF19" s="13"/>
      <c r="JVG19" s="13"/>
      <c r="JVH19" s="13"/>
      <c r="JVI19" s="13"/>
      <c r="JVJ19" s="13"/>
      <c r="JVK19" s="13"/>
      <c r="JVL19" s="13"/>
      <c r="JVM19" s="13"/>
      <c r="JVN19" s="13"/>
      <c r="JVO19" s="13"/>
      <c r="JVP19" s="13"/>
      <c r="JVQ19" s="13"/>
      <c r="JVR19" s="13"/>
      <c r="JVS19" s="13"/>
      <c r="JVT19" s="13"/>
      <c r="JVU19" s="13"/>
      <c r="JVV19" s="13"/>
      <c r="JVW19" s="13"/>
      <c r="JVX19" s="13"/>
      <c r="JVY19" s="13"/>
      <c r="JVZ19" s="13"/>
      <c r="JWA19" s="13"/>
      <c r="JWB19" s="13"/>
      <c r="JWC19" s="13"/>
      <c r="JWD19" s="13"/>
      <c r="JWE19" s="13"/>
      <c r="JWF19" s="13"/>
      <c r="JWG19" s="13"/>
      <c r="JWH19" s="13"/>
      <c r="JWI19" s="13"/>
      <c r="JWJ19" s="13"/>
      <c r="JWK19" s="13"/>
      <c r="JWL19" s="13"/>
      <c r="JWM19" s="13"/>
      <c r="JWN19" s="13"/>
      <c r="JWO19" s="13"/>
      <c r="JWP19" s="13"/>
      <c r="JWQ19" s="13"/>
      <c r="JWR19" s="13"/>
      <c r="JWS19" s="13"/>
      <c r="JWT19" s="13"/>
      <c r="JWU19" s="13"/>
      <c r="JWV19" s="13"/>
      <c r="JWW19" s="13"/>
      <c r="JWX19" s="13"/>
      <c r="JWY19" s="13"/>
      <c r="JWZ19" s="13"/>
      <c r="JXA19" s="13"/>
      <c r="JXB19" s="13"/>
      <c r="JXC19" s="13"/>
      <c r="JXD19" s="13"/>
      <c r="JXE19" s="13"/>
      <c r="JXF19" s="13"/>
      <c r="JXG19" s="13"/>
      <c r="JXH19" s="13"/>
      <c r="JXI19" s="13"/>
      <c r="JXJ19" s="13"/>
      <c r="JXK19" s="13"/>
      <c r="JXL19" s="13"/>
      <c r="JXM19" s="13"/>
      <c r="JXN19" s="13"/>
      <c r="JXO19" s="13"/>
      <c r="JXP19" s="13"/>
      <c r="JXQ19" s="13"/>
      <c r="JXR19" s="13"/>
      <c r="JXS19" s="13"/>
      <c r="JXT19" s="13"/>
      <c r="JXU19" s="13"/>
      <c r="JXV19" s="13"/>
      <c r="JXW19" s="13"/>
      <c r="JXX19" s="13"/>
      <c r="JXY19" s="13"/>
      <c r="JXZ19" s="13"/>
      <c r="JYA19" s="13"/>
      <c r="JYB19" s="13"/>
      <c r="JYC19" s="13"/>
      <c r="JYD19" s="13"/>
      <c r="JYE19" s="13"/>
      <c r="JYF19" s="13"/>
      <c r="JYG19" s="13"/>
      <c r="JYH19" s="13"/>
      <c r="JYI19" s="13"/>
      <c r="JYJ19" s="13"/>
      <c r="JYK19" s="13"/>
      <c r="JYL19" s="13"/>
      <c r="JYM19" s="13"/>
      <c r="JYN19" s="13"/>
      <c r="JYO19" s="13"/>
      <c r="JYP19" s="13"/>
      <c r="JYQ19" s="13"/>
      <c r="JYR19" s="13"/>
      <c r="JYS19" s="13"/>
      <c r="JYT19" s="13"/>
      <c r="JYU19" s="13"/>
      <c r="JYV19" s="13"/>
      <c r="JYW19" s="13"/>
      <c r="JYX19" s="13"/>
      <c r="JYY19" s="13"/>
      <c r="JYZ19" s="13"/>
      <c r="JZA19" s="13"/>
      <c r="JZB19" s="13"/>
      <c r="JZC19" s="13"/>
      <c r="JZD19" s="13"/>
      <c r="JZE19" s="13"/>
      <c r="JZF19" s="13"/>
      <c r="JZG19" s="13"/>
      <c r="JZH19" s="13"/>
      <c r="JZI19" s="13"/>
      <c r="JZJ19" s="13"/>
      <c r="JZK19" s="13"/>
      <c r="JZL19" s="13"/>
      <c r="JZM19" s="13"/>
      <c r="JZN19" s="13"/>
      <c r="JZO19" s="13"/>
      <c r="JZP19" s="13"/>
      <c r="JZQ19" s="13"/>
      <c r="JZR19" s="13"/>
      <c r="JZS19" s="13"/>
      <c r="JZT19" s="13"/>
      <c r="JZU19" s="13"/>
      <c r="JZV19" s="13"/>
      <c r="JZW19" s="13"/>
      <c r="JZX19" s="13"/>
      <c r="JZY19" s="13"/>
      <c r="JZZ19" s="13"/>
      <c r="KAA19" s="13"/>
      <c r="KAB19" s="13"/>
      <c r="KAC19" s="13"/>
      <c r="KAD19" s="13"/>
      <c r="KAE19" s="13"/>
      <c r="KAF19" s="13"/>
      <c r="KAG19" s="13"/>
      <c r="KAH19" s="13"/>
      <c r="KAI19" s="13"/>
      <c r="KAJ19" s="13"/>
      <c r="KAK19" s="13"/>
      <c r="KAL19" s="13"/>
      <c r="KAM19" s="13"/>
      <c r="KAN19" s="13"/>
      <c r="KAO19" s="13"/>
      <c r="KAP19" s="13"/>
      <c r="KAQ19" s="13"/>
      <c r="KAR19" s="13"/>
      <c r="KAS19" s="13"/>
      <c r="KAT19" s="13"/>
      <c r="KAU19" s="13"/>
      <c r="KAV19" s="13"/>
      <c r="KAW19" s="13"/>
      <c r="KAX19" s="13"/>
      <c r="KAY19" s="13"/>
      <c r="KAZ19" s="13"/>
      <c r="KBA19" s="13"/>
      <c r="KBB19" s="13"/>
      <c r="KBC19" s="13"/>
      <c r="KBD19" s="13"/>
      <c r="KBE19" s="13"/>
      <c r="KBF19" s="13"/>
      <c r="KBG19" s="13"/>
      <c r="KBH19" s="13"/>
      <c r="KBI19" s="13"/>
      <c r="KBJ19" s="13"/>
      <c r="KBK19" s="13"/>
      <c r="KBL19" s="13"/>
      <c r="KBM19" s="13"/>
      <c r="KBN19" s="13"/>
      <c r="KBO19" s="13"/>
      <c r="KBP19" s="13"/>
      <c r="KBQ19" s="13"/>
      <c r="KBR19" s="13"/>
      <c r="KBS19" s="13"/>
      <c r="KBT19" s="13"/>
      <c r="KBU19" s="13"/>
      <c r="KBV19" s="13"/>
      <c r="KBW19" s="13"/>
      <c r="KBX19" s="13"/>
      <c r="KBY19" s="13"/>
      <c r="KBZ19" s="13"/>
      <c r="KCA19" s="13"/>
      <c r="KCB19" s="13"/>
      <c r="KCC19" s="13"/>
      <c r="KCD19" s="13"/>
      <c r="KCE19" s="13"/>
      <c r="KCF19" s="13"/>
      <c r="KCG19" s="13"/>
      <c r="KCH19" s="13"/>
      <c r="KCI19" s="13"/>
      <c r="KCJ19" s="13"/>
      <c r="KCK19" s="13"/>
      <c r="KCL19" s="13"/>
      <c r="KCM19" s="13"/>
      <c r="KCN19" s="13"/>
      <c r="KCO19" s="13"/>
      <c r="KCP19" s="13"/>
      <c r="KCQ19" s="13"/>
      <c r="KCR19" s="13"/>
      <c r="KCS19" s="13"/>
      <c r="KCT19" s="13"/>
      <c r="KCU19" s="13"/>
      <c r="KCV19" s="13"/>
      <c r="KCW19" s="13"/>
      <c r="KCX19" s="13"/>
      <c r="KCY19" s="13"/>
      <c r="KCZ19" s="13"/>
      <c r="KDA19" s="13"/>
      <c r="KDB19" s="13"/>
      <c r="KDC19" s="13"/>
      <c r="KDD19" s="13"/>
      <c r="KDE19" s="13"/>
      <c r="KDF19" s="13"/>
      <c r="KDG19" s="13"/>
      <c r="KDH19" s="13"/>
      <c r="KDI19" s="13"/>
      <c r="KDJ19" s="13"/>
      <c r="KDK19" s="13"/>
      <c r="KDL19" s="13"/>
      <c r="KDM19" s="13"/>
      <c r="KDN19" s="13"/>
      <c r="KDO19" s="13"/>
      <c r="KDP19" s="13"/>
      <c r="KDQ19" s="13"/>
      <c r="KDR19" s="13"/>
      <c r="KDS19" s="13"/>
      <c r="KDT19" s="13"/>
      <c r="KDU19" s="13"/>
      <c r="KDV19" s="13"/>
      <c r="KDW19" s="13"/>
      <c r="KDX19" s="13"/>
      <c r="KDY19" s="13"/>
      <c r="KDZ19" s="13"/>
      <c r="KEA19" s="13"/>
      <c r="KEB19" s="13"/>
      <c r="KEC19" s="13"/>
      <c r="KED19" s="13"/>
      <c r="KEE19" s="13"/>
      <c r="KEF19" s="13"/>
      <c r="KEG19" s="13"/>
      <c r="KEH19" s="13"/>
      <c r="KEI19" s="13"/>
      <c r="KEJ19" s="13"/>
      <c r="KEK19" s="13"/>
      <c r="KEL19" s="13"/>
      <c r="KEM19" s="13"/>
      <c r="KEN19" s="13"/>
      <c r="KEO19" s="13"/>
      <c r="KEP19" s="13"/>
      <c r="KEQ19" s="13"/>
      <c r="KER19" s="13"/>
      <c r="KES19" s="13"/>
      <c r="KET19" s="13"/>
      <c r="KEU19" s="13"/>
      <c r="KEV19" s="13"/>
      <c r="KEW19" s="13"/>
      <c r="KEX19" s="13"/>
      <c r="KEY19" s="13"/>
      <c r="KEZ19" s="13"/>
      <c r="KFA19" s="13"/>
      <c r="KFB19" s="13"/>
      <c r="KFC19" s="13"/>
      <c r="KFD19" s="13"/>
      <c r="KFE19" s="13"/>
      <c r="KFF19" s="13"/>
      <c r="KFG19" s="13"/>
      <c r="KFH19" s="13"/>
      <c r="KFI19" s="13"/>
      <c r="KFJ19" s="13"/>
      <c r="KFK19" s="13"/>
      <c r="KFL19" s="13"/>
      <c r="KFM19" s="13"/>
      <c r="KFN19" s="13"/>
      <c r="KFO19" s="13"/>
      <c r="KFP19" s="13"/>
      <c r="KFQ19" s="13"/>
      <c r="KFR19" s="13"/>
      <c r="KFS19" s="13"/>
      <c r="KFT19" s="13"/>
      <c r="KFU19" s="13"/>
      <c r="KFV19" s="13"/>
      <c r="KFW19" s="13"/>
      <c r="KFX19" s="13"/>
      <c r="KFY19" s="13"/>
      <c r="KFZ19" s="13"/>
      <c r="KGA19" s="13"/>
      <c r="KGB19" s="13"/>
      <c r="KGC19" s="13"/>
      <c r="KGD19" s="13"/>
      <c r="KGE19" s="13"/>
      <c r="KGF19" s="13"/>
      <c r="KGG19" s="13"/>
      <c r="KGH19" s="13"/>
      <c r="KGI19" s="13"/>
      <c r="KGJ19" s="13"/>
      <c r="KGK19" s="13"/>
      <c r="KGL19" s="13"/>
      <c r="KGM19" s="13"/>
      <c r="KGN19" s="13"/>
      <c r="KGO19" s="13"/>
      <c r="KGP19" s="13"/>
      <c r="KGQ19" s="13"/>
      <c r="KGR19" s="13"/>
      <c r="KGS19" s="13"/>
      <c r="KGT19" s="13"/>
      <c r="KGU19" s="13"/>
      <c r="KGV19" s="13"/>
      <c r="KGW19" s="13"/>
      <c r="KGX19" s="13"/>
      <c r="KGY19" s="13"/>
      <c r="KGZ19" s="13"/>
      <c r="KHA19" s="13"/>
      <c r="KHB19" s="13"/>
      <c r="KHC19" s="13"/>
      <c r="KHD19" s="13"/>
      <c r="KHE19" s="13"/>
      <c r="KHF19" s="13"/>
      <c r="KHG19" s="13"/>
      <c r="KHH19" s="13"/>
      <c r="KHI19" s="13"/>
      <c r="KHJ19" s="13"/>
      <c r="KHK19" s="13"/>
      <c r="KHL19" s="13"/>
      <c r="KHM19" s="13"/>
      <c r="KHN19" s="13"/>
      <c r="KHO19" s="13"/>
      <c r="KHP19" s="13"/>
      <c r="KHQ19" s="13"/>
      <c r="KHR19" s="13"/>
      <c r="KHS19" s="13"/>
      <c r="KHT19" s="13"/>
      <c r="KHU19" s="13"/>
      <c r="KHV19" s="13"/>
      <c r="KHW19" s="13"/>
      <c r="KHX19" s="13"/>
      <c r="KHY19" s="13"/>
      <c r="KHZ19" s="13"/>
      <c r="KIA19" s="13"/>
      <c r="KIB19" s="13"/>
      <c r="KIC19" s="13"/>
      <c r="KID19" s="13"/>
      <c r="KIE19" s="13"/>
      <c r="KIF19" s="13"/>
      <c r="KIG19" s="13"/>
      <c r="KIH19" s="13"/>
      <c r="KII19" s="13"/>
      <c r="KIJ19" s="13"/>
      <c r="KIK19" s="13"/>
      <c r="KIL19" s="13"/>
      <c r="KIM19" s="13"/>
      <c r="KIN19" s="13"/>
      <c r="KIO19" s="13"/>
      <c r="KIP19" s="13"/>
      <c r="KIQ19" s="13"/>
      <c r="KIR19" s="13"/>
      <c r="KIS19" s="13"/>
      <c r="KIT19" s="13"/>
      <c r="KIU19" s="13"/>
      <c r="KIV19" s="13"/>
      <c r="KIW19" s="13"/>
      <c r="KIX19" s="13"/>
      <c r="KIY19" s="13"/>
      <c r="KIZ19" s="13"/>
      <c r="KJA19" s="13"/>
      <c r="KJB19" s="13"/>
      <c r="KJC19" s="13"/>
      <c r="KJD19" s="13"/>
      <c r="KJE19" s="13"/>
      <c r="KJF19" s="13"/>
      <c r="KJG19" s="13"/>
      <c r="KJH19" s="13"/>
      <c r="KJI19" s="13"/>
      <c r="KJJ19" s="13"/>
      <c r="KJK19" s="13"/>
      <c r="KJL19" s="13"/>
      <c r="KJM19" s="13"/>
      <c r="KJN19" s="13"/>
      <c r="KJO19" s="13"/>
      <c r="KJP19" s="13"/>
      <c r="KJQ19" s="13"/>
      <c r="KJR19" s="13"/>
      <c r="KJS19" s="13"/>
      <c r="KJT19" s="13"/>
      <c r="KJU19" s="13"/>
      <c r="KJV19" s="13"/>
      <c r="KJW19" s="13"/>
      <c r="KJX19" s="13"/>
      <c r="KJY19" s="13"/>
      <c r="KJZ19" s="13"/>
      <c r="KKA19" s="13"/>
      <c r="KKB19" s="13"/>
      <c r="KKC19" s="13"/>
      <c r="KKD19" s="13"/>
      <c r="KKE19" s="13"/>
      <c r="KKF19" s="13"/>
      <c r="KKG19" s="13"/>
      <c r="KKH19" s="13"/>
      <c r="KKI19" s="13"/>
      <c r="KKJ19" s="13"/>
      <c r="KKK19" s="13"/>
      <c r="KKL19" s="13"/>
      <c r="KKM19" s="13"/>
      <c r="KKN19" s="13"/>
      <c r="KKO19" s="13"/>
      <c r="KKP19" s="13"/>
      <c r="KKQ19" s="13"/>
      <c r="KKR19" s="13"/>
      <c r="KKS19" s="13"/>
      <c r="KKT19" s="13"/>
      <c r="KKU19" s="13"/>
      <c r="KKV19" s="13"/>
      <c r="KKW19" s="13"/>
      <c r="KKX19" s="13"/>
      <c r="KKY19" s="13"/>
      <c r="KKZ19" s="13"/>
      <c r="KLA19" s="13"/>
      <c r="KLB19" s="13"/>
      <c r="KLC19" s="13"/>
      <c r="KLD19" s="13"/>
      <c r="KLE19" s="13"/>
      <c r="KLF19" s="13"/>
      <c r="KLG19" s="13"/>
      <c r="KLH19" s="13"/>
      <c r="KLI19" s="13"/>
      <c r="KLJ19" s="13"/>
      <c r="KLK19" s="13"/>
      <c r="KLL19" s="13"/>
      <c r="KLM19" s="13"/>
      <c r="KLN19" s="13"/>
      <c r="KLO19" s="13"/>
      <c r="KLP19" s="13"/>
      <c r="KLQ19" s="13"/>
      <c r="KLR19" s="13"/>
      <c r="KLS19" s="13"/>
      <c r="KLT19" s="13"/>
      <c r="KLU19" s="13"/>
      <c r="KLV19" s="13"/>
      <c r="KLW19" s="13"/>
      <c r="KLX19" s="13"/>
      <c r="KLY19" s="13"/>
      <c r="KLZ19" s="13"/>
      <c r="KMA19" s="13"/>
      <c r="KMB19" s="13"/>
      <c r="KMC19" s="13"/>
      <c r="KMD19" s="13"/>
      <c r="KME19" s="13"/>
      <c r="KMF19" s="13"/>
      <c r="KMG19" s="13"/>
      <c r="KMH19" s="13"/>
      <c r="KMI19" s="13"/>
      <c r="KMJ19" s="13"/>
      <c r="KMK19" s="13"/>
      <c r="KML19" s="13"/>
      <c r="KMM19" s="13"/>
      <c r="KMN19" s="13"/>
      <c r="KMO19" s="13"/>
      <c r="KMP19" s="13"/>
      <c r="KMQ19" s="13"/>
      <c r="KMR19" s="13"/>
      <c r="KMS19" s="13"/>
      <c r="KMT19" s="13"/>
      <c r="KMU19" s="13"/>
      <c r="KMV19" s="13"/>
      <c r="KMW19" s="13"/>
      <c r="KMX19" s="13"/>
      <c r="KMY19" s="13"/>
      <c r="KMZ19" s="13"/>
      <c r="KNA19" s="13"/>
      <c r="KNB19" s="13"/>
      <c r="KNC19" s="13"/>
      <c r="KND19" s="13"/>
      <c r="KNE19" s="13"/>
      <c r="KNF19" s="13"/>
      <c r="KNG19" s="13"/>
      <c r="KNH19" s="13"/>
      <c r="KNI19" s="13"/>
      <c r="KNJ19" s="13"/>
      <c r="KNK19" s="13"/>
      <c r="KNL19" s="13"/>
      <c r="KNM19" s="13"/>
      <c r="KNN19" s="13"/>
      <c r="KNO19" s="13"/>
      <c r="KNP19" s="13"/>
      <c r="KNQ19" s="13"/>
      <c r="KNR19" s="13"/>
      <c r="KNS19" s="13"/>
      <c r="KNT19" s="13"/>
      <c r="KNU19" s="13"/>
      <c r="KNV19" s="13"/>
      <c r="KNW19" s="13"/>
      <c r="KNX19" s="13"/>
      <c r="KNY19" s="13"/>
      <c r="KNZ19" s="13"/>
      <c r="KOA19" s="13"/>
      <c r="KOB19" s="13"/>
      <c r="KOC19" s="13"/>
      <c r="KOD19" s="13"/>
      <c r="KOE19" s="13"/>
      <c r="KOF19" s="13"/>
      <c r="KOG19" s="13"/>
      <c r="KOH19" s="13"/>
      <c r="KOI19" s="13"/>
      <c r="KOJ19" s="13"/>
      <c r="KOK19" s="13"/>
      <c r="KOL19" s="13"/>
      <c r="KOM19" s="13"/>
      <c r="KON19" s="13"/>
      <c r="KOO19" s="13"/>
      <c r="KOP19" s="13"/>
      <c r="KOQ19" s="13"/>
      <c r="KOR19" s="13"/>
      <c r="KOS19" s="13"/>
      <c r="KOT19" s="13"/>
      <c r="KOU19" s="13"/>
      <c r="KOV19" s="13"/>
      <c r="KOW19" s="13"/>
      <c r="KOX19" s="13"/>
      <c r="KOY19" s="13"/>
      <c r="KOZ19" s="13"/>
      <c r="KPA19" s="13"/>
      <c r="KPB19" s="13"/>
      <c r="KPC19" s="13"/>
      <c r="KPD19" s="13"/>
      <c r="KPE19" s="13"/>
      <c r="KPF19" s="13"/>
      <c r="KPG19" s="13"/>
      <c r="KPH19" s="13"/>
      <c r="KPI19" s="13"/>
      <c r="KPJ19" s="13"/>
      <c r="KPK19" s="13"/>
      <c r="KPL19" s="13"/>
      <c r="KPM19" s="13"/>
      <c r="KPN19" s="13"/>
      <c r="KPO19" s="13"/>
      <c r="KPP19" s="13"/>
      <c r="KPQ19" s="13"/>
      <c r="KPR19" s="13"/>
      <c r="KPS19" s="13"/>
      <c r="KPT19" s="13"/>
      <c r="KPU19" s="13"/>
      <c r="KPV19" s="13"/>
      <c r="KPW19" s="13"/>
      <c r="KPX19" s="13"/>
      <c r="KPY19" s="13"/>
      <c r="KPZ19" s="13"/>
      <c r="KQA19" s="13"/>
      <c r="KQB19" s="13"/>
      <c r="KQC19" s="13"/>
      <c r="KQD19" s="13"/>
      <c r="KQE19" s="13"/>
      <c r="KQF19" s="13"/>
      <c r="KQG19" s="13"/>
      <c r="KQH19" s="13"/>
      <c r="KQI19" s="13"/>
      <c r="KQJ19" s="13"/>
      <c r="KQK19" s="13"/>
      <c r="KQL19" s="13"/>
      <c r="KQM19" s="13"/>
      <c r="KQN19" s="13"/>
      <c r="KQO19" s="13"/>
      <c r="KQP19" s="13"/>
      <c r="KQQ19" s="13"/>
      <c r="KQR19" s="13"/>
      <c r="KQS19" s="13"/>
      <c r="KQT19" s="13"/>
      <c r="KQU19" s="13"/>
      <c r="KQV19" s="13"/>
      <c r="KQW19" s="13"/>
      <c r="KQX19" s="13"/>
      <c r="KQY19" s="13"/>
      <c r="KQZ19" s="13"/>
      <c r="KRA19" s="13"/>
      <c r="KRB19" s="13"/>
      <c r="KRC19" s="13"/>
      <c r="KRD19" s="13"/>
      <c r="KRE19" s="13"/>
      <c r="KRF19" s="13"/>
      <c r="KRG19" s="13"/>
      <c r="KRH19" s="13"/>
      <c r="KRI19" s="13"/>
      <c r="KRJ19" s="13"/>
      <c r="KRK19" s="13"/>
      <c r="KRL19" s="13"/>
      <c r="KRM19" s="13"/>
      <c r="KRN19" s="13"/>
      <c r="KRO19" s="13"/>
      <c r="KRP19" s="13"/>
      <c r="KRQ19" s="13"/>
      <c r="KRR19" s="13"/>
      <c r="KRS19" s="13"/>
      <c r="KRT19" s="13"/>
      <c r="KRU19" s="13"/>
      <c r="KRV19" s="13"/>
      <c r="KRW19" s="13"/>
      <c r="KRX19" s="13"/>
      <c r="KRY19" s="13"/>
      <c r="KRZ19" s="13"/>
      <c r="KSA19" s="13"/>
      <c r="KSB19" s="13"/>
      <c r="KSC19" s="13"/>
      <c r="KSD19" s="13"/>
      <c r="KSE19" s="13"/>
      <c r="KSF19" s="13"/>
      <c r="KSG19" s="13"/>
      <c r="KSH19" s="13"/>
      <c r="KSI19" s="13"/>
      <c r="KSJ19" s="13"/>
      <c r="KSK19" s="13"/>
      <c r="KSL19" s="13"/>
      <c r="KSM19" s="13"/>
      <c r="KSN19" s="13"/>
      <c r="KSO19" s="13"/>
      <c r="KSP19" s="13"/>
      <c r="KSQ19" s="13"/>
      <c r="KSR19" s="13"/>
      <c r="KSS19" s="13"/>
      <c r="KST19" s="13"/>
      <c r="KSU19" s="13"/>
      <c r="KSV19" s="13"/>
      <c r="KSW19" s="13"/>
      <c r="KSX19" s="13"/>
      <c r="KSY19" s="13"/>
      <c r="KSZ19" s="13"/>
      <c r="KTA19" s="13"/>
      <c r="KTB19" s="13"/>
      <c r="KTC19" s="13"/>
      <c r="KTD19" s="13"/>
      <c r="KTE19" s="13"/>
      <c r="KTF19" s="13"/>
      <c r="KTG19" s="13"/>
      <c r="KTH19" s="13"/>
      <c r="KTI19" s="13"/>
      <c r="KTJ19" s="13"/>
      <c r="KTK19" s="13"/>
      <c r="KTL19" s="13"/>
      <c r="KTM19" s="13"/>
      <c r="KTN19" s="13"/>
      <c r="KTO19" s="13"/>
      <c r="KTP19" s="13"/>
      <c r="KTQ19" s="13"/>
      <c r="KTR19" s="13"/>
      <c r="KTS19" s="13"/>
      <c r="KTT19" s="13"/>
      <c r="KTU19" s="13"/>
      <c r="KTV19" s="13"/>
      <c r="KTW19" s="13"/>
      <c r="KTX19" s="13"/>
      <c r="KTY19" s="13"/>
      <c r="KTZ19" s="13"/>
      <c r="KUA19" s="13"/>
      <c r="KUB19" s="13"/>
      <c r="KUC19" s="13"/>
      <c r="KUD19" s="13"/>
      <c r="KUE19" s="13"/>
      <c r="KUF19" s="13"/>
      <c r="KUG19" s="13"/>
      <c r="KUH19" s="13"/>
      <c r="KUI19" s="13"/>
      <c r="KUJ19" s="13"/>
      <c r="KUK19" s="13"/>
      <c r="KUL19" s="13"/>
      <c r="KUM19" s="13"/>
      <c r="KUN19" s="13"/>
      <c r="KUO19" s="13"/>
      <c r="KUP19" s="13"/>
      <c r="KUQ19" s="13"/>
      <c r="KUR19" s="13"/>
      <c r="KUS19" s="13"/>
      <c r="KUT19" s="13"/>
      <c r="KUU19" s="13"/>
      <c r="KUV19" s="13"/>
      <c r="KUW19" s="13"/>
      <c r="KUX19" s="13"/>
      <c r="KUY19" s="13"/>
      <c r="KUZ19" s="13"/>
      <c r="KVA19" s="13"/>
      <c r="KVB19" s="13"/>
      <c r="KVC19" s="13"/>
      <c r="KVD19" s="13"/>
      <c r="KVE19" s="13"/>
      <c r="KVF19" s="13"/>
      <c r="KVG19" s="13"/>
      <c r="KVH19" s="13"/>
      <c r="KVI19" s="13"/>
      <c r="KVJ19" s="13"/>
      <c r="KVK19" s="13"/>
      <c r="KVL19" s="13"/>
      <c r="KVM19" s="13"/>
      <c r="KVN19" s="13"/>
      <c r="KVO19" s="13"/>
      <c r="KVP19" s="13"/>
      <c r="KVQ19" s="13"/>
      <c r="KVR19" s="13"/>
      <c r="KVS19" s="13"/>
      <c r="KVT19" s="13"/>
      <c r="KVU19" s="13"/>
      <c r="KVV19" s="13"/>
      <c r="KVW19" s="13"/>
      <c r="KVX19" s="13"/>
      <c r="KVY19" s="13"/>
      <c r="KVZ19" s="13"/>
      <c r="KWA19" s="13"/>
      <c r="KWB19" s="13"/>
      <c r="KWC19" s="13"/>
      <c r="KWD19" s="13"/>
      <c r="KWE19" s="13"/>
      <c r="KWF19" s="13"/>
      <c r="KWG19" s="13"/>
      <c r="KWH19" s="13"/>
      <c r="KWI19" s="13"/>
      <c r="KWJ19" s="13"/>
      <c r="KWK19" s="13"/>
      <c r="KWL19" s="13"/>
      <c r="KWM19" s="13"/>
      <c r="KWN19" s="13"/>
      <c r="KWO19" s="13"/>
      <c r="KWP19" s="13"/>
      <c r="KWQ19" s="13"/>
      <c r="KWR19" s="13"/>
      <c r="KWS19" s="13"/>
      <c r="KWT19" s="13"/>
      <c r="KWU19" s="13"/>
      <c r="KWV19" s="13"/>
      <c r="KWW19" s="13"/>
      <c r="KWX19" s="13"/>
      <c r="KWY19" s="13"/>
      <c r="KWZ19" s="13"/>
      <c r="KXA19" s="13"/>
      <c r="KXB19" s="13"/>
      <c r="KXC19" s="13"/>
      <c r="KXD19" s="13"/>
      <c r="KXE19" s="13"/>
      <c r="KXF19" s="13"/>
      <c r="KXG19" s="13"/>
      <c r="KXH19" s="13"/>
      <c r="KXI19" s="13"/>
      <c r="KXJ19" s="13"/>
      <c r="KXK19" s="13"/>
      <c r="KXL19" s="13"/>
      <c r="KXM19" s="13"/>
      <c r="KXN19" s="13"/>
      <c r="KXO19" s="13"/>
      <c r="KXP19" s="13"/>
      <c r="KXQ19" s="13"/>
      <c r="KXR19" s="13"/>
      <c r="KXS19" s="13"/>
      <c r="KXT19" s="13"/>
      <c r="KXU19" s="13"/>
      <c r="KXV19" s="13"/>
      <c r="KXW19" s="13"/>
      <c r="KXX19" s="13"/>
      <c r="KXY19" s="13"/>
      <c r="KXZ19" s="13"/>
      <c r="KYA19" s="13"/>
      <c r="KYB19" s="13"/>
      <c r="KYC19" s="13"/>
      <c r="KYD19" s="13"/>
      <c r="KYE19" s="13"/>
      <c r="KYF19" s="13"/>
      <c r="KYG19" s="13"/>
      <c r="KYH19" s="13"/>
      <c r="KYI19" s="13"/>
      <c r="KYJ19" s="13"/>
      <c r="KYK19" s="13"/>
      <c r="KYL19" s="13"/>
      <c r="KYM19" s="13"/>
      <c r="KYN19" s="13"/>
      <c r="KYO19" s="13"/>
      <c r="KYP19" s="13"/>
      <c r="KYQ19" s="13"/>
      <c r="KYR19" s="13"/>
      <c r="KYS19" s="13"/>
      <c r="KYT19" s="13"/>
      <c r="KYU19" s="13"/>
      <c r="KYV19" s="13"/>
      <c r="KYW19" s="13"/>
      <c r="KYX19" s="13"/>
      <c r="KYY19" s="13"/>
      <c r="KYZ19" s="13"/>
      <c r="KZA19" s="13"/>
      <c r="KZB19" s="13"/>
      <c r="KZC19" s="13"/>
      <c r="KZD19" s="13"/>
      <c r="KZE19" s="13"/>
      <c r="KZF19" s="13"/>
      <c r="KZG19" s="13"/>
      <c r="KZH19" s="13"/>
      <c r="KZI19" s="13"/>
      <c r="KZJ19" s="13"/>
      <c r="KZK19" s="13"/>
      <c r="KZL19" s="13"/>
      <c r="KZM19" s="13"/>
      <c r="KZN19" s="13"/>
      <c r="KZO19" s="13"/>
      <c r="KZP19" s="13"/>
      <c r="KZQ19" s="13"/>
      <c r="KZR19" s="13"/>
      <c r="KZS19" s="13"/>
      <c r="KZT19" s="13"/>
      <c r="KZU19" s="13"/>
      <c r="KZV19" s="13"/>
      <c r="KZW19" s="13"/>
      <c r="KZX19" s="13"/>
      <c r="KZY19" s="13"/>
      <c r="KZZ19" s="13"/>
      <c r="LAA19" s="13"/>
      <c r="LAB19" s="13"/>
      <c r="LAC19" s="13"/>
      <c r="LAD19" s="13"/>
      <c r="LAE19" s="13"/>
      <c r="LAF19" s="13"/>
      <c r="LAG19" s="13"/>
      <c r="LAH19" s="13"/>
      <c r="LAI19" s="13"/>
      <c r="LAJ19" s="13"/>
      <c r="LAK19" s="13"/>
      <c r="LAL19" s="13"/>
      <c r="LAM19" s="13"/>
      <c r="LAN19" s="13"/>
      <c r="LAO19" s="13"/>
      <c r="LAP19" s="13"/>
      <c r="LAQ19" s="13"/>
      <c r="LAR19" s="13"/>
      <c r="LAS19" s="13"/>
      <c r="LAT19" s="13"/>
      <c r="LAU19" s="13"/>
      <c r="LAV19" s="13"/>
      <c r="LAW19" s="13"/>
      <c r="LAX19" s="13"/>
      <c r="LAY19" s="13"/>
      <c r="LAZ19" s="13"/>
      <c r="LBA19" s="13"/>
      <c r="LBB19" s="13"/>
      <c r="LBC19" s="13"/>
      <c r="LBD19" s="13"/>
      <c r="LBE19" s="13"/>
      <c r="LBF19" s="13"/>
      <c r="LBG19" s="13"/>
      <c r="LBH19" s="13"/>
      <c r="LBI19" s="13"/>
      <c r="LBJ19" s="13"/>
      <c r="LBK19" s="13"/>
      <c r="LBL19" s="13"/>
      <c r="LBM19" s="13"/>
      <c r="LBN19" s="13"/>
      <c r="LBO19" s="13"/>
      <c r="LBP19" s="13"/>
      <c r="LBQ19" s="13"/>
      <c r="LBR19" s="13"/>
      <c r="LBS19" s="13"/>
      <c r="LBT19" s="13"/>
      <c r="LBU19" s="13"/>
      <c r="LBV19" s="13"/>
      <c r="LBW19" s="13"/>
      <c r="LBX19" s="13"/>
      <c r="LBY19" s="13"/>
      <c r="LBZ19" s="13"/>
      <c r="LCA19" s="13"/>
      <c r="LCB19" s="13"/>
      <c r="LCC19" s="13"/>
      <c r="LCD19" s="13"/>
      <c r="LCE19" s="13"/>
      <c r="LCF19" s="13"/>
      <c r="LCG19" s="13"/>
      <c r="LCH19" s="13"/>
      <c r="LCI19" s="13"/>
      <c r="LCJ19" s="13"/>
      <c r="LCK19" s="13"/>
      <c r="LCL19" s="13"/>
      <c r="LCM19" s="13"/>
      <c r="LCN19" s="13"/>
      <c r="LCO19" s="13"/>
      <c r="LCP19" s="13"/>
      <c r="LCQ19" s="13"/>
      <c r="LCR19" s="13"/>
      <c r="LCS19" s="13"/>
      <c r="LCT19" s="13"/>
      <c r="LCU19" s="13"/>
      <c r="LCV19" s="13"/>
      <c r="LCW19" s="13"/>
      <c r="LCX19" s="13"/>
      <c r="LCY19" s="13"/>
      <c r="LCZ19" s="13"/>
      <c r="LDA19" s="13"/>
      <c r="LDB19" s="13"/>
      <c r="LDC19" s="13"/>
      <c r="LDD19" s="13"/>
      <c r="LDE19" s="13"/>
      <c r="LDF19" s="13"/>
      <c r="LDG19" s="13"/>
      <c r="LDH19" s="13"/>
      <c r="LDI19" s="13"/>
      <c r="LDJ19" s="13"/>
      <c r="LDK19" s="13"/>
      <c r="LDL19" s="13"/>
      <c r="LDM19" s="13"/>
      <c r="LDN19" s="13"/>
      <c r="LDO19" s="13"/>
      <c r="LDP19" s="13"/>
      <c r="LDQ19" s="13"/>
      <c r="LDR19" s="13"/>
      <c r="LDS19" s="13"/>
      <c r="LDT19" s="13"/>
      <c r="LDU19" s="13"/>
      <c r="LDV19" s="13"/>
      <c r="LDW19" s="13"/>
      <c r="LDX19" s="13"/>
      <c r="LDY19" s="13"/>
      <c r="LDZ19" s="13"/>
      <c r="LEA19" s="13"/>
      <c r="LEB19" s="13"/>
      <c r="LEC19" s="13"/>
      <c r="LED19" s="13"/>
      <c r="LEE19" s="13"/>
      <c r="LEF19" s="13"/>
      <c r="LEG19" s="13"/>
      <c r="LEH19" s="13"/>
      <c r="LEI19" s="13"/>
      <c r="LEJ19" s="13"/>
      <c r="LEK19" s="13"/>
      <c r="LEL19" s="13"/>
      <c r="LEM19" s="13"/>
      <c r="LEN19" s="13"/>
      <c r="LEO19" s="13"/>
      <c r="LEP19" s="13"/>
      <c r="LEQ19" s="13"/>
      <c r="LER19" s="13"/>
      <c r="LES19" s="13"/>
      <c r="LET19" s="13"/>
      <c r="LEU19" s="13"/>
      <c r="LEV19" s="13"/>
      <c r="LEW19" s="13"/>
      <c r="LEX19" s="13"/>
      <c r="LEY19" s="13"/>
      <c r="LEZ19" s="13"/>
      <c r="LFA19" s="13"/>
      <c r="LFB19" s="13"/>
      <c r="LFC19" s="13"/>
      <c r="LFD19" s="13"/>
      <c r="LFE19" s="13"/>
      <c r="LFF19" s="13"/>
      <c r="LFG19" s="13"/>
      <c r="LFH19" s="13"/>
      <c r="LFI19" s="13"/>
      <c r="LFJ19" s="13"/>
      <c r="LFK19" s="13"/>
      <c r="LFL19" s="13"/>
      <c r="LFM19" s="13"/>
      <c r="LFN19" s="13"/>
      <c r="LFO19" s="13"/>
      <c r="LFP19" s="13"/>
      <c r="LFQ19" s="13"/>
      <c r="LFR19" s="13"/>
      <c r="LFS19" s="13"/>
      <c r="LFT19" s="13"/>
      <c r="LFU19" s="13"/>
      <c r="LFV19" s="13"/>
      <c r="LFW19" s="13"/>
      <c r="LFX19" s="13"/>
      <c r="LFY19" s="13"/>
      <c r="LFZ19" s="13"/>
      <c r="LGA19" s="13"/>
      <c r="LGB19" s="13"/>
      <c r="LGC19" s="13"/>
      <c r="LGD19" s="13"/>
      <c r="LGE19" s="13"/>
      <c r="LGF19" s="13"/>
      <c r="LGG19" s="13"/>
      <c r="LGH19" s="13"/>
      <c r="LGI19" s="13"/>
      <c r="LGJ19" s="13"/>
      <c r="LGK19" s="13"/>
      <c r="LGL19" s="13"/>
      <c r="LGM19" s="13"/>
      <c r="LGN19" s="13"/>
      <c r="LGO19" s="13"/>
      <c r="LGP19" s="13"/>
      <c r="LGQ19" s="13"/>
      <c r="LGR19" s="13"/>
      <c r="LGS19" s="13"/>
      <c r="LGT19" s="13"/>
      <c r="LGU19" s="13"/>
      <c r="LGV19" s="13"/>
      <c r="LGW19" s="13"/>
      <c r="LGX19" s="13"/>
      <c r="LGY19" s="13"/>
      <c r="LGZ19" s="13"/>
      <c r="LHA19" s="13"/>
      <c r="LHB19" s="13"/>
      <c r="LHC19" s="13"/>
      <c r="LHD19" s="13"/>
      <c r="LHE19" s="13"/>
      <c r="LHF19" s="13"/>
      <c r="LHG19" s="13"/>
      <c r="LHH19" s="13"/>
      <c r="LHI19" s="13"/>
      <c r="LHJ19" s="13"/>
      <c r="LHK19" s="13"/>
      <c r="LHL19" s="13"/>
      <c r="LHM19" s="13"/>
      <c r="LHN19" s="13"/>
      <c r="LHO19" s="13"/>
      <c r="LHP19" s="13"/>
      <c r="LHQ19" s="13"/>
      <c r="LHR19" s="13"/>
      <c r="LHS19" s="13"/>
      <c r="LHT19" s="13"/>
      <c r="LHU19" s="13"/>
      <c r="LHV19" s="13"/>
      <c r="LHW19" s="13"/>
      <c r="LHX19" s="13"/>
      <c r="LHY19" s="13"/>
      <c r="LHZ19" s="13"/>
      <c r="LIA19" s="13"/>
      <c r="LIB19" s="13"/>
      <c r="LIC19" s="13"/>
      <c r="LID19" s="13"/>
      <c r="LIE19" s="13"/>
      <c r="LIF19" s="13"/>
      <c r="LIG19" s="13"/>
      <c r="LIH19" s="13"/>
      <c r="LII19" s="13"/>
      <c r="LIJ19" s="13"/>
      <c r="LIK19" s="13"/>
      <c r="LIL19" s="13"/>
      <c r="LIM19" s="13"/>
      <c r="LIN19" s="13"/>
      <c r="LIO19" s="13"/>
      <c r="LIP19" s="13"/>
      <c r="LIQ19" s="13"/>
      <c r="LIR19" s="13"/>
      <c r="LIS19" s="13"/>
      <c r="LIT19" s="13"/>
      <c r="LIU19" s="13"/>
      <c r="LIV19" s="13"/>
      <c r="LIW19" s="13"/>
      <c r="LIX19" s="13"/>
      <c r="LIY19" s="13"/>
      <c r="LIZ19" s="13"/>
      <c r="LJA19" s="13"/>
      <c r="LJB19" s="13"/>
      <c r="LJC19" s="13"/>
      <c r="LJD19" s="13"/>
      <c r="LJE19" s="13"/>
      <c r="LJF19" s="13"/>
      <c r="LJG19" s="13"/>
      <c r="LJH19" s="13"/>
      <c r="LJI19" s="13"/>
      <c r="LJJ19" s="13"/>
      <c r="LJK19" s="13"/>
      <c r="LJL19" s="13"/>
      <c r="LJM19" s="13"/>
      <c r="LJN19" s="13"/>
      <c r="LJO19" s="13"/>
      <c r="LJP19" s="13"/>
      <c r="LJQ19" s="13"/>
      <c r="LJR19" s="13"/>
      <c r="LJS19" s="13"/>
      <c r="LJT19" s="13"/>
      <c r="LJU19" s="13"/>
      <c r="LJV19" s="13"/>
      <c r="LJW19" s="13"/>
      <c r="LJX19" s="13"/>
      <c r="LJY19" s="13"/>
      <c r="LJZ19" s="13"/>
      <c r="LKA19" s="13"/>
      <c r="LKB19" s="13"/>
      <c r="LKC19" s="13"/>
      <c r="LKD19" s="13"/>
      <c r="LKE19" s="13"/>
      <c r="LKF19" s="13"/>
      <c r="LKG19" s="13"/>
      <c r="LKH19" s="13"/>
      <c r="LKI19" s="13"/>
      <c r="LKJ19" s="13"/>
      <c r="LKK19" s="13"/>
      <c r="LKL19" s="13"/>
      <c r="LKM19" s="13"/>
      <c r="LKN19" s="13"/>
      <c r="LKO19" s="13"/>
      <c r="LKP19" s="13"/>
      <c r="LKQ19" s="13"/>
      <c r="LKR19" s="13"/>
      <c r="LKS19" s="13"/>
      <c r="LKT19" s="13"/>
      <c r="LKU19" s="13"/>
      <c r="LKV19" s="13"/>
      <c r="LKW19" s="13"/>
      <c r="LKX19" s="13"/>
      <c r="LKY19" s="13"/>
      <c r="LKZ19" s="13"/>
      <c r="LLA19" s="13"/>
      <c r="LLB19" s="13"/>
      <c r="LLC19" s="13"/>
      <c r="LLD19" s="13"/>
      <c r="LLE19" s="13"/>
      <c r="LLF19" s="13"/>
      <c r="LLG19" s="13"/>
      <c r="LLH19" s="13"/>
      <c r="LLI19" s="13"/>
      <c r="LLJ19" s="13"/>
      <c r="LLK19" s="13"/>
      <c r="LLL19" s="13"/>
      <c r="LLM19" s="13"/>
      <c r="LLN19" s="13"/>
      <c r="LLO19" s="13"/>
      <c r="LLP19" s="13"/>
      <c r="LLQ19" s="13"/>
      <c r="LLR19" s="13"/>
      <c r="LLS19" s="13"/>
      <c r="LLT19" s="13"/>
      <c r="LLU19" s="13"/>
      <c r="LLV19" s="13"/>
      <c r="LLW19" s="13"/>
      <c r="LLX19" s="13"/>
      <c r="LLY19" s="13"/>
      <c r="LLZ19" s="13"/>
      <c r="LMA19" s="13"/>
      <c r="LMB19" s="13"/>
      <c r="LMC19" s="13"/>
      <c r="LMD19" s="13"/>
      <c r="LME19" s="13"/>
      <c r="LMF19" s="13"/>
      <c r="LMG19" s="13"/>
      <c r="LMH19" s="13"/>
      <c r="LMI19" s="13"/>
      <c r="LMJ19" s="13"/>
      <c r="LMK19" s="13"/>
      <c r="LML19" s="13"/>
      <c r="LMM19" s="13"/>
      <c r="LMN19" s="13"/>
      <c r="LMO19" s="13"/>
      <c r="LMP19" s="13"/>
      <c r="LMQ19" s="13"/>
      <c r="LMR19" s="13"/>
      <c r="LMS19" s="13"/>
      <c r="LMT19" s="13"/>
      <c r="LMU19" s="13"/>
      <c r="LMV19" s="13"/>
      <c r="LMW19" s="13"/>
      <c r="LMX19" s="13"/>
      <c r="LMY19" s="13"/>
      <c r="LMZ19" s="13"/>
      <c r="LNA19" s="13"/>
      <c r="LNB19" s="13"/>
      <c r="LNC19" s="13"/>
      <c r="LND19" s="13"/>
      <c r="LNE19" s="13"/>
      <c r="LNF19" s="13"/>
      <c r="LNG19" s="13"/>
      <c r="LNH19" s="13"/>
      <c r="LNI19" s="13"/>
      <c r="LNJ19" s="13"/>
      <c r="LNK19" s="13"/>
      <c r="LNL19" s="13"/>
      <c r="LNM19" s="13"/>
      <c r="LNN19" s="13"/>
      <c r="LNO19" s="13"/>
      <c r="LNP19" s="13"/>
      <c r="LNQ19" s="13"/>
      <c r="LNR19" s="13"/>
      <c r="LNS19" s="13"/>
      <c r="LNT19" s="13"/>
      <c r="LNU19" s="13"/>
      <c r="LNV19" s="13"/>
      <c r="LNW19" s="13"/>
      <c r="LNX19" s="13"/>
      <c r="LNY19" s="13"/>
      <c r="LNZ19" s="13"/>
      <c r="LOA19" s="13"/>
      <c r="LOB19" s="13"/>
      <c r="LOC19" s="13"/>
      <c r="LOD19" s="13"/>
      <c r="LOE19" s="13"/>
      <c r="LOF19" s="13"/>
      <c r="LOG19" s="13"/>
      <c r="LOH19" s="13"/>
      <c r="LOI19" s="13"/>
      <c r="LOJ19" s="13"/>
      <c r="LOK19" s="13"/>
      <c r="LOL19" s="13"/>
      <c r="LOM19" s="13"/>
      <c r="LON19" s="13"/>
      <c r="LOO19" s="13"/>
      <c r="LOP19" s="13"/>
      <c r="LOQ19" s="13"/>
      <c r="LOR19" s="13"/>
      <c r="LOS19" s="13"/>
      <c r="LOT19" s="13"/>
      <c r="LOU19" s="13"/>
      <c r="LOV19" s="13"/>
      <c r="LOW19" s="13"/>
      <c r="LOX19" s="13"/>
      <c r="LOY19" s="13"/>
      <c r="LOZ19" s="13"/>
      <c r="LPA19" s="13"/>
      <c r="LPB19" s="13"/>
      <c r="LPC19" s="13"/>
      <c r="LPD19" s="13"/>
      <c r="LPE19" s="13"/>
      <c r="LPF19" s="13"/>
      <c r="LPG19" s="13"/>
      <c r="LPH19" s="13"/>
      <c r="LPI19" s="13"/>
      <c r="LPJ19" s="13"/>
      <c r="LPK19" s="13"/>
      <c r="LPL19" s="13"/>
      <c r="LPM19" s="13"/>
      <c r="LPN19" s="13"/>
      <c r="LPO19" s="13"/>
      <c r="LPP19" s="13"/>
      <c r="LPQ19" s="13"/>
      <c r="LPR19" s="13"/>
      <c r="LPS19" s="13"/>
      <c r="LPT19" s="13"/>
      <c r="LPU19" s="13"/>
      <c r="LPV19" s="13"/>
      <c r="LPW19" s="13"/>
      <c r="LPX19" s="13"/>
      <c r="LPY19" s="13"/>
      <c r="LPZ19" s="13"/>
      <c r="LQA19" s="13"/>
      <c r="LQB19" s="13"/>
      <c r="LQC19" s="13"/>
      <c r="LQD19" s="13"/>
      <c r="LQE19" s="13"/>
      <c r="LQF19" s="13"/>
      <c r="LQG19" s="13"/>
      <c r="LQH19" s="13"/>
      <c r="LQI19" s="13"/>
      <c r="LQJ19" s="13"/>
      <c r="LQK19" s="13"/>
      <c r="LQL19" s="13"/>
      <c r="LQM19" s="13"/>
      <c r="LQN19" s="13"/>
      <c r="LQO19" s="13"/>
      <c r="LQP19" s="13"/>
      <c r="LQQ19" s="13"/>
      <c r="LQR19" s="13"/>
      <c r="LQS19" s="13"/>
      <c r="LQT19" s="13"/>
      <c r="LQU19" s="13"/>
      <c r="LQV19" s="13"/>
      <c r="LQW19" s="13"/>
      <c r="LQX19" s="13"/>
      <c r="LQY19" s="13"/>
      <c r="LQZ19" s="13"/>
      <c r="LRA19" s="13"/>
      <c r="LRB19" s="13"/>
      <c r="LRC19" s="13"/>
      <c r="LRD19" s="13"/>
      <c r="LRE19" s="13"/>
      <c r="LRF19" s="13"/>
      <c r="LRG19" s="13"/>
      <c r="LRH19" s="13"/>
      <c r="LRI19" s="13"/>
      <c r="LRJ19" s="13"/>
      <c r="LRK19" s="13"/>
      <c r="LRL19" s="13"/>
      <c r="LRM19" s="13"/>
      <c r="LRN19" s="13"/>
      <c r="LRO19" s="13"/>
      <c r="LRP19" s="13"/>
      <c r="LRQ19" s="13"/>
      <c r="LRR19" s="13"/>
      <c r="LRS19" s="13"/>
      <c r="LRT19" s="13"/>
      <c r="LRU19" s="13"/>
      <c r="LRV19" s="13"/>
      <c r="LRW19" s="13"/>
      <c r="LRX19" s="13"/>
      <c r="LRY19" s="13"/>
      <c r="LRZ19" s="13"/>
      <c r="LSA19" s="13"/>
      <c r="LSB19" s="13"/>
      <c r="LSC19" s="13"/>
      <c r="LSD19" s="13"/>
      <c r="LSE19" s="13"/>
      <c r="LSF19" s="13"/>
      <c r="LSG19" s="13"/>
      <c r="LSH19" s="13"/>
      <c r="LSI19" s="13"/>
      <c r="LSJ19" s="13"/>
      <c r="LSK19" s="13"/>
      <c r="LSL19" s="13"/>
      <c r="LSM19" s="13"/>
      <c r="LSN19" s="13"/>
      <c r="LSO19" s="13"/>
      <c r="LSP19" s="13"/>
      <c r="LSQ19" s="13"/>
      <c r="LSR19" s="13"/>
      <c r="LSS19" s="13"/>
      <c r="LST19" s="13"/>
      <c r="LSU19" s="13"/>
      <c r="LSV19" s="13"/>
      <c r="LSW19" s="13"/>
      <c r="LSX19" s="13"/>
      <c r="LSY19" s="13"/>
      <c r="LSZ19" s="13"/>
      <c r="LTA19" s="13"/>
      <c r="LTB19" s="13"/>
      <c r="LTC19" s="13"/>
      <c r="LTD19" s="13"/>
      <c r="LTE19" s="13"/>
      <c r="LTF19" s="13"/>
      <c r="LTG19" s="13"/>
      <c r="LTH19" s="13"/>
      <c r="LTI19" s="13"/>
      <c r="LTJ19" s="13"/>
      <c r="LTK19" s="13"/>
      <c r="LTL19" s="13"/>
      <c r="LTM19" s="13"/>
      <c r="LTN19" s="13"/>
      <c r="LTO19" s="13"/>
      <c r="LTP19" s="13"/>
      <c r="LTQ19" s="13"/>
      <c r="LTR19" s="13"/>
      <c r="LTS19" s="13"/>
      <c r="LTT19" s="13"/>
      <c r="LTU19" s="13"/>
      <c r="LTV19" s="13"/>
      <c r="LTW19" s="13"/>
      <c r="LTX19" s="13"/>
      <c r="LTY19" s="13"/>
      <c r="LTZ19" s="13"/>
      <c r="LUA19" s="13"/>
      <c r="LUB19" s="13"/>
      <c r="LUC19" s="13"/>
      <c r="LUD19" s="13"/>
      <c r="LUE19" s="13"/>
      <c r="LUF19" s="13"/>
      <c r="LUG19" s="13"/>
      <c r="LUH19" s="13"/>
      <c r="LUI19" s="13"/>
      <c r="LUJ19" s="13"/>
      <c r="LUK19" s="13"/>
      <c r="LUL19" s="13"/>
      <c r="LUM19" s="13"/>
      <c r="LUN19" s="13"/>
      <c r="LUO19" s="13"/>
      <c r="LUP19" s="13"/>
      <c r="LUQ19" s="13"/>
      <c r="LUR19" s="13"/>
      <c r="LUS19" s="13"/>
      <c r="LUT19" s="13"/>
      <c r="LUU19" s="13"/>
      <c r="LUV19" s="13"/>
      <c r="LUW19" s="13"/>
      <c r="LUX19" s="13"/>
      <c r="LUY19" s="13"/>
      <c r="LUZ19" s="13"/>
      <c r="LVA19" s="13"/>
      <c r="LVB19" s="13"/>
      <c r="LVC19" s="13"/>
      <c r="LVD19" s="13"/>
      <c r="LVE19" s="13"/>
      <c r="LVF19" s="13"/>
      <c r="LVG19" s="13"/>
      <c r="LVH19" s="13"/>
      <c r="LVI19" s="13"/>
      <c r="LVJ19" s="13"/>
      <c r="LVK19" s="13"/>
      <c r="LVL19" s="13"/>
      <c r="LVM19" s="13"/>
      <c r="LVN19" s="13"/>
      <c r="LVO19" s="13"/>
      <c r="LVP19" s="13"/>
      <c r="LVQ19" s="13"/>
      <c r="LVR19" s="13"/>
      <c r="LVS19" s="13"/>
      <c r="LVT19" s="13"/>
      <c r="LVU19" s="13"/>
      <c r="LVV19" s="13"/>
      <c r="LVW19" s="13"/>
      <c r="LVX19" s="13"/>
      <c r="LVY19" s="13"/>
      <c r="LVZ19" s="13"/>
      <c r="LWA19" s="13"/>
      <c r="LWB19" s="13"/>
      <c r="LWC19" s="13"/>
      <c r="LWD19" s="13"/>
      <c r="LWE19" s="13"/>
      <c r="LWF19" s="13"/>
      <c r="LWG19" s="13"/>
      <c r="LWH19" s="13"/>
      <c r="LWI19" s="13"/>
      <c r="LWJ19" s="13"/>
      <c r="LWK19" s="13"/>
      <c r="LWL19" s="13"/>
      <c r="LWM19" s="13"/>
      <c r="LWN19" s="13"/>
      <c r="LWO19" s="13"/>
      <c r="LWP19" s="13"/>
      <c r="LWQ19" s="13"/>
      <c r="LWR19" s="13"/>
      <c r="LWS19" s="13"/>
      <c r="LWT19" s="13"/>
      <c r="LWU19" s="13"/>
      <c r="LWV19" s="13"/>
      <c r="LWW19" s="13"/>
      <c r="LWX19" s="13"/>
      <c r="LWY19" s="13"/>
      <c r="LWZ19" s="13"/>
      <c r="LXA19" s="13"/>
      <c r="LXB19" s="13"/>
      <c r="LXC19" s="13"/>
      <c r="LXD19" s="13"/>
      <c r="LXE19" s="13"/>
      <c r="LXF19" s="13"/>
      <c r="LXG19" s="13"/>
      <c r="LXH19" s="13"/>
      <c r="LXI19" s="13"/>
      <c r="LXJ19" s="13"/>
      <c r="LXK19" s="13"/>
      <c r="LXL19" s="13"/>
      <c r="LXM19" s="13"/>
      <c r="LXN19" s="13"/>
      <c r="LXO19" s="13"/>
      <c r="LXP19" s="13"/>
      <c r="LXQ19" s="13"/>
      <c r="LXR19" s="13"/>
      <c r="LXS19" s="13"/>
      <c r="LXT19" s="13"/>
      <c r="LXU19" s="13"/>
      <c r="LXV19" s="13"/>
      <c r="LXW19" s="13"/>
      <c r="LXX19" s="13"/>
      <c r="LXY19" s="13"/>
      <c r="LXZ19" s="13"/>
      <c r="LYA19" s="13"/>
      <c r="LYB19" s="13"/>
      <c r="LYC19" s="13"/>
      <c r="LYD19" s="13"/>
      <c r="LYE19" s="13"/>
      <c r="LYF19" s="13"/>
      <c r="LYG19" s="13"/>
      <c r="LYH19" s="13"/>
      <c r="LYI19" s="13"/>
      <c r="LYJ19" s="13"/>
      <c r="LYK19" s="13"/>
      <c r="LYL19" s="13"/>
      <c r="LYM19" s="13"/>
      <c r="LYN19" s="13"/>
      <c r="LYO19" s="13"/>
      <c r="LYP19" s="13"/>
      <c r="LYQ19" s="13"/>
      <c r="LYR19" s="13"/>
      <c r="LYS19" s="13"/>
      <c r="LYT19" s="13"/>
      <c r="LYU19" s="13"/>
      <c r="LYV19" s="13"/>
      <c r="LYW19" s="13"/>
      <c r="LYX19" s="13"/>
      <c r="LYY19" s="13"/>
      <c r="LYZ19" s="13"/>
      <c r="LZA19" s="13"/>
      <c r="LZB19" s="13"/>
      <c r="LZC19" s="13"/>
      <c r="LZD19" s="13"/>
      <c r="LZE19" s="13"/>
      <c r="LZF19" s="13"/>
      <c r="LZG19" s="13"/>
      <c r="LZH19" s="13"/>
      <c r="LZI19" s="13"/>
      <c r="LZJ19" s="13"/>
      <c r="LZK19" s="13"/>
      <c r="LZL19" s="13"/>
      <c r="LZM19" s="13"/>
      <c r="LZN19" s="13"/>
      <c r="LZO19" s="13"/>
      <c r="LZP19" s="13"/>
      <c r="LZQ19" s="13"/>
      <c r="LZR19" s="13"/>
      <c r="LZS19" s="13"/>
      <c r="LZT19" s="13"/>
      <c r="LZU19" s="13"/>
      <c r="LZV19" s="13"/>
      <c r="LZW19" s="13"/>
      <c r="LZX19" s="13"/>
      <c r="LZY19" s="13"/>
      <c r="LZZ19" s="13"/>
      <c r="MAA19" s="13"/>
      <c r="MAB19" s="13"/>
      <c r="MAC19" s="13"/>
      <c r="MAD19" s="13"/>
      <c r="MAE19" s="13"/>
      <c r="MAF19" s="13"/>
      <c r="MAG19" s="13"/>
      <c r="MAH19" s="13"/>
      <c r="MAI19" s="13"/>
      <c r="MAJ19" s="13"/>
      <c r="MAK19" s="13"/>
      <c r="MAL19" s="13"/>
      <c r="MAM19" s="13"/>
      <c r="MAN19" s="13"/>
      <c r="MAO19" s="13"/>
      <c r="MAP19" s="13"/>
      <c r="MAQ19" s="13"/>
      <c r="MAR19" s="13"/>
      <c r="MAS19" s="13"/>
      <c r="MAT19" s="13"/>
      <c r="MAU19" s="13"/>
      <c r="MAV19" s="13"/>
      <c r="MAW19" s="13"/>
      <c r="MAX19" s="13"/>
      <c r="MAY19" s="13"/>
      <c r="MAZ19" s="13"/>
      <c r="MBA19" s="13"/>
      <c r="MBB19" s="13"/>
      <c r="MBC19" s="13"/>
      <c r="MBD19" s="13"/>
      <c r="MBE19" s="13"/>
      <c r="MBF19" s="13"/>
      <c r="MBG19" s="13"/>
      <c r="MBH19" s="13"/>
      <c r="MBI19" s="13"/>
      <c r="MBJ19" s="13"/>
      <c r="MBK19" s="13"/>
      <c r="MBL19" s="13"/>
      <c r="MBM19" s="13"/>
      <c r="MBN19" s="13"/>
      <c r="MBO19" s="13"/>
      <c r="MBP19" s="13"/>
      <c r="MBQ19" s="13"/>
      <c r="MBR19" s="13"/>
      <c r="MBS19" s="13"/>
      <c r="MBT19" s="13"/>
      <c r="MBU19" s="13"/>
      <c r="MBV19" s="13"/>
      <c r="MBW19" s="13"/>
      <c r="MBX19" s="13"/>
      <c r="MBY19" s="13"/>
      <c r="MBZ19" s="13"/>
      <c r="MCA19" s="13"/>
      <c r="MCB19" s="13"/>
      <c r="MCC19" s="13"/>
      <c r="MCD19" s="13"/>
      <c r="MCE19" s="13"/>
      <c r="MCF19" s="13"/>
      <c r="MCG19" s="13"/>
      <c r="MCH19" s="13"/>
      <c r="MCI19" s="13"/>
      <c r="MCJ19" s="13"/>
      <c r="MCK19" s="13"/>
      <c r="MCL19" s="13"/>
      <c r="MCM19" s="13"/>
      <c r="MCN19" s="13"/>
      <c r="MCO19" s="13"/>
      <c r="MCP19" s="13"/>
      <c r="MCQ19" s="13"/>
      <c r="MCR19" s="13"/>
      <c r="MCS19" s="13"/>
      <c r="MCT19" s="13"/>
      <c r="MCU19" s="13"/>
      <c r="MCV19" s="13"/>
      <c r="MCW19" s="13"/>
      <c r="MCX19" s="13"/>
      <c r="MCY19" s="13"/>
      <c r="MCZ19" s="13"/>
      <c r="MDA19" s="13"/>
      <c r="MDB19" s="13"/>
      <c r="MDC19" s="13"/>
      <c r="MDD19" s="13"/>
      <c r="MDE19" s="13"/>
      <c r="MDF19" s="13"/>
      <c r="MDG19" s="13"/>
      <c r="MDH19" s="13"/>
      <c r="MDI19" s="13"/>
      <c r="MDJ19" s="13"/>
      <c r="MDK19" s="13"/>
      <c r="MDL19" s="13"/>
      <c r="MDM19" s="13"/>
      <c r="MDN19" s="13"/>
      <c r="MDO19" s="13"/>
      <c r="MDP19" s="13"/>
      <c r="MDQ19" s="13"/>
      <c r="MDR19" s="13"/>
      <c r="MDS19" s="13"/>
      <c r="MDT19" s="13"/>
      <c r="MDU19" s="13"/>
      <c r="MDV19" s="13"/>
      <c r="MDW19" s="13"/>
      <c r="MDX19" s="13"/>
      <c r="MDY19" s="13"/>
      <c r="MDZ19" s="13"/>
      <c r="MEA19" s="13"/>
      <c r="MEB19" s="13"/>
      <c r="MEC19" s="13"/>
      <c r="MED19" s="13"/>
      <c r="MEE19" s="13"/>
      <c r="MEF19" s="13"/>
      <c r="MEG19" s="13"/>
      <c r="MEH19" s="13"/>
      <c r="MEI19" s="13"/>
      <c r="MEJ19" s="13"/>
      <c r="MEK19" s="13"/>
      <c r="MEL19" s="13"/>
      <c r="MEM19" s="13"/>
      <c r="MEN19" s="13"/>
      <c r="MEO19" s="13"/>
      <c r="MEP19" s="13"/>
      <c r="MEQ19" s="13"/>
      <c r="MER19" s="13"/>
      <c r="MES19" s="13"/>
      <c r="MET19" s="13"/>
      <c r="MEU19" s="13"/>
      <c r="MEV19" s="13"/>
      <c r="MEW19" s="13"/>
      <c r="MEX19" s="13"/>
      <c r="MEY19" s="13"/>
      <c r="MEZ19" s="13"/>
      <c r="MFA19" s="13"/>
      <c r="MFB19" s="13"/>
      <c r="MFC19" s="13"/>
      <c r="MFD19" s="13"/>
      <c r="MFE19" s="13"/>
      <c r="MFF19" s="13"/>
      <c r="MFG19" s="13"/>
      <c r="MFH19" s="13"/>
      <c r="MFI19" s="13"/>
      <c r="MFJ19" s="13"/>
      <c r="MFK19" s="13"/>
      <c r="MFL19" s="13"/>
      <c r="MFM19" s="13"/>
      <c r="MFN19" s="13"/>
      <c r="MFO19" s="13"/>
      <c r="MFP19" s="13"/>
      <c r="MFQ19" s="13"/>
      <c r="MFR19" s="13"/>
      <c r="MFS19" s="13"/>
      <c r="MFT19" s="13"/>
      <c r="MFU19" s="13"/>
      <c r="MFV19" s="13"/>
      <c r="MFW19" s="13"/>
      <c r="MFX19" s="13"/>
      <c r="MFY19" s="13"/>
      <c r="MFZ19" s="13"/>
      <c r="MGA19" s="13"/>
      <c r="MGB19" s="13"/>
      <c r="MGC19" s="13"/>
      <c r="MGD19" s="13"/>
      <c r="MGE19" s="13"/>
      <c r="MGF19" s="13"/>
      <c r="MGG19" s="13"/>
      <c r="MGH19" s="13"/>
      <c r="MGI19" s="13"/>
      <c r="MGJ19" s="13"/>
      <c r="MGK19" s="13"/>
      <c r="MGL19" s="13"/>
      <c r="MGM19" s="13"/>
      <c r="MGN19" s="13"/>
      <c r="MGO19" s="13"/>
      <c r="MGP19" s="13"/>
      <c r="MGQ19" s="13"/>
      <c r="MGR19" s="13"/>
      <c r="MGS19" s="13"/>
      <c r="MGT19" s="13"/>
      <c r="MGU19" s="13"/>
      <c r="MGV19" s="13"/>
      <c r="MGW19" s="13"/>
      <c r="MGX19" s="13"/>
      <c r="MGY19" s="13"/>
      <c r="MGZ19" s="13"/>
      <c r="MHA19" s="13"/>
      <c r="MHB19" s="13"/>
      <c r="MHC19" s="13"/>
      <c r="MHD19" s="13"/>
      <c r="MHE19" s="13"/>
      <c r="MHF19" s="13"/>
      <c r="MHG19" s="13"/>
      <c r="MHH19" s="13"/>
      <c r="MHI19" s="13"/>
      <c r="MHJ19" s="13"/>
      <c r="MHK19" s="13"/>
      <c r="MHL19" s="13"/>
      <c r="MHM19" s="13"/>
      <c r="MHN19" s="13"/>
      <c r="MHO19" s="13"/>
      <c r="MHP19" s="13"/>
      <c r="MHQ19" s="13"/>
      <c r="MHR19" s="13"/>
      <c r="MHS19" s="13"/>
      <c r="MHT19" s="13"/>
      <c r="MHU19" s="13"/>
      <c r="MHV19" s="13"/>
      <c r="MHW19" s="13"/>
      <c r="MHX19" s="13"/>
      <c r="MHY19" s="13"/>
      <c r="MHZ19" s="13"/>
      <c r="MIA19" s="13"/>
      <c r="MIB19" s="13"/>
      <c r="MIC19" s="13"/>
      <c r="MID19" s="13"/>
      <c r="MIE19" s="13"/>
      <c r="MIF19" s="13"/>
      <c r="MIG19" s="13"/>
      <c r="MIH19" s="13"/>
      <c r="MII19" s="13"/>
      <c r="MIJ19" s="13"/>
      <c r="MIK19" s="13"/>
      <c r="MIL19" s="13"/>
      <c r="MIM19" s="13"/>
      <c r="MIN19" s="13"/>
      <c r="MIO19" s="13"/>
      <c r="MIP19" s="13"/>
      <c r="MIQ19" s="13"/>
      <c r="MIR19" s="13"/>
      <c r="MIS19" s="13"/>
      <c r="MIT19" s="13"/>
      <c r="MIU19" s="13"/>
      <c r="MIV19" s="13"/>
      <c r="MIW19" s="13"/>
      <c r="MIX19" s="13"/>
      <c r="MIY19" s="13"/>
      <c r="MIZ19" s="13"/>
      <c r="MJA19" s="13"/>
      <c r="MJB19" s="13"/>
      <c r="MJC19" s="13"/>
      <c r="MJD19" s="13"/>
      <c r="MJE19" s="13"/>
      <c r="MJF19" s="13"/>
      <c r="MJG19" s="13"/>
      <c r="MJH19" s="13"/>
      <c r="MJI19" s="13"/>
      <c r="MJJ19" s="13"/>
      <c r="MJK19" s="13"/>
      <c r="MJL19" s="13"/>
      <c r="MJM19" s="13"/>
      <c r="MJN19" s="13"/>
      <c r="MJO19" s="13"/>
      <c r="MJP19" s="13"/>
      <c r="MJQ19" s="13"/>
      <c r="MJR19" s="13"/>
      <c r="MJS19" s="13"/>
      <c r="MJT19" s="13"/>
      <c r="MJU19" s="13"/>
      <c r="MJV19" s="13"/>
      <c r="MJW19" s="13"/>
      <c r="MJX19" s="13"/>
      <c r="MJY19" s="13"/>
      <c r="MJZ19" s="13"/>
      <c r="MKA19" s="13"/>
      <c r="MKB19" s="13"/>
      <c r="MKC19" s="13"/>
      <c r="MKD19" s="13"/>
      <c r="MKE19" s="13"/>
      <c r="MKF19" s="13"/>
      <c r="MKG19" s="13"/>
      <c r="MKH19" s="13"/>
      <c r="MKI19" s="13"/>
      <c r="MKJ19" s="13"/>
      <c r="MKK19" s="13"/>
      <c r="MKL19" s="13"/>
      <c r="MKM19" s="13"/>
      <c r="MKN19" s="13"/>
      <c r="MKO19" s="13"/>
      <c r="MKP19" s="13"/>
      <c r="MKQ19" s="13"/>
      <c r="MKR19" s="13"/>
      <c r="MKS19" s="13"/>
      <c r="MKT19" s="13"/>
      <c r="MKU19" s="13"/>
      <c r="MKV19" s="13"/>
      <c r="MKW19" s="13"/>
      <c r="MKX19" s="13"/>
      <c r="MKY19" s="13"/>
      <c r="MKZ19" s="13"/>
      <c r="MLA19" s="13"/>
      <c r="MLB19" s="13"/>
      <c r="MLC19" s="13"/>
      <c r="MLD19" s="13"/>
      <c r="MLE19" s="13"/>
      <c r="MLF19" s="13"/>
      <c r="MLG19" s="13"/>
      <c r="MLH19" s="13"/>
      <c r="MLI19" s="13"/>
      <c r="MLJ19" s="13"/>
      <c r="MLK19" s="13"/>
      <c r="MLL19" s="13"/>
      <c r="MLM19" s="13"/>
      <c r="MLN19" s="13"/>
      <c r="MLO19" s="13"/>
      <c r="MLP19" s="13"/>
      <c r="MLQ19" s="13"/>
      <c r="MLR19" s="13"/>
      <c r="MLS19" s="13"/>
      <c r="MLT19" s="13"/>
      <c r="MLU19" s="13"/>
      <c r="MLV19" s="13"/>
      <c r="MLW19" s="13"/>
      <c r="MLX19" s="13"/>
      <c r="MLY19" s="13"/>
      <c r="MLZ19" s="13"/>
      <c r="MMA19" s="13"/>
      <c r="MMB19" s="13"/>
      <c r="MMC19" s="13"/>
      <c r="MMD19" s="13"/>
      <c r="MME19" s="13"/>
      <c r="MMF19" s="13"/>
      <c r="MMG19" s="13"/>
      <c r="MMH19" s="13"/>
      <c r="MMI19" s="13"/>
      <c r="MMJ19" s="13"/>
      <c r="MMK19" s="13"/>
      <c r="MML19" s="13"/>
      <c r="MMM19" s="13"/>
      <c r="MMN19" s="13"/>
      <c r="MMO19" s="13"/>
      <c r="MMP19" s="13"/>
      <c r="MMQ19" s="13"/>
      <c r="MMR19" s="13"/>
      <c r="MMS19" s="13"/>
      <c r="MMT19" s="13"/>
      <c r="MMU19" s="13"/>
      <c r="MMV19" s="13"/>
      <c r="MMW19" s="13"/>
      <c r="MMX19" s="13"/>
      <c r="MMY19" s="13"/>
      <c r="MMZ19" s="13"/>
      <c r="MNA19" s="13"/>
      <c r="MNB19" s="13"/>
      <c r="MNC19" s="13"/>
      <c r="MND19" s="13"/>
      <c r="MNE19" s="13"/>
      <c r="MNF19" s="13"/>
      <c r="MNG19" s="13"/>
      <c r="MNH19" s="13"/>
      <c r="MNI19" s="13"/>
      <c r="MNJ19" s="13"/>
      <c r="MNK19" s="13"/>
      <c r="MNL19" s="13"/>
      <c r="MNM19" s="13"/>
      <c r="MNN19" s="13"/>
      <c r="MNO19" s="13"/>
      <c r="MNP19" s="13"/>
      <c r="MNQ19" s="13"/>
      <c r="MNR19" s="13"/>
      <c r="MNS19" s="13"/>
      <c r="MNT19" s="13"/>
      <c r="MNU19" s="13"/>
      <c r="MNV19" s="13"/>
      <c r="MNW19" s="13"/>
      <c r="MNX19" s="13"/>
      <c r="MNY19" s="13"/>
      <c r="MNZ19" s="13"/>
      <c r="MOA19" s="13"/>
      <c r="MOB19" s="13"/>
      <c r="MOC19" s="13"/>
      <c r="MOD19" s="13"/>
      <c r="MOE19" s="13"/>
      <c r="MOF19" s="13"/>
      <c r="MOG19" s="13"/>
      <c r="MOH19" s="13"/>
      <c r="MOI19" s="13"/>
      <c r="MOJ19" s="13"/>
      <c r="MOK19" s="13"/>
      <c r="MOL19" s="13"/>
      <c r="MOM19" s="13"/>
      <c r="MON19" s="13"/>
      <c r="MOO19" s="13"/>
      <c r="MOP19" s="13"/>
      <c r="MOQ19" s="13"/>
      <c r="MOR19" s="13"/>
      <c r="MOS19" s="13"/>
      <c r="MOT19" s="13"/>
      <c r="MOU19" s="13"/>
      <c r="MOV19" s="13"/>
      <c r="MOW19" s="13"/>
      <c r="MOX19" s="13"/>
      <c r="MOY19" s="13"/>
      <c r="MOZ19" s="13"/>
      <c r="MPA19" s="13"/>
      <c r="MPB19" s="13"/>
      <c r="MPC19" s="13"/>
      <c r="MPD19" s="13"/>
      <c r="MPE19" s="13"/>
      <c r="MPF19" s="13"/>
      <c r="MPG19" s="13"/>
      <c r="MPH19" s="13"/>
      <c r="MPI19" s="13"/>
      <c r="MPJ19" s="13"/>
      <c r="MPK19" s="13"/>
      <c r="MPL19" s="13"/>
      <c r="MPM19" s="13"/>
      <c r="MPN19" s="13"/>
      <c r="MPO19" s="13"/>
      <c r="MPP19" s="13"/>
      <c r="MPQ19" s="13"/>
      <c r="MPR19" s="13"/>
      <c r="MPS19" s="13"/>
      <c r="MPT19" s="13"/>
      <c r="MPU19" s="13"/>
      <c r="MPV19" s="13"/>
      <c r="MPW19" s="13"/>
      <c r="MPX19" s="13"/>
      <c r="MPY19" s="13"/>
      <c r="MPZ19" s="13"/>
      <c r="MQA19" s="13"/>
      <c r="MQB19" s="13"/>
      <c r="MQC19" s="13"/>
      <c r="MQD19" s="13"/>
      <c r="MQE19" s="13"/>
      <c r="MQF19" s="13"/>
      <c r="MQG19" s="13"/>
      <c r="MQH19" s="13"/>
      <c r="MQI19" s="13"/>
      <c r="MQJ19" s="13"/>
      <c r="MQK19" s="13"/>
      <c r="MQL19" s="13"/>
      <c r="MQM19" s="13"/>
      <c r="MQN19" s="13"/>
      <c r="MQO19" s="13"/>
      <c r="MQP19" s="13"/>
      <c r="MQQ19" s="13"/>
      <c r="MQR19" s="13"/>
      <c r="MQS19" s="13"/>
      <c r="MQT19" s="13"/>
      <c r="MQU19" s="13"/>
      <c r="MQV19" s="13"/>
      <c r="MQW19" s="13"/>
      <c r="MQX19" s="13"/>
      <c r="MQY19" s="13"/>
      <c r="MQZ19" s="13"/>
      <c r="MRA19" s="13"/>
      <c r="MRB19" s="13"/>
      <c r="MRC19" s="13"/>
      <c r="MRD19" s="13"/>
      <c r="MRE19" s="13"/>
      <c r="MRF19" s="13"/>
      <c r="MRG19" s="13"/>
      <c r="MRH19" s="13"/>
      <c r="MRI19" s="13"/>
      <c r="MRJ19" s="13"/>
      <c r="MRK19" s="13"/>
      <c r="MRL19" s="13"/>
      <c r="MRM19" s="13"/>
      <c r="MRN19" s="13"/>
      <c r="MRO19" s="13"/>
      <c r="MRP19" s="13"/>
      <c r="MRQ19" s="13"/>
      <c r="MRR19" s="13"/>
      <c r="MRS19" s="13"/>
      <c r="MRT19" s="13"/>
      <c r="MRU19" s="13"/>
      <c r="MRV19" s="13"/>
      <c r="MRW19" s="13"/>
      <c r="MRX19" s="13"/>
      <c r="MRY19" s="13"/>
      <c r="MRZ19" s="13"/>
      <c r="MSA19" s="13"/>
      <c r="MSB19" s="13"/>
      <c r="MSC19" s="13"/>
      <c r="MSD19" s="13"/>
      <c r="MSE19" s="13"/>
      <c r="MSF19" s="13"/>
      <c r="MSG19" s="13"/>
      <c r="MSH19" s="13"/>
      <c r="MSI19" s="13"/>
      <c r="MSJ19" s="13"/>
      <c r="MSK19" s="13"/>
      <c r="MSL19" s="13"/>
      <c r="MSM19" s="13"/>
      <c r="MSN19" s="13"/>
      <c r="MSO19" s="13"/>
      <c r="MSP19" s="13"/>
      <c r="MSQ19" s="13"/>
      <c r="MSR19" s="13"/>
      <c r="MSS19" s="13"/>
      <c r="MST19" s="13"/>
      <c r="MSU19" s="13"/>
      <c r="MSV19" s="13"/>
      <c r="MSW19" s="13"/>
      <c r="MSX19" s="13"/>
      <c r="MSY19" s="13"/>
      <c r="MSZ19" s="13"/>
      <c r="MTA19" s="13"/>
      <c r="MTB19" s="13"/>
      <c r="MTC19" s="13"/>
      <c r="MTD19" s="13"/>
      <c r="MTE19" s="13"/>
      <c r="MTF19" s="13"/>
      <c r="MTG19" s="13"/>
      <c r="MTH19" s="13"/>
      <c r="MTI19" s="13"/>
      <c r="MTJ19" s="13"/>
      <c r="MTK19" s="13"/>
      <c r="MTL19" s="13"/>
      <c r="MTM19" s="13"/>
      <c r="MTN19" s="13"/>
      <c r="MTO19" s="13"/>
      <c r="MTP19" s="13"/>
      <c r="MTQ19" s="13"/>
      <c r="MTR19" s="13"/>
      <c r="MTS19" s="13"/>
      <c r="MTT19" s="13"/>
      <c r="MTU19" s="13"/>
      <c r="MTV19" s="13"/>
      <c r="MTW19" s="13"/>
      <c r="MTX19" s="13"/>
      <c r="MTY19" s="13"/>
      <c r="MTZ19" s="13"/>
      <c r="MUA19" s="13"/>
      <c r="MUB19" s="13"/>
      <c r="MUC19" s="13"/>
      <c r="MUD19" s="13"/>
      <c r="MUE19" s="13"/>
      <c r="MUF19" s="13"/>
      <c r="MUG19" s="13"/>
      <c r="MUH19" s="13"/>
      <c r="MUI19" s="13"/>
      <c r="MUJ19" s="13"/>
      <c r="MUK19" s="13"/>
      <c r="MUL19" s="13"/>
      <c r="MUM19" s="13"/>
      <c r="MUN19" s="13"/>
      <c r="MUO19" s="13"/>
      <c r="MUP19" s="13"/>
      <c r="MUQ19" s="13"/>
      <c r="MUR19" s="13"/>
      <c r="MUS19" s="13"/>
      <c r="MUT19" s="13"/>
      <c r="MUU19" s="13"/>
      <c r="MUV19" s="13"/>
      <c r="MUW19" s="13"/>
      <c r="MUX19" s="13"/>
      <c r="MUY19" s="13"/>
      <c r="MUZ19" s="13"/>
      <c r="MVA19" s="13"/>
      <c r="MVB19" s="13"/>
      <c r="MVC19" s="13"/>
      <c r="MVD19" s="13"/>
      <c r="MVE19" s="13"/>
      <c r="MVF19" s="13"/>
      <c r="MVG19" s="13"/>
      <c r="MVH19" s="13"/>
      <c r="MVI19" s="13"/>
      <c r="MVJ19" s="13"/>
      <c r="MVK19" s="13"/>
      <c r="MVL19" s="13"/>
      <c r="MVM19" s="13"/>
      <c r="MVN19" s="13"/>
      <c r="MVO19" s="13"/>
      <c r="MVP19" s="13"/>
      <c r="MVQ19" s="13"/>
      <c r="MVR19" s="13"/>
      <c r="MVS19" s="13"/>
      <c r="MVT19" s="13"/>
      <c r="MVU19" s="13"/>
      <c r="MVV19" s="13"/>
      <c r="MVW19" s="13"/>
      <c r="MVX19" s="13"/>
      <c r="MVY19" s="13"/>
      <c r="MVZ19" s="13"/>
      <c r="MWA19" s="13"/>
      <c r="MWB19" s="13"/>
      <c r="MWC19" s="13"/>
      <c r="MWD19" s="13"/>
      <c r="MWE19" s="13"/>
      <c r="MWF19" s="13"/>
      <c r="MWG19" s="13"/>
      <c r="MWH19" s="13"/>
      <c r="MWI19" s="13"/>
      <c r="MWJ19" s="13"/>
      <c r="MWK19" s="13"/>
      <c r="MWL19" s="13"/>
      <c r="MWM19" s="13"/>
      <c r="MWN19" s="13"/>
      <c r="MWO19" s="13"/>
      <c r="MWP19" s="13"/>
      <c r="MWQ19" s="13"/>
      <c r="MWR19" s="13"/>
      <c r="MWS19" s="13"/>
      <c r="MWT19" s="13"/>
      <c r="MWU19" s="13"/>
      <c r="MWV19" s="13"/>
      <c r="MWW19" s="13"/>
      <c r="MWX19" s="13"/>
      <c r="MWY19" s="13"/>
      <c r="MWZ19" s="13"/>
      <c r="MXA19" s="13"/>
      <c r="MXB19" s="13"/>
      <c r="MXC19" s="13"/>
      <c r="MXD19" s="13"/>
      <c r="MXE19" s="13"/>
      <c r="MXF19" s="13"/>
      <c r="MXG19" s="13"/>
      <c r="MXH19" s="13"/>
      <c r="MXI19" s="13"/>
      <c r="MXJ19" s="13"/>
      <c r="MXK19" s="13"/>
      <c r="MXL19" s="13"/>
      <c r="MXM19" s="13"/>
      <c r="MXN19" s="13"/>
      <c r="MXO19" s="13"/>
      <c r="MXP19" s="13"/>
      <c r="MXQ19" s="13"/>
      <c r="MXR19" s="13"/>
      <c r="MXS19" s="13"/>
      <c r="MXT19" s="13"/>
      <c r="MXU19" s="13"/>
      <c r="MXV19" s="13"/>
      <c r="MXW19" s="13"/>
      <c r="MXX19" s="13"/>
      <c r="MXY19" s="13"/>
      <c r="MXZ19" s="13"/>
      <c r="MYA19" s="13"/>
      <c r="MYB19" s="13"/>
      <c r="MYC19" s="13"/>
      <c r="MYD19" s="13"/>
      <c r="MYE19" s="13"/>
      <c r="MYF19" s="13"/>
      <c r="MYG19" s="13"/>
      <c r="MYH19" s="13"/>
      <c r="MYI19" s="13"/>
      <c r="MYJ19" s="13"/>
      <c r="MYK19" s="13"/>
      <c r="MYL19" s="13"/>
      <c r="MYM19" s="13"/>
      <c r="MYN19" s="13"/>
      <c r="MYO19" s="13"/>
      <c r="MYP19" s="13"/>
      <c r="MYQ19" s="13"/>
      <c r="MYR19" s="13"/>
      <c r="MYS19" s="13"/>
      <c r="MYT19" s="13"/>
      <c r="MYU19" s="13"/>
      <c r="MYV19" s="13"/>
      <c r="MYW19" s="13"/>
      <c r="MYX19" s="13"/>
      <c r="MYY19" s="13"/>
      <c r="MYZ19" s="13"/>
      <c r="MZA19" s="13"/>
      <c r="MZB19" s="13"/>
      <c r="MZC19" s="13"/>
      <c r="MZD19" s="13"/>
      <c r="MZE19" s="13"/>
      <c r="MZF19" s="13"/>
      <c r="MZG19" s="13"/>
      <c r="MZH19" s="13"/>
      <c r="MZI19" s="13"/>
      <c r="MZJ19" s="13"/>
      <c r="MZK19" s="13"/>
      <c r="MZL19" s="13"/>
      <c r="MZM19" s="13"/>
      <c r="MZN19" s="13"/>
      <c r="MZO19" s="13"/>
      <c r="MZP19" s="13"/>
      <c r="MZQ19" s="13"/>
      <c r="MZR19" s="13"/>
      <c r="MZS19" s="13"/>
      <c r="MZT19" s="13"/>
      <c r="MZU19" s="13"/>
      <c r="MZV19" s="13"/>
      <c r="MZW19" s="13"/>
      <c r="MZX19" s="13"/>
      <c r="MZY19" s="13"/>
      <c r="MZZ19" s="13"/>
      <c r="NAA19" s="13"/>
      <c r="NAB19" s="13"/>
      <c r="NAC19" s="13"/>
      <c r="NAD19" s="13"/>
      <c r="NAE19" s="13"/>
      <c r="NAF19" s="13"/>
      <c r="NAG19" s="13"/>
      <c r="NAH19" s="13"/>
      <c r="NAI19" s="13"/>
      <c r="NAJ19" s="13"/>
      <c r="NAK19" s="13"/>
      <c r="NAL19" s="13"/>
      <c r="NAM19" s="13"/>
      <c r="NAN19" s="13"/>
      <c r="NAO19" s="13"/>
      <c r="NAP19" s="13"/>
      <c r="NAQ19" s="13"/>
      <c r="NAR19" s="13"/>
      <c r="NAS19" s="13"/>
      <c r="NAT19" s="13"/>
      <c r="NAU19" s="13"/>
      <c r="NAV19" s="13"/>
      <c r="NAW19" s="13"/>
      <c r="NAX19" s="13"/>
      <c r="NAY19" s="13"/>
      <c r="NAZ19" s="13"/>
      <c r="NBA19" s="13"/>
      <c r="NBB19" s="13"/>
      <c r="NBC19" s="13"/>
      <c r="NBD19" s="13"/>
      <c r="NBE19" s="13"/>
      <c r="NBF19" s="13"/>
      <c r="NBG19" s="13"/>
      <c r="NBH19" s="13"/>
      <c r="NBI19" s="13"/>
      <c r="NBJ19" s="13"/>
      <c r="NBK19" s="13"/>
      <c r="NBL19" s="13"/>
      <c r="NBM19" s="13"/>
      <c r="NBN19" s="13"/>
      <c r="NBO19" s="13"/>
      <c r="NBP19" s="13"/>
      <c r="NBQ19" s="13"/>
      <c r="NBR19" s="13"/>
      <c r="NBS19" s="13"/>
      <c r="NBT19" s="13"/>
      <c r="NBU19" s="13"/>
      <c r="NBV19" s="13"/>
      <c r="NBW19" s="13"/>
      <c r="NBX19" s="13"/>
      <c r="NBY19" s="13"/>
      <c r="NBZ19" s="13"/>
      <c r="NCA19" s="13"/>
      <c r="NCB19" s="13"/>
      <c r="NCC19" s="13"/>
      <c r="NCD19" s="13"/>
      <c r="NCE19" s="13"/>
      <c r="NCF19" s="13"/>
      <c r="NCG19" s="13"/>
      <c r="NCH19" s="13"/>
      <c r="NCI19" s="13"/>
      <c r="NCJ19" s="13"/>
      <c r="NCK19" s="13"/>
      <c r="NCL19" s="13"/>
      <c r="NCM19" s="13"/>
      <c r="NCN19" s="13"/>
      <c r="NCO19" s="13"/>
      <c r="NCP19" s="13"/>
      <c r="NCQ19" s="13"/>
      <c r="NCR19" s="13"/>
      <c r="NCS19" s="13"/>
      <c r="NCT19" s="13"/>
      <c r="NCU19" s="13"/>
      <c r="NCV19" s="13"/>
      <c r="NCW19" s="13"/>
      <c r="NCX19" s="13"/>
      <c r="NCY19" s="13"/>
      <c r="NCZ19" s="13"/>
      <c r="NDA19" s="13"/>
      <c r="NDB19" s="13"/>
      <c r="NDC19" s="13"/>
      <c r="NDD19" s="13"/>
      <c r="NDE19" s="13"/>
      <c r="NDF19" s="13"/>
      <c r="NDG19" s="13"/>
      <c r="NDH19" s="13"/>
      <c r="NDI19" s="13"/>
      <c r="NDJ19" s="13"/>
      <c r="NDK19" s="13"/>
      <c r="NDL19" s="13"/>
      <c r="NDM19" s="13"/>
      <c r="NDN19" s="13"/>
      <c r="NDO19" s="13"/>
      <c r="NDP19" s="13"/>
      <c r="NDQ19" s="13"/>
      <c r="NDR19" s="13"/>
      <c r="NDS19" s="13"/>
      <c r="NDT19" s="13"/>
      <c r="NDU19" s="13"/>
      <c r="NDV19" s="13"/>
      <c r="NDW19" s="13"/>
      <c r="NDX19" s="13"/>
      <c r="NDY19" s="13"/>
      <c r="NDZ19" s="13"/>
      <c r="NEA19" s="13"/>
      <c r="NEB19" s="13"/>
      <c r="NEC19" s="13"/>
      <c r="NED19" s="13"/>
      <c r="NEE19" s="13"/>
      <c r="NEF19" s="13"/>
      <c r="NEG19" s="13"/>
      <c r="NEH19" s="13"/>
      <c r="NEI19" s="13"/>
      <c r="NEJ19" s="13"/>
      <c r="NEK19" s="13"/>
      <c r="NEL19" s="13"/>
      <c r="NEM19" s="13"/>
      <c r="NEN19" s="13"/>
      <c r="NEO19" s="13"/>
      <c r="NEP19" s="13"/>
      <c r="NEQ19" s="13"/>
      <c r="NER19" s="13"/>
      <c r="NES19" s="13"/>
      <c r="NET19" s="13"/>
      <c r="NEU19" s="13"/>
      <c r="NEV19" s="13"/>
      <c r="NEW19" s="13"/>
      <c r="NEX19" s="13"/>
      <c r="NEY19" s="13"/>
      <c r="NEZ19" s="13"/>
      <c r="NFA19" s="13"/>
      <c r="NFB19" s="13"/>
      <c r="NFC19" s="13"/>
      <c r="NFD19" s="13"/>
      <c r="NFE19" s="13"/>
      <c r="NFF19" s="13"/>
      <c r="NFG19" s="13"/>
      <c r="NFH19" s="13"/>
      <c r="NFI19" s="13"/>
      <c r="NFJ19" s="13"/>
      <c r="NFK19" s="13"/>
      <c r="NFL19" s="13"/>
      <c r="NFM19" s="13"/>
      <c r="NFN19" s="13"/>
      <c r="NFO19" s="13"/>
      <c r="NFP19" s="13"/>
      <c r="NFQ19" s="13"/>
      <c r="NFR19" s="13"/>
      <c r="NFS19" s="13"/>
      <c r="NFT19" s="13"/>
      <c r="NFU19" s="13"/>
      <c r="NFV19" s="13"/>
      <c r="NFW19" s="13"/>
      <c r="NFX19" s="13"/>
      <c r="NFY19" s="13"/>
      <c r="NFZ19" s="13"/>
      <c r="NGA19" s="13"/>
      <c r="NGB19" s="13"/>
      <c r="NGC19" s="13"/>
      <c r="NGD19" s="13"/>
      <c r="NGE19" s="13"/>
      <c r="NGF19" s="13"/>
      <c r="NGG19" s="13"/>
      <c r="NGH19" s="13"/>
      <c r="NGI19" s="13"/>
      <c r="NGJ19" s="13"/>
      <c r="NGK19" s="13"/>
      <c r="NGL19" s="13"/>
      <c r="NGM19" s="13"/>
      <c r="NGN19" s="13"/>
      <c r="NGO19" s="13"/>
      <c r="NGP19" s="13"/>
      <c r="NGQ19" s="13"/>
      <c r="NGR19" s="13"/>
      <c r="NGS19" s="13"/>
      <c r="NGT19" s="13"/>
      <c r="NGU19" s="13"/>
      <c r="NGV19" s="13"/>
      <c r="NGW19" s="13"/>
      <c r="NGX19" s="13"/>
      <c r="NGY19" s="13"/>
      <c r="NGZ19" s="13"/>
      <c r="NHA19" s="13"/>
      <c r="NHB19" s="13"/>
      <c r="NHC19" s="13"/>
      <c r="NHD19" s="13"/>
      <c r="NHE19" s="13"/>
      <c r="NHF19" s="13"/>
      <c r="NHG19" s="13"/>
      <c r="NHH19" s="13"/>
      <c r="NHI19" s="13"/>
      <c r="NHJ19" s="13"/>
      <c r="NHK19" s="13"/>
      <c r="NHL19" s="13"/>
      <c r="NHM19" s="13"/>
      <c r="NHN19" s="13"/>
      <c r="NHO19" s="13"/>
      <c r="NHP19" s="13"/>
      <c r="NHQ19" s="13"/>
      <c r="NHR19" s="13"/>
      <c r="NHS19" s="13"/>
      <c r="NHT19" s="13"/>
      <c r="NHU19" s="13"/>
      <c r="NHV19" s="13"/>
      <c r="NHW19" s="13"/>
      <c r="NHX19" s="13"/>
      <c r="NHY19" s="13"/>
      <c r="NHZ19" s="13"/>
      <c r="NIA19" s="13"/>
      <c r="NIB19" s="13"/>
      <c r="NIC19" s="13"/>
      <c r="NID19" s="13"/>
      <c r="NIE19" s="13"/>
      <c r="NIF19" s="13"/>
      <c r="NIG19" s="13"/>
      <c r="NIH19" s="13"/>
      <c r="NII19" s="13"/>
      <c r="NIJ19" s="13"/>
      <c r="NIK19" s="13"/>
      <c r="NIL19" s="13"/>
      <c r="NIM19" s="13"/>
      <c r="NIN19" s="13"/>
      <c r="NIO19" s="13"/>
      <c r="NIP19" s="13"/>
      <c r="NIQ19" s="13"/>
      <c r="NIR19" s="13"/>
      <c r="NIS19" s="13"/>
      <c r="NIT19" s="13"/>
      <c r="NIU19" s="13"/>
      <c r="NIV19" s="13"/>
      <c r="NIW19" s="13"/>
      <c r="NIX19" s="13"/>
      <c r="NIY19" s="13"/>
      <c r="NIZ19" s="13"/>
      <c r="NJA19" s="13"/>
      <c r="NJB19" s="13"/>
      <c r="NJC19" s="13"/>
      <c r="NJD19" s="13"/>
      <c r="NJE19" s="13"/>
      <c r="NJF19" s="13"/>
      <c r="NJG19" s="13"/>
      <c r="NJH19" s="13"/>
      <c r="NJI19" s="13"/>
      <c r="NJJ19" s="13"/>
      <c r="NJK19" s="13"/>
      <c r="NJL19" s="13"/>
      <c r="NJM19" s="13"/>
      <c r="NJN19" s="13"/>
      <c r="NJO19" s="13"/>
      <c r="NJP19" s="13"/>
      <c r="NJQ19" s="13"/>
      <c r="NJR19" s="13"/>
      <c r="NJS19" s="13"/>
      <c r="NJT19" s="13"/>
      <c r="NJU19" s="13"/>
      <c r="NJV19" s="13"/>
      <c r="NJW19" s="13"/>
      <c r="NJX19" s="13"/>
      <c r="NJY19" s="13"/>
      <c r="NJZ19" s="13"/>
      <c r="NKA19" s="13"/>
      <c r="NKB19" s="13"/>
      <c r="NKC19" s="13"/>
      <c r="NKD19" s="13"/>
      <c r="NKE19" s="13"/>
      <c r="NKF19" s="13"/>
      <c r="NKG19" s="13"/>
      <c r="NKH19" s="13"/>
      <c r="NKI19" s="13"/>
      <c r="NKJ19" s="13"/>
      <c r="NKK19" s="13"/>
      <c r="NKL19" s="13"/>
      <c r="NKM19" s="13"/>
      <c r="NKN19" s="13"/>
      <c r="NKO19" s="13"/>
      <c r="NKP19" s="13"/>
      <c r="NKQ19" s="13"/>
      <c r="NKR19" s="13"/>
      <c r="NKS19" s="13"/>
      <c r="NKT19" s="13"/>
      <c r="NKU19" s="13"/>
      <c r="NKV19" s="13"/>
      <c r="NKW19" s="13"/>
      <c r="NKX19" s="13"/>
      <c r="NKY19" s="13"/>
      <c r="NKZ19" s="13"/>
      <c r="NLA19" s="13"/>
      <c r="NLB19" s="13"/>
      <c r="NLC19" s="13"/>
      <c r="NLD19" s="13"/>
      <c r="NLE19" s="13"/>
      <c r="NLF19" s="13"/>
      <c r="NLG19" s="13"/>
      <c r="NLH19" s="13"/>
      <c r="NLI19" s="13"/>
      <c r="NLJ19" s="13"/>
      <c r="NLK19" s="13"/>
      <c r="NLL19" s="13"/>
      <c r="NLM19" s="13"/>
      <c r="NLN19" s="13"/>
      <c r="NLO19" s="13"/>
      <c r="NLP19" s="13"/>
      <c r="NLQ19" s="13"/>
      <c r="NLR19" s="13"/>
      <c r="NLS19" s="13"/>
      <c r="NLT19" s="13"/>
      <c r="NLU19" s="13"/>
      <c r="NLV19" s="13"/>
      <c r="NLW19" s="13"/>
      <c r="NLX19" s="13"/>
      <c r="NLY19" s="13"/>
      <c r="NLZ19" s="13"/>
      <c r="NMA19" s="13"/>
      <c r="NMB19" s="13"/>
      <c r="NMC19" s="13"/>
      <c r="NMD19" s="13"/>
      <c r="NME19" s="13"/>
      <c r="NMF19" s="13"/>
      <c r="NMG19" s="13"/>
      <c r="NMH19" s="13"/>
      <c r="NMI19" s="13"/>
      <c r="NMJ19" s="13"/>
      <c r="NMK19" s="13"/>
      <c r="NML19" s="13"/>
      <c r="NMM19" s="13"/>
      <c r="NMN19" s="13"/>
      <c r="NMO19" s="13"/>
      <c r="NMP19" s="13"/>
      <c r="NMQ19" s="13"/>
      <c r="NMR19" s="13"/>
      <c r="NMS19" s="13"/>
      <c r="NMT19" s="13"/>
      <c r="NMU19" s="13"/>
      <c r="NMV19" s="13"/>
      <c r="NMW19" s="13"/>
      <c r="NMX19" s="13"/>
      <c r="NMY19" s="13"/>
      <c r="NMZ19" s="13"/>
      <c r="NNA19" s="13"/>
      <c r="NNB19" s="13"/>
      <c r="NNC19" s="13"/>
      <c r="NND19" s="13"/>
      <c r="NNE19" s="13"/>
      <c r="NNF19" s="13"/>
      <c r="NNG19" s="13"/>
      <c r="NNH19" s="13"/>
      <c r="NNI19" s="13"/>
      <c r="NNJ19" s="13"/>
      <c r="NNK19" s="13"/>
      <c r="NNL19" s="13"/>
      <c r="NNM19" s="13"/>
      <c r="NNN19" s="13"/>
      <c r="NNO19" s="13"/>
      <c r="NNP19" s="13"/>
      <c r="NNQ19" s="13"/>
      <c r="NNR19" s="13"/>
      <c r="NNS19" s="13"/>
      <c r="NNT19" s="13"/>
      <c r="NNU19" s="13"/>
      <c r="NNV19" s="13"/>
      <c r="NNW19" s="13"/>
      <c r="NNX19" s="13"/>
      <c r="NNY19" s="13"/>
      <c r="NNZ19" s="13"/>
      <c r="NOA19" s="13"/>
      <c r="NOB19" s="13"/>
      <c r="NOC19" s="13"/>
      <c r="NOD19" s="13"/>
      <c r="NOE19" s="13"/>
      <c r="NOF19" s="13"/>
      <c r="NOG19" s="13"/>
      <c r="NOH19" s="13"/>
      <c r="NOI19" s="13"/>
      <c r="NOJ19" s="13"/>
      <c r="NOK19" s="13"/>
      <c r="NOL19" s="13"/>
      <c r="NOM19" s="13"/>
      <c r="NON19" s="13"/>
      <c r="NOO19" s="13"/>
      <c r="NOP19" s="13"/>
      <c r="NOQ19" s="13"/>
      <c r="NOR19" s="13"/>
      <c r="NOS19" s="13"/>
      <c r="NOT19" s="13"/>
      <c r="NOU19" s="13"/>
      <c r="NOV19" s="13"/>
      <c r="NOW19" s="13"/>
      <c r="NOX19" s="13"/>
      <c r="NOY19" s="13"/>
      <c r="NOZ19" s="13"/>
      <c r="NPA19" s="13"/>
      <c r="NPB19" s="13"/>
      <c r="NPC19" s="13"/>
      <c r="NPD19" s="13"/>
      <c r="NPE19" s="13"/>
      <c r="NPF19" s="13"/>
      <c r="NPG19" s="13"/>
      <c r="NPH19" s="13"/>
      <c r="NPI19" s="13"/>
      <c r="NPJ19" s="13"/>
      <c r="NPK19" s="13"/>
      <c r="NPL19" s="13"/>
      <c r="NPM19" s="13"/>
      <c r="NPN19" s="13"/>
      <c r="NPO19" s="13"/>
      <c r="NPP19" s="13"/>
      <c r="NPQ19" s="13"/>
      <c r="NPR19" s="13"/>
      <c r="NPS19" s="13"/>
      <c r="NPT19" s="13"/>
      <c r="NPU19" s="13"/>
      <c r="NPV19" s="13"/>
      <c r="NPW19" s="13"/>
      <c r="NPX19" s="13"/>
      <c r="NPY19" s="13"/>
      <c r="NPZ19" s="13"/>
      <c r="NQA19" s="13"/>
      <c r="NQB19" s="13"/>
      <c r="NQC19" s="13"/>
      <c r="NQD19" s="13"/>
      <c r="NQE19" s="13"/>
      <c r="NQF19" s="13"/>
      <c r="NQG19" s="13"/>
      <c r="NQH19" s="13"/>
      <c r="NQI19" s="13"/>
      <c r="NQJ19" s="13"/>
      <c r="NQK19" s="13"/>
      <c r="NQL19" s="13"/>
      <c r="NQM19" s="13"/>
      <c r="NQN19" s="13"/>
      <c r="NQO19" s="13"/>
      <c r="NQP19" s="13"/>
      <c r="NQQ19" s="13"/>
      <c r="NQR19" s="13"/>
      <c r="NQS19" s="13"/>
      <c r="NQT19" s="13"/>
      <c r="NQU19" s="13"/>
      <c r="NQV19" s="13"/>
      <c r="NQW19" s="13"/>
      <c r="NQX19" s="13"/>
      <c r="NQY19" s="13"/>
      <c r="NQZ19" s="13"/>
      <c r="NRA19" s="13"/>
      <c r="NRB19" s="13"/>
      <c r="NRC19" s="13"/>
      <c r="NRD19" s="13"/>
      <c r="NRE19" s="13"/>
      <c r="NRF19" s="13"/>
      <c r="NRG19" s="13"/>
      <c r="NRH19" s="13"/>
      <c r="NRI19" s="13"/>
      <c r="NRJ19" s="13"/>
      <c r="NRK19" s="13"/>
      <c r="NRL19" s="13"/>
      <c r="NRM19" s="13"/>
      <c r="NRN19" s="13"/>
      <c r="NRO19" s="13"/>
      <c r="NRP19" s="13"/>
      <c r="NRQ19" s="13"/>
      <c r="NRR19" s="13"/>
      <c r="NRS19" s="13"/>
      <c r="NRT19" s="13"/>
      <c r="NRU19" s="13"/>
      <c r="NRV19" s="13"/>
      <c r="NRW19" s="13"/>
      <c r="NRX19" s="13"/>
      <c r="NRY19" s="13"/>
      <c r="NRZ19" s="13"/>
      <c r="NSA19" s="13"/>
      <c r="NSB19" s="13"/>
      <c r="NSC19" s="13"/>
      <c r="NSD19" s="13"/>
      <c r="NSE19" s="13"/>
      <c r="NSF19" s="13"/>
      <c r="NSG19" s="13"/>
      <c r="NSH19" s="13"/>
      <c r="NSI19" s="13"/>
      <c r="NSJ19" s="13"/>
      <c r="NSK19" s="13"/>
      <c r="NSL19" s="13"/>
      <c r="NSM19" s="13"/>
      <c r="NSN19" s="13"/>
      <c r="NSO19" s="13"/>
      <c r="NSP19" s="13"/>
      <c r="NSQ19" s="13"/>
      <c r="NSR19" s="13"/>
      <c r="NSS19" s="13"/>
      <c r="NST19" s="13"/>
      <c r="NSU19" s="13"/>
      <c r="NSV19" s="13"/>
      <c r="NSW19" s="13"/>
      <c r="NSX19" s="13"/>
      <c r="NSY19" s="13"/>
      <c r="NSZ19" s="13"/>
      <c r="NTA19" s="13"/>
      <c r="NTB19" s="13"/>
      <c r="NTC19" s="13"/>
      <c r="NTD19" s="13"/>
      <c r="NTE19" s="13"/>
      <c r="NTF19" s="13"/>
      <c r="NTG19" s="13"/>
      <c r="NTH19" s="13"/>
      <c r="NTI19" s="13"/>
      <c r="NTJ19" s="13"/>
      <c r="NTK19" s="13"/>
      <c r="NTL19" s="13"/>
      <c r="NTM19" s="13"/>
      <c r="NTN19" s="13"/>
      <c r="NTO19" s="13"/>
      <c r="NTP19" s="13"/>
      <c r="NTQ19" s="13"/>
      <c r="NTR19" s="13"/>
      <c r="NTS19" s="13"/>
      <c r="NTT19" s="13"/>
      <c r="NTU19" s="13"/>
      <c r="NTV19" s="13"/>
      <c r="NTW19" s="13"/>
      <c r="NTX19" s="13"/>
      <c r="NTY19" s="13"/>
      <c r="NTZ19" s="13"/>
      <c r="NUA19" s="13"/>
      <c r="NUB19" s="13"/>
      <c r="NUC19" s="13"/>
      <c r="NUD19" s="13"/>
      <c r="NUE19" s="13"/>
      <c r="NUF19" s="13"/>
      <c r="NUG19" s="13"/>
      <c r="NUH19" s="13"/>
      <c r="NUI19" s="13"/>
      <c r="NUJ19" s="13"/>
      <c r="NUK19" s="13"/>
      <c r="NUL19" s="13"/>
      <c r="NUM19" s="13"/>
      <c r="NUN19" s="13"/>
      <c r="NUO19" s="13"/>
      <c r="NUP19" s="13"/>
      <c r="NUQ19" s="13"/>
      <c r="NUR19" s="13"/>
      <c r="NUS19" s="13"/>
      <c r="NUT19" s="13"/>
      <c r="NUU19" s="13"/>
      <c r="NUV19" s="13"/>
      <c r="NUW19" s="13"/>
      <c r="NUX19" s="13"/>
      <c r="NUY19" s="13"/>
      <c r="NUZ19" s="13"/>
      <c r="NVA19" s="13"/>
      <c r="NVB19" s="13"/>
      <c r="NVC19" s="13"/>
      <c r="NVD19" s="13"/>
      <c r="NVE19" s="13"/>
      <c r="NVF19" s="13"/>
      <c r="NVG19" s="13"/>
      <c r="NVH19" s="13"/>
      <c r="NVI19" s="13"/>
      <c r="NVJ19" s="13"/>
      <c r="NVK19" s="13"/>
      <c r="NVL19" s="13"/>
      <c r="NVM19" s="13"/>
      <c r="NVN19" s="13"/>
      <c r="NVO19" s="13"/>
      <c r="NVP19" s="13"/>
      <c r="NVQ19" s="13"/>
      <c r="NVR19" s="13"/>
      <c r="NVS19" s="13"/>
      <c r="NVT19" s="13"/>
      <c r="NVU19" s="13"/>
      <c r="NVV19" s="13"/>
      <c r="NVW19" s="13"/>
      <c r="NVX19" s="13"/>
      <c r="NVY19" s="13"/>
      <c r="NVZ19" s="13"/>
      <c r="NWA19" s="13"/>
      <c r="NWB19" s="13"/>
      <c r="NWC19" s="13"/>
      <c r="NWD19" s="13"/>
      <c r="NWE19" s="13"/>
      <c r="NWF19" s="13"/>
      <c r="NWG19" s="13"/>
      <c r="NWH19" s="13"/>
      <c r="NWI19" s="13"/>
      <c r="NWJ19" s="13"/>
      <c r="NWK19" s="13"/>
      <c r="NWL19" s="13"/>
      <c r="NWM19" s="13"/>
      <c r="NWN19" s="13"/>
      <c r="NWO19" s="13"/>
      <c r="NWP19" s="13"/>
      <c r="NWQ19" s="13"/>
      <c r="NWR19" s="13"/>
      <c r="NWS19" s="13"/>
      <c r="NWT19" s="13"/>
      <c r="NWU19" s="13"/>
      <c r="NWV19" s="13"/>
      <c r="NWW19" s="13"/>
      <c r="NWX19" s="13"/>
      <c r="NWY19" s="13"/>
      <c r="NWZ19" s="13"/>
      <c r="NXA19" s="13"/>
      <c r="NXB19" s="13"/>
      <c r="NXC19" s="13"/>
      <c r="NXD19" s="13"/>
      <c r="NXE19" s="13"/>
      <c r="NXF19" s="13"/>
      <c r="NXG19" s="13"/>
      <c r="NXH19" s="13"/>
      <c r="NXI19" s="13"/>
      <c r="NXJ19" s="13"/>
      <c r="NXK19" s="13"/>
      <c r="NXL19" s="13"/>
      <c r="NXM19" s="13"/>
      <c r="NXN19" s="13"/>
      <c r="NXO19" s="13"/>
      <c r="NXP19" s="13"/>
      <c r="NXQ19" s="13"/>
      <c r="NXR19" s="13"/>
      <c r="NXS19" s="13"/>
      <c r="NXT19" s="13"/>
      <c r="NXU19" s="13"/>
      <c r="NXV19" s="13"/>
      <c r="NXW19" s="13"/>
      <c r="NXX19" s="13"/>
      <c r="NXY19" s="13"/>
      <c r="NXZ19" s="13"/>
      <c r="NYA19" s="13"/>
      <c r="NYB19" s="13"/>
      <c r="NYC19" s="13"/>
      <c r="NYD19" s="13"/>
      <c r="NYE19" s="13"/>
      <c r="NYF19" s="13"/>
      <c r="NYG19" s="13"/>
      <c r="NYH19" s="13"/>
      <c r="NYI19" s="13"/>
      <c r="NYJ19" s="13"/>
      <c r="NYK19" s="13"/>
      <c r="NYL19" s="13"/>
      <c r="NYM19" s="13"/>
      <c r="NYN19" s="13"/>
      <c r="NYO19" s="13"/>
      <c r="NYP19" s="13"/>
      <c r="NYQ19" s="13"/>
      <c r="NYR19" s="13"/>
      <c r="NYS19" s="13"/>
      <c r="NYT19" s="13"/>
      <c r="NYU19" s="13"/>
      <c r="NYV19" s="13"/>
      <c r="NYW19" s="13"/>
      <c r="NYX19" s="13"/>
      <c r="NYY19" s="13"/>
      <c r="NYZ19" s="13"/>
      <c r="NZA19" s="13"/>
      <c r="NZB19" s="13"/>
      <c r="NZC19" s="13"/>
      <c r="NZD19" s="13"/>
      <c r="NZE19" s="13"/>
      <c r="NZF19" s="13"/>
      <c r="NZG19" s="13"/>
      <c r="NZH19" s="13"/>
      <c r="NZI19" s="13"/>
      <c r="NZJ19" s="13"/>
      <c r="NZK19" s="13"/>
      <c r="NZL19" s="13"/>
      <c r="NZM19" s="13"/>
      <c r="NZN19" s="13"/>
      <c r="NZO19" s="13"/>
      <c r="NZP19" s="13"/>
      <c r="NZQ19" s="13"/>
      <c r="NZR19" s="13"/>
      <c r="NZS19" s="13"/>
      <c r="NZT19" s="13"/>
      <c r="NZU19" s="13"/>
      <c r="NZV19" s="13"/>
      <c r="NZW19" s="13"/>
      <c r="NZX19" s="13"/>
      <c r="NZY19" s="13"/>
      <c r="NZZ19" s="13"/>
      <c r="OAA19" s="13"/>
      <c r="OAB19" s="13"/>
      <c r="OAC19" s="13"/>
      <c r="OAD19" s="13"/>
      <c r="OAE19" s="13"/>
      <c r="OAF19" s="13"/>
      <c r="OAG19" s="13"/>
      <c r="OAH19" s="13"/>
      <c r="OAI19" s="13"/>
      <c r="OAJ19" s="13"/>
      <c r="OAK19" s="13"/>
      <c r="OAL19" s="13"/>
      <c r="OAM19" s="13"/>
      <c r="OAN19" s="13"/>
      <c r="OAO19" s="13"/>
      <c r="OAP19" s="13"/>
      <c r="OAQ19" s="13"/>
      <c r="OAR19" s="13"/>
      <c r="OAS19" s="13"/>
      <c r="OAT19" s="13"/>
      <c r="OAU19" s="13"/>
      <c r="OAV19" s="13"/>
      <c r="OAW19" s="13"/>
      <c r="OAX19" s="13"/>
      <c r="OAY19" s="13"/>
      <c r="OAZ19" s="13"/>
      <c r="OBA19" s="13"/>
      <c r="OBB19" s="13"/>
      <c r="OBC19" s="13"/>
      <c r="OBD19" s="13"/>
      <c r="OBE19" s="13"/>
      <c r="OBF19" s="13"/>
      <c r="OBG19" s="13"/>
      <c r="OBH19" s="13"/>
      <c r="OBI19" s="13"/>
      <c r="OBJ19" s="13"/>
      <c r="OBK19" s="13"/>
      <c r="OBL19" s="13"/>
      <c r="OBM19" s="13"/>
      <c r="OBN19" s="13"/>
      <c r="OBO19" s="13"/>
      <c r="OBP19" s="13"/>
      <c r="OBQ19" s="13"/>
      <c r="OBR19" s="13"/>
      <c r="OBS19" s="13"/>
      <c r="OBT19" s="13"/>
      <c r="OBU19" s="13"/>
      <c r="OBV19" s="13"/>
      <c r="OBW19" s="13"/>
      <c r="OBX19" s="13"/>
      <c r="OBY19" s="13"/>
      <c r="OBZ19" s="13"/>
      <c r="OCA19" s="13"/>
      <c r="OCB19" s="13"/>
      <c r="OCC19" s="13"/>
      <c r="OCD19" s="13"/>
      <c r="OCE19" s="13"/>
      <c r="OCF19" s="13"/>
      <c r="OCG19" s="13"/>
      <c r="OCH19" s="13"/>
      <c r="OCI19" s="13"/>
      <c r="OCJ19" s="13"/>
      <c r="OCK19" s="13"/>
      <c r="OCL19" s="13"/>
      <c r="OCM19" s="13"/>
      <c r="OCN19" s="13"/>
      <c r="OCO19" s="13"/>
      <c r="OCP19" s="13"/>
      <c r="OCQ19" s="13"/>
      <c r="OCR19" s="13"/>
      <c r="OCS19" s="13"/>
      <c r="OCT19" s="13"/>
      <c r="OCU19" s="13"/>
      <c r="OCV19" s="13"/>
      <c r="OCW19" s="13"/>
      <c r="OCX19" s="13"/>
      <c r="OCY19" s="13"/>
      <c r="OCZ19" s="13"/>
      <c r="ODA19" s="13"/>
      <c r="ODB19" s="13"/>
      <c r="ODC19" s="13"/>
      <c r="ODD19" s="13"/>
      <c r="ODE19" s="13"/>
      <c r="ODF19" s="13"/>
      <c r="ODG19" s="13"/>
      <c r="ODH19" s="13"/>
      <c r="ODI19" s="13"/>
      <c r="ODJ19" s="13"/>
      <c r="ODK19" s="13"/>
      <c r="ODL19" s="13"/>
      <c r="ODM19" s="13"/>
      <c r="ODN19" s="13"/>
      <c r="ODO19" s="13"/>
      <c r="ODP19" s="13"/>
      <c r="ODQ19" s="13"/>
      <c r="ODR19" s="13"/>
      <c r="ODS19" s="13"/>
      <c r="ODT19" s="13"/>
      <c r="ODU19" s="13"/>
      <c r="ODV19" s="13"/>
      <c r="ODW19" s="13"/>
      <c r="ODX19" s="13"/>
      <c r="ODY19" s="13"/>
      <c r="ODZ19" s="13"/>
      <c r="OEA19" s="13"/>
      <c r="OEB19" s="13"/>
      <c r="OEC19" s="13"/>
      <c r="OED19" s="13"/>
      <c r="OEE19" s="13"/>
      <c r="OEF19" s="13"/>
      <c r="OEG19" s="13"/>
      <c r="OEH19" s="13"/>
      <c r="OEI19" s="13"/>
      <c r="OEJ19" s="13"/>
      <c r="OEK19" s="13"/>
      <c r="OEL19" s="13"/>
      <c r="OEM19" s="13"/>
      <c r="OEN19" s="13"/>
      <c r="OEO19" s="13"/>
      <c r="OEP19" s="13"/>
      <c r="OEQ19" s="13"/>
      <c r="OER19" s="13"/>
      <c r="OES19" s="13"/>
      <c r="OET19" s="13"/>
      <c r="OEU19" s="13"/>
      <c r="OEV19" s="13"/>
      <c r="OEW19" s="13"/>
      <c r="OEX19" s="13"/>
      <c r="OEY19" s="13"/>
      <c r="OEZ19" s="13"/>
      <c r="OFA19" s="13"/>
      <c r="OFB19" s="13"/>
      <c r="OFC19" s="13"/>
      <c r="OFD19" s="13"/>
      <c r="OFE19" s="13"/>
      <c r="OFF19" s="13"/>
      <c r="OFG19" s="13"/>
      <c r="OFH19" s="13"/>
      <c r="OFI19" s="13"/>
      <c r="OFJ19" s="13"/>
      <c r="OFK19" s="13"/>
      <c r="OFL19" s="13"/>
      <c r="OFM19" s="13"/>
      <c r="OFN19" s="13"/>
      <c r="OFO19" s="13"/>
      <c r="OFP19" s="13"/>
      <c r="OFQ19" s="13"/>
      <c r="OFR19" s="13"/>
      <c r="OFS19" s="13"/>
      <c r="OFT19" s="13"/>
      <c r="OFU19" s="13"/>
      <c r="OFV19" s="13"/>
      <c r="OFW19" s="13"/>
      <c r="OFX19" s="13"/>
      <c r="OFY19" s="13"/>
      <c r="OFZ19" s="13"/>
      <c r="OGA19" s="13"/>
      <c r="OGB19" s="13"/>
      <c r="OGC19" s="13"/>
      <c r="OGD19" s="13"/>
      <c r="OGE19" s="13"/>
      <c r="OGF19" s="13"/>
      <c r="OGG19" s="13"/>
      <c r="OGH19" s="13"/>
      <c r="OGI19" s="13"/>
      <c r="OGJ19" s="13"/>
      <c r="OGK19" s="13"/>
      <c r="OGL19" s="13"/>
      <c r="OGM19" s="13"/>
      <c r="OGN19" s="13"/>
      <c r="OGO19" s="13"/>
      <c r="OGP19" s="13"/>
      <c r="OGQ19" s="13"/>
      <c r="OGR19" s="13"/>
      <c r="OGS19" s="13"/>
      <c r="OGT19" s="13"/>
      <c r="OGU19" s="13"/>
      <c r="OGV19" s="13"/>
      <c r="OGW19" s="13"/>
      <c r="OGX19" s="13"/>
      <c r="OGY19" s="13"/>
      <c r="OGZ19" s="13"/>
      <c r="OHA19" s="13"/>
      <c r="OHB19" s="13"/>
      <c r="OHC19" s="13"/>
      <c r="OHD19" s="13"/>
      <c r="OHE19" s="13"/>
      <c r="OHF19" s="13"/>
      <c r="OHG19" s="13"/>
      <c r="OHH19" s="13"/>
      <c r="OHI19" s="13"/>
      <c r="OHJ19" s="13"/>
      <c r="OHK19" s="13"/>
      <c r="OHL19" s="13"/>
      <c r="OHM19" s="13"/>
      <c r="OHN19" s="13"/>
      <c r="OHO19" s="13"/>
      <c r="OHP19" s="13"/>
      <c r="OHQ19" s="13"/>
      <c r="OHR19" s="13"/>
      <c r="OHS19" s="13"/>
      <c r="OHT19" s="13"/>
      <c r="OHU19" s="13"/>
      <c r="OHV19" s="13"/>
      <c r="OHW19" s="13"/>
      <c r="OHX19" s="13"/>
      <c r="OHY19" s="13"/>
      <c r="OHZ19" s="13"/>
      <c r="OIA19" s="13"/>
      <c r="OIB19" s="13"/>
      <c r="OIC19" s="13"/>
      <c r="OID19" s="13"/>
      <c r="OIE19" s="13"/>
      <c r="OIF19" s="13"/>
      <c r="OIG19" s="13"/>
      <c r="OIH19" s="13"/>
      <c r="OII19" s="13"/>
      <c r="OIJ19" s="13"/>
      <c r="OIK19" s="13"/>
      <c r="OIL19" s="13"/>
      <c r="OIM19" s="13"/>
      <c r="OIN19" s="13"/>
      <c r="OIO19" s="13"/>
      <c r="OIP19" s="13"/>
      <c r="OIQ19" s="13"/>
      <c r="OIR19" s="13"/>
      <c r="OIS19" s="13"/>
      <c r="OIT19" s="13"/>
      <c r="OIU19" s="13"/>
      <c r="OIV19" s="13"/>
      <c r="OIW19" s="13"/>
      <c r="OIX19" s="13"/>
      <c r="OIY19" s="13"/>
      <c r="OIZ19" s="13"/>
      <c r="OJA19" s="13"/>
      <c r="OJB19" s="13"/>
      <c r="OJC19" s="13"/>
      <c r="OJD19" s="13"/>
      <c r="OJE19" s="13"/>
      <c r="OJF19" s="13"/>
      <c r="OJG19" s="13"/>
      <c r="OJH19" s="13"/>
      <c r="OJI19" s="13"/>
      <c r="OJJ19" s="13"/>
      <c r="OJK19" s="13"/>
      <c r="OJL19" s="13"/>
      <c r="OJM19" s="13"/>
      <c r="OJN19" s="13"/>
      <c r="OJO19" s="13"/>
      <c r="OJP19" s="13"/>
      <c r="OJQ19" s="13"/>
      <c r="OJR19" s="13"/>
      <c r="OJS19" s="13"/>
      <c r="OJT19" s="13"/>
      <c r="OJU19" s="13"/>
      <c r="OJV19" s="13"/>
      <c r="OJW19" s="13"/>
      <c r="OJX19" s="13"/>
      <c r="OJY19" s="13"/>
      <c r="OJZ19" s="13"/>
      <c r="OKA19" s="13"/>
      <c r="OKB19" s="13"/>
      <c r="OKC19" s="13"/>
      <c r="OKD19" s="13"/>
      <c r="OKE19" s="13"/>
      <c r="OKF19" s="13"/>
      <c r="OKG19" s="13"/>
      <c r="OKH19" s="13"/>
      <c r="OKI19" s="13"/>
      <c r="OKJ19" s="13"/>
      <c r="OKK19" s="13"/>
      <c r="OKL19" s="13"/>
      <c r="OKM19" s="13"/>
      <c r="OKN19" s="13"/>
      <c r="OKO19" s="13"/>
      <c r="OKP19" s="13"/>
      <c r="OKQ19" s="13"/>
      <c r="OKR19" s="13"/>
      <c r="OKS19" s="13"/>
      <c r="OKT19" s="13"/>
      <c r="OKU19" s="13"/>
      <c r="OKV19" s="13"/>
      <c r="OKW19" s="13"/>
      <c r="OKX19" s="13"/>
      <c r="OKY19" s="13"/>
      <c r="OKZ19" s="13"/>
      <c r="OLA19" s="13"/>
      <c r="OLB19" s="13"/>
      <c r="OLC19" s="13"/>
      <c r="OLD19" s="13"/>
      <c r="OLE19" s="13"/>
      <c r="OLF19" s="13"/>
      <c r="OLG19" s="13"/>
      <c r="OLH19" s="13"/>
      <c r="OLI19" s="13"/>
      <c r="OLJ19" s="13"/>
      <c r="OLK19" s="13"/>
      <c r="OLL19" s="13"/>
      <c r="OLM19" s="13"/>
      <c r="OLN19" s="13"/>
      <c r="OLO19" s="13"/>
      <c r="OLP19" s="13"/>
      <c r="OLQ19" s="13"/>
      <c r="OLR19" s="13"/>
      <c r="OLS19" s="13"/>
      <c r="OLT19" s="13"/>
      <c r="OLU19" s="13"/>
      <c r="OLV19" s="13"/>
      <c r="OLW19" s="13"/>
      <c r="OLX19" s="13"/>
      <c r="OLY19" s="13"/>
      <c r="OLZ19" s="13"/>
      <c r="OMA19" s="13"/>
      <c r="OMB19" s="13"/>
      <c r="OMC19" s="13"/>
      <c r="OMD19" s="13"/>
      <c r="OME19" s="13"/>
      <c r="OMF19" s="13"/>
      <c r="OMG19" s="13"/>
      <c r="OMH19" s="13"/>
      <c r="OMI19" s="13"/>
      <c r="OMJ19" s="13"/>
      <c r="OMK19" s="13"/>
      <c r="OML19" s="13"/>
      <c r="OMM19" s="13"/>
      <c r="OMN19" s="13"/>
      <c r="OMO19" s="13"/>
      <c r="OMP19" s="13"/>
      <c r="OMQ19" s="13"/>
      <c r="OMR19" s="13"/>
      <c r="OMS19" s="13"/>
      <c r="OMT19" s="13"/>
      <c r="OMU19" s="13"/>
      <c r="OMV19" s="13"/>
      <c r="OMW19" s="13"/>
      <c r="OMX19" s="13"/>
      <c r="OMY19" s="13"/>
      <c r="OMZ19" s="13"/>
      <c r="ONA19" s="13"/>
      <c r="ONB19" s="13"/>
      <c r="ONC19" s="13"/>
      <c r="OND19" s="13"/>
      <c r="ONE19" s="13"/>
      <c r="ONF19" s="13"/>
      <c r="ONG19" s="13"/>
      <c r="ONH19" s="13"/>
      <c r="ONI19" s="13"/>
      <c r="ONJ19" s="13"/>
      <c r="ONK19" s="13"/>
      <c r="ONL19" s="13"/>
      <c r="ONM19" s="13"/>
      <c r="ONN19" s="13"/>
      <c r="ONO19" s="13"/>
      <c r="ONP19" s="13"/>
      <c r="ONQ19" s="13"/>
      <c r="ONR19" s="13"/>
      <c r="ONS19" s="13"/>
      <c r="ONT19" s="13"/>
      <c r="ONU19" s="13"/>
      <c r="ONV19" s="13"/>
      <c r="ONW19" s="13"/>
      <c r="ONX19" s="13"/>
      <c r="ONY19" s="13"/>
      <c r="ONZ19" s="13"/>
      <c r="OOA19" s="13"/>
      <c r="OOB19" s="13"/>
      <c r="OOC19" s="13"/>
      <c r="OOD19" s="13"/>
      <c r="OOE19" s="13"/>
      <c r="OOF19" s="13"/>
      <c r="OOG19" s="13"/>
      <c r="OOH19" s="13"/>
      <c r="OOI19" s="13"/>
      <c r="OOJ19" s="13"/>
      <c r="OOK19" s="13"/>
      <c r="OOL19" s="13"/>
      <c r="OOM19" s="13"/>
      <c r="OON19" s="13"/>
      <c r="OOO19" s="13"/>
      <c r="OOP19" s="13"/>
      <c r="OOQ19" s="13"/>
      <c r="OOR19" s="13"/>
      <c r="OOS19" s="13"/>
      <c r="OOT19" s="13"/>
      <c r="OOU19" s="13"/>
      <c r="OOV19" s="13"/>
      <c r="OOW19" s="13"/>
      <c r="OOX19" s="13"/>
      <c r="OOY19" s="13"/>
      <c r="OOZ19" s="13"/>
      <c r="OPA19" s="13"/>
      <c r="OPB19" s="13"/>
      <c r="OPC19" s="13"/>
      <c r="OPD19" s="13"/>
      <c r="OPE19" s="13"/>
      <c r="OPF19" s="13"/>
      <c r="OPG19" s="13"/>
      <c r="OPH19" s="13"/>
      <c r="OPI19" s="13"/>
      <c r="OPJ19" s="13"/>
      <c r="OPK19" s="13"/>
      <c r="OPL19" s="13"/>
      <c r="OPM19" s="13"/>
      <c r="OPN19" s="13"/>
      <c r="OPO19" s="13"/>
      <c r="OPP19" s="13"/>
      <c r="OPQ19" s="13"/>
      <c r="OPR19" s="13"/>
      <c r="OPS19" s="13"/>
      <c r="OPT19" s="13"/>
      <c r="OPU19" s="13"/>
      <c r="OPV19" s="13"/>
      <c r="OPW19" s="13"/>
      <c r="OPX19" s="13"/>
      <c r="OPY19" s="13"/>
      <c r="OPZ19" s="13"/>
      <c r="OQA19" s="13"/>
      <c r="OQB19" s="13"/>
      <c r="OQC19" s="13"/>
      <c r="OQD19" s="13"/>
      <c r="OQE19" s="13"/>
      <c r="OQF19" s="13"/>
      <c r="OQG19" s="13"/>
      <c r="OQH19" s="13"/>
      <c r="OQI19" s="13"/>
      <c r="OQJ19" s="13"/>
      <c r="OQK19" s="13"/>
      <c r="OQL19" s="13"/>
      <c r="OQM19" s="13"/>
      <c r="OQN19" s="13"/>
      <c r="OQO19" s="13"/>
      <c r="OQP19" s="13"/>
      <c r="OQQ19" s="13"/>
      <c r="OQR19" s="13"/>
      <c r="OQS19" s="13"/>
      <c r="OQT19" s="13"/>
      <c r="OQU19" s="13"/>
      <c r="OQV19" s="13"/>
      <c r="OQW19" s="13"/>
      <c r="OQX19" s="13"/>
      <c r="OQY19" s="13"/>
      <c r="OQZ19" s="13"/>
      <c r="ORA19" s="13"/>
      <c r="ORB19" s="13"/>
      <c r="ORC19" s="13"/>
      <c r="ORD19" s="13"/>
      <c r="ORE19" s="13"/>
      <c r="ORF19" s="13"/>
      <c r="ORG19" s="13"/>
      <c r="ORH19" s="13"/>
      <c r="ORI19" s="13"/>
      <c r="ORJ19" s="13"/>
      <c r="ORK19" s="13"/>
      <c r="ORL19" s="13"/>
      <c r="ORM19" s="13"/>
      <c r="ORN19" s="13"/>
      <c r="ORO19" s="13"/>
      <c r="ORP19" s="13"/>
      <c r="ORQ19" s="13"/>
      <c r="ORR19" s="13"/>
      <c r="ORS19" s="13"/>
      <c r="ORT19" s="13"/>
      <c r="ORU19" s="13"/>
      <c r="ORV19" s="13"/>
      <c r="ORW19" s="13"/>
      <c r="ORX19" s="13"/>
      <c r="ORY19" s="13"/>
      <c r="ORZ19" s="13"/>
      <c r="OSA19" s="13"/>
      <c r="OSB19" s="13"/>
      <c r="OSC19" s="13"/>
      <c r="OSD19" s="13"/>
      <c r="OSE19" s="13"/>
      <c r="OSF19" s="13"/>
      <c r="OSG19" s="13"/>
      <c r="OSH19" s="13"/>
      <c r="OSI19" s="13"/>
      <c r="OSJ19" s="13"/>
      <c r="OSK19" s="13"/>
      <c r="OSL19" s="13"/>
      <c r="OSM19" s="13"/>
      <c r="OSN19" s="13"/>
      <c r="OSO19" s="13"/>
      <c r="OSP19" s="13"/>
      <c r="OSQ19" s="13"/>
      <c r="OSR19" s="13"/>
      <c r="OSS19" s="13"/>
      <c r="OST19" s="13"/>
      <c r="OSU19" s="13"/>
      <c r="OSV19" s="13"/>
      <c r="OSW19" s="13"/>
      <c r="OSX19" s="13"/>
      <c r="OSY19" s="13"/>
      <c r="OSZ19" s="13"/>
      <c r="OTA19" s="13"/>
      <c r="OTB19" s="13"/>
      <c r="OTC19" s="13"/>
      <c r="OTD19" s="13"/>
      <c r="OTE19" s="13"/>
      <c r="OTF19" s="13"/>
      <c r="OTG19" s="13"/>
      <c r="OTH19" s="13"/>
      <c r="OTI19" s="13"/>
      <c r="OTJ19" s="13"/>
      <c r="OTK19" s="13"/>
      <c r="OTL19" s="13"/>
      <c r="OTM19" s="13"/>
      <c r="OTN19" s="13"/>
      <c r="OTO19" s="13"/>
      <c r="OTP19" s="13"/>
      <c r="OTQ19" s="13"/>
      <c r="OTR19" s="13"/>
      <c r="OTS19" s="13"/>
      <c r="OTT19" s="13"/>
      <c r="OTU19" s="13"/>
      <c r="OTV19" s="13"/>
      <c r="OTW19" s="13"/>
      <c r="OTX19" s="13"/>
      <c r="OTY19" s="13"/>
      <c r="OTZ19" s="13"/>
      <c r="OUA19" s="13"/>
      <c r="OUB19" s="13"/>
      <c r="OUC19" s="13"/>
      <c r="OUD19" s="13"/>
      <c r="OUE19" s="13"/>
      <c r="OUF19" s="13"/>
      <c r="OUG19" s="13"/>
      <c r="OUH19" s="13"/>
      <c r="OUI19" s="13"/>
      <c r="OUJ19" s="13"/>
      <c r="OUK19" s="13"/>
      <c r="OUL19" s="13"/>
      <c r="OUM19" s="13"/>
      <c r="OUN19" s="13"/>
      <c r="OUO19" s="13"/>
      <c r="OUP19" s="13"/>
      <c r="OUQ19" s="13"/>
      <c r="OUR19" s="13"/>
      <c r="OUS19" s="13"/>
      <c r="OUT19" s="13"/>
      <c r="OUU19" s="13"/>
      <c r="OUV19" s="13"/>
      <c r="OUW19" s="13"/>
      <c r="OUX19" s="13"/>
      <c r="OUY19" s="13"/>
      <c r="OUZ19" s="13"/>
      <c r="OVA19" s="13"/>
      <c r="OVB19" s="13"/>
      <c r="OVC19" s="13"/>
      <c r="OVD19" s="13"/>
      <c r="OVE19" s="13"/>
      <c r="OVF19" s="13"/>
      <c r="OVG19" s="13"/>
      <c r="OVH19" s="13"/>
      <c r="OVI19" s="13"/>
      <c r="OVJ19" s="13"/>
      <c r="OVK19" s="13"/>
      <c r="OVL19" s="13"/>
      <c r="OVM19" s="13"/>
      <c r="OVN19" s="13"/>
      <c r="OVO19" s="13"/>
      <c r="OVP19" s="13"/>
      <c r="OVQ19" s="13"/>
      <c r="OVR19" s="13"/>
      <c r="OVS19" s="13"/>
      <c r="OVT19" s="13"/>
      <c r="OVU19" s="13"/>
      <c r="OVV19" s="13"/>
      <c r="OVW19" s="13"/>
      <c r="OVX19" s="13"/>
      <c r="OVY19" s="13"/>
      <c r="OVZ19" s="13"/>
      <c r="OWA19" s="13"/>
      <c r="OWB19" s="13"/>
      <c r="OWC19" s="13"/>
      <c r="OWD19" s="13"/>
      <c r="OWE19" s="13"/>
      <c r="OWF19" s="13"/>
      <c r="OWG19" s="13"/>
      <c r="OWH19" s="13"/>
      <c r="OWI19" s="13"/>
      <c r="OWJ19" s="13"/>
      <c r="OWK19" s="13"/>
      <c r="OWL19" s="13"/>
      <c r="OWM19" s="13"/>
      <c r="OWN19" s="13"/>
      <c r="OWO19" s="13"/>
      <c r="OWP19" s="13"/>
      <c r="OWQ19" s="13"/>
      <c r="OWR19" s="13"/>
      <c r="OWS19" s="13"/>
      <c r="OWT19" s="13"/>
      <c r="OWU19" s="13"/>
      <c r="OWV19" s="13"/>
      <c r="OWW19" s="13"/>
      <c r="OWX19" s="13"/>
      <c r="OWY19" s="13"/>
      <c r="OWZ19" s="13"/>
      <c r="OXA19" s="13"/>
      <c r="OXB19" s="13"/>
      <c r="OXC19" s="13"/>
      <c r="OXD19" s="13"/>
      <c r="OXE19" s="13"/>
      <c r="OXF19" s="13"/>
      <c r="OXG19" s="13"/>
      <c r="OXH19" s="13"/>
      <c r="OXI19" s="13"/>
      <c r="OXJ19" s="13"/>
      <c r="OXK19" s="13"/>
      <c r="OXL19" s="13"/>
      <c r="OXM19" s="13"/>
      <c r="OXN19" s="13"/>
      <c r="OXO19" s="13"/>
      <c r="OXP19" s="13"/>
      <c r="OXQ19" s="13"/>
      <c r="OXR19" s="13"/>
      <c r="OXS19" s="13"/>
      <c r="OXT19" s="13"/>
      <c r="OXU19" s="13"/>
      <c r="OXV19" s="13"/>
      <c r="OXW19" s="13"/>
      <c r="OXX19" s="13"/>
      <c r="OXY19" s="13"/>
      <c r="OXZ19" s="13"/>
      <c r="OYA19" s="13"/>
      <c r="OYB19" s="13"/>
      <c r="OYC19" s="13"/>
      <c r="OYD19" s="13"/>
      <c r="OYE19" s="13"/>
      <c r="OYF19" s="13"/>
      <c r="OYG19" s="13"/>
      <c r="OYH19" s="13"/>
      <c r="OYI19" s="13"/>
      <c r="OYJ19" s="13"/>
      <c r="OYK19" s="13"/>
      <c r="OYL19" s="13"/>
      <c r="OYM19" s="13"/>
      <c r="OYN19" s="13"/>
      <c r="OYO19" s="13"/>
      <c r="OYP19" s="13"/>
      <c r="OYQ19" s="13"/>
      <c r="OYR19" s="13"/>
      <c r="OYS19" s="13"/>
      <c r="OYT19" s="13"/>
      <c r="OYU19" s="13"/>
      <c r="OYV19" s="13"/>
      <c r="OYW19" s="13"/>
      <c r="OYX19" s="13"/>
      <c r="OYY19" s="13"/>
      <c r="OYZ19" s="13"/>
      <c r="OZA19" s="13"/>
      <c r="OZB19" s="13"/>
      <c r="OZC19" s="13"/>
      <c r="OZD19" s="13"/>
      <c r="OZE19" s="13"/>
      <c r="OZF19" s="13"/>
      <c r="OZG19" s="13"/>
      <c r="OZH19" s="13"/>
      <c r="OZI19" s="13"/>
      <c r="OZJ19" s="13"/>
      <c r="OZK19" s="13"/>
      <c r="OZL19" s="13"/>
      <c r="OZM19" s="13"/>
      <c r="OZN19" s="13"/>
      <c r="OZO19" s="13"/>
      <c r="OZP19" s="13"/>
      <c r="OZQ19" s="13"/>
      <c r="OZR19" s="13"/>
      <c r="OZS19" s="13"/>
      <c r="OZT19" s="13"/>
      <c r="OZU19" s="13"/>
      <c r="OZV19" s="13"/>
      <c r="OZW19" s="13"/>
      <c r="OZX19" s="13"/>
      <c r="OZY19" s="13"/>
      <c r="OZZ19" s="13"/>
      <c r="PAA19" s="13"/>
      <c r="PAB19" s="13"/>
      <c r="PAC19" s="13"/>
      <c r="PAD19" s="13"/>
      <c r="PAE19" s="13"/>
      <c r="PAF19" s="13"/>
      <c r="PAG19" s="13"/>
      <c r="PAH19" s="13"/>
      <c r="PAI19" s="13"/>
      <c r="PAJ19" s="13"/>
      <c r="PAK19" s="13"/>
      <c r="PAL19" s="13"/>
      <c r="PAM19" s="13"/>
      <c r="PAN19" s="13"/>
      <c r="PAO19" s="13"/>
      <c r="PAP19" s="13"/>
      <c r="PAQ19" s="13"/>
      <c r="PAR19" s="13"/>
      <c r="PAS19" s="13"/>
      <c r="PAT19" s="13"/>
      <c r="PAU19" s="13"/>
      <c r="PAV19" s="13"/>
      <c r="PAW19" s="13"/>
      <c r="PAX19" s="13"/>
      <c r="PAY19" s="13"/>
      <c r="PAZ19" s="13"/>
      <c r="PBA19" s="13"/>
      <c r="PBB19" s="13"/>
      <c r="PBC19" s="13"/>
      <c r="PBD19" s="13"/>
      <c r="PBE19" s="13"/>
      <c r="PBF19" s="13"/>
      <c r="PBG19" s="13"/>
      <c r="PBH19" s="13"/>
      <c r="PBI19" s="13"/>
      <c r="PBJ19" s="13"/>
      <c r="PBK19" s="13"/>
      <c r="PBL19" s="13"/>
      <c r="PBM19" s="13"/>
      <c r="PBN19" s="13"/>
      <c r="PBO19" s="13"/>
      <c r="PBP19" s="13"/>
      <c r="PBQ19" s="13"/>
      <c r="PBR19" s="13"/>
      <c r="PBS19" s="13"/>
      <c r="PBT19" s="13"/>
      <c r="PBU19" s="13"/>
      <c r="PBV19" s="13"/>
      <c r="PBW19" s="13"/>
      <c r="PBX19" s="13"/>
      <c r="PBY19" s="13"/>
      <c r="PBZ19" s="13"/>
      <c r="PCA19" s="13"/>
      <c r="PCB19" s="13"/>
      <c r="PCC19" s="13"/>
      <c r="PCD19" s="13"/>
      <c r="PCE19" s="13"/>
      <c r="PCF19" s="13"/>
      <c r="PCG19" s="13"/>
      <c r="PCH19" s="13"/>
      <c r="PCI19" s="13"/>
      <c r="PCJ19" s="13"/>
      <c r="PCK19" s="13"/>
      <c r="PCL19" s="13"/>
      <c r="PCM19" s="13"/>
      <c r="PCN19" s="13"/>
      <c r="PCO19" s="13"/>
      <c r="PCP19" s="13"/>
      <c r="PCQ19" s="13"/>
      <c r="PCR19" s="13"/>
      <c r="PCS19" s="13"/>
      <c r="PCT19" s="13"/>
      <c r="PCU19" s="13"/>
      <c r="PCV19" s="13"/>
      <c r="PCW19" s="13"/>
      <c r="PCX19" s="13"/>
      <c r="PCY19" s="13"/>
      <c r="PCZ19" s="13"/>
      <c r="PDA19" s="13"/>
      <c r="PDB19" s="13"/>
      <c r="PDC19" s="13"/>
      <c r="PDD19" s="13"/>
      <c r="PDE19" s="13"/>
      <c r="PDF19" s="13"/>
      <c r="PDG19" s="13"/>
      <c r="PDH19" s="13"/>
      <c r="PDI19" s="13"/>
      <c r="PDJ19" s="13"/>
      <c r="PDK19" s="13"/>
      <c r="PDL19" s="13"/>
      <c r="PDM19" s="13"/>
      <c r="PDN19" s="13"/>
      <c r="PDO19" s="13"/>
      <c r="PDP19" s="13"/>
      <c r="PDQ19" s="13"/>
      <c r="PDR19" s="13"/>
      <c r="PDS19" s="13"/>
      <c r="PDT19" s="13"/>
      <c r="PDU19" s="13"/>
      <c r="PDV19" s="13"/>
      <c r="PDW19" s="13"/>
      <c r="PDX19" s="13"/>
      <c r="PDY19" s="13"/>
      <c r="PDZ19" s="13"/>
      <c r="PEA19" s="13"/>
      <c r="PEB19" s="13"/>
      <c r="PEC19" s="13"/>
      <c r="PED19" s="13"/>
      <c r="PEE19" s="13"/>
      <c r="PEF19" s="13"/>
      <c r="PEG19" s="13"/>
      <c r="PEH19" s="13"/>
      <c r="PEI19" s="13"/>
      <c r="PEJ19" s="13"/>
      <c r="PEK19" s="13"/>
      <c r="PEL19" s="13"/>
      <c r="PEM19" s="13"/>
      <c r="PEN19" s="13"/>
      <c r="PEO19" s="13"/>
      <c r="PEP19" s="13"/>
      <c r="PEQ19" s="13"/>
      <c r="PER19" s="13"/>
      <c r="PES19" s="13"/>
      <c r="PET19" s="13"/>
      <c r="PEU19" s="13"/>
      <c r="PEV19" s="13"/>
      <c r="PEW19" s="13"/>
      <c r="PEX19" s="13"/>
      <c r="PEY19" s="13"/>
      <c r="PEZ19" s="13"/>
      <c r="PFA19" s="13"/>
      <c r="PFB19" s="13"/>
      <c r="PFC19" s="13"/>
      <c r="PFD19" s="13"/>
      <c r="PFE19" s="13"/>
      <c r="PFF19" s="13"/>
      <c r="PFG19" s="13"/>
      <c r="PFH19" s="13"/>
      <c r="PFI19" s="13"/>
      <c r="PFJ19" s="13"/>
      <c r="PFK19" s="13"/>
      <c r="PFL19" s="13"/>
      <c r="PFM19" s="13"/>
      <c r="PFN19" s="13"/>
      <c r="PFO19" s="13"/>
      <c r="PFP19" s="13"/>
      <c r="PFQ19" s="13"/>
      <c r="PFR19" s="13"/>
      <c r="PFS19" s="13"/>
      <c r="PFT19" s="13"/>
      <c r="PFU19" s="13"/>
      <c r="PFV19" s="13"/>
      <c r="PFW19" s="13"/>
      <c r="PFX19" s="13"/>
      <c r="PFY19" s="13"/>
      <c r="PFZ19" s="13"/>
      <c r="PGA19" s="13"/>
      <c r="PGB19" s="13"/>
      <c r="PGC19" s="13"/>
      <c r="PGD19" s="13"/>
      <c r="PGE19" s="13"/>
      <c r="PGF19" s="13"/>
      <c r="PGG19" s="13"/>
      <c r="PGH19" s="13"/>
      <c r="PGI19" s="13"/>
      <c r="PGJ19" s="13"/>
      <c r="PGK19" s="13"/>
      <c r="PGL19" s="13"/>
      <c r="PGM19" s="13"/>
      <c r="PGN19" s="13"/>
      <c r="PGO19" s="13"/>
      <c r="PGP19" s="13"/>
      <c r="PGQ19" s="13"/>
      <c r="PGR19" s="13"/>
      <c r="PGS19" s="13"/>
      <c r="PGT19" s="13"/>
      <c r="PGU19" s="13"/>
      <c r="PGV19" s="13"/>
      <c r="PGW19" s="13"/>
      <c r="PGX19" s="13"/>
      <c r="PGY19" s="13"/>
      <c r="PGZ19" s="13"/>
      <c r="PHA19" s="13"/>
      <c r="PHB19" s="13"/>
      <c r="PHC19" s="13"/>
      <c r="PHD19" s="13"/>
      <c r="PHE19" s="13"/>
      <c r="PHF19" s="13"/>
      <c r="PHG19" s="13"/>
      <c r="PHH19" s="13"/>
      <c r="PHI19" s="13"/>
      <c r="PHJ19" s="13"/>
      <c r="PHK19" s="13"/>
      <c r="PHL19" s="13"/>
      <c r="PHM19" s="13"/>
      <c r="PHN19" s="13"/>
      <c r="PHO19" s="13"/>
      <c r="PHP19" s="13"/>
      <c r="PHQ19" s="13"/>
      <c r="PHR19" s="13"/>
      <c r="PHS19" s="13"/>
      <c r="PHT19" s="13"/>
      <c r="PHU19" s="13"/>
      <c r="PHV19" s="13"/>
      <c r="PHW19" s="13"/>
      <c r="PHX19" s="13"/>
      <c r="PHY19" s="13"/>
      <c r="PHZ19" s="13"/>
      <c r="PIA19" s="13"/>
      <c r="PIB19" s="13"/>
      <c r="PIC19" s="13"/>
      <c r="PID19" s="13"/>
      <c r="PIE19" s="13"/>
      <c r="PIF19" s="13"/>
      <c r="PIG19" s="13"/>
      <c r="PIH19" s="13"/>
      <c r="PII19" s="13"/>
      <c r="PIJ19" s="13"/>
      <c r="PIK19" s="13"/>
      <c r="PIL19" s="13"/>
      <c r="PIM19" s="13"/>
      <c r="PIN19" s="13"/>
      <c r="PIO19" s="13"/>
      <c r="PIP19" s="13"/>
      <c r="PIQ19" s="13"/>
      <c r="PIR19" s="13"/>
      <c r="PIS19" s="13"/>
      <c r="PIT19" s="13"/>
      <c r="PIU19" s="13"/>
      <c r="PIV19" s="13"/>
      <c r="PIW19" s="13"/>
      <c r="PIX19" s="13"/>
      <c r="PIY19" s="13"/>
      <c r="PIZ19" s="13"/>
      <c r="PJA19" s="13"/>
      <c r="PJB19" s="13"/>
      <c r="PJC19" s="13"/>
      <c r="PJD19" s="13"/>
      <c r="PJE19" s="13"/>
      <c r="PJF19" s="13"/>
      <c r="PJG19" s="13"/>
      <c r="PJH19" s="13"/>
      <c r="PJI19" s="13"/>
      <c r="PJJ19" s="13"/>
      <c r="PJK19" s="13"/>
      <c r="PJL19" s="13"/>
      <c r="PJM19" s="13"/>
      <c r="PJN19" s="13"/>
      <c r="PJO19" s="13"/>
      <c r="PJP19" s="13"/>
      <c r="PJQ19" s="13"/>
      <c r="PJR19" s="13"/>
      <c r="PJS19" s="13"/>
      <c r="PJT19" s="13"/>
      <c r="PJU19" s="13"/>
      <c r="PJV19" s="13"/>
      <c r="PJW19" s="13"/>
      <c r="PJX19" s="13"/>
      <c r="PJY19" s="13"/>
      <c r="PJZ19" s="13"/>
      <c r="PKA19" s="13"/>
      <c r="PKB19" s="13"/>
      <c r="PKC19" s="13"/>
      <c r="PKD19" s="13"/>
      <c r="PKE19" s="13"/>
      <c r="PKF19" s="13"/>
      <c r="PKG19" s="13"/>
      <c r="PKH19" s="13"/>
      <c r="PKI19" s="13"/>
      <c r="PKJ19" s="13"/>
      <c r="PKK19" s="13"/>
      <c r="PKL19" s="13"/>
      <c r="PKM19" s="13"/>
      <c r="PKN19" s="13"/>
      <c r="PKO19" s="13"/>
      <c r="PKP19" s="13"/>
      <c r="PKQ19" s="13"/>
      <c r="PKR19" s="13"/>
      <c r="PKS19" s="13"/>
      <c r="PKT19" s="13"/>
      <c r="PKU19" s="13"/>
      <c r="PKV19" s="13"/>
      <c r="PKW19" s="13"/>
      <c r="PKX19" s="13"/>
      <c r="PKY19" s="13"/>
      <c r="PKZ19" s="13"/>
      <c r="PLA19" s="13"/>
      <c r="PLB19" s="13"/>
      <c r="PLC19" s="13"/>
      <c r="PLD19" s="13"/>
      <c r="PLE19" s="13"/>
      <c r="PLF19" s="13"/>
      <c r="PLG19" s="13"/>
      <c r="PLH19" s="13"/>
      <c r="PLI19" s="13"/>
      <c r="PLJ19" s="13"/>
      <c r="PLK19" s="13"/>
      <c r="PLL19" s="13"/>
      <c r="PLM19" s="13"/>
      <c r="PLN19" s="13"/>
      <c r="PLO19" s="13"/>
      <c r="PLP19" s="13"/>
      <c r="PLQ19" s="13"/>
      <c r="PLR19" s="13"/>
      <c r="PLS19" s="13"/>
      <c r="PLT19" s="13"/>
      <c r="PLU19" s="13"/>
      <c r="PLV19" s="13"/>
      <c r="PLW19" s="13"/>
      <c r="PLX19" s="13"/>
      <c r="PLY19" s="13"/>
      <c r="PLZ19" s="13"/>
      <c r="PMA19" s="13"/>
      <c r="PMB19" s="13"/>
      <c r="PMC19" s="13"/>
      <c r="PMD19" s="13"/>
      <c r="PME19" s="13"/>
      <c r="PMF19" s="13"/>
      <c r="PMG19" s="13"/>
      <c r="PMH19" s="13"/>
      <c r="PMI19" s="13"/>
      <c r="PMJ19" s="13"/>
      <c r="PMK19" s="13"/>
      <c r="PML19" s="13"/>
      <c r="PMM19" s="13"/>
      <c r="PMN19" s="13"/>
      <c r="PMO19" s="13"/>
      <c r="PMP19" s="13"/>
      <c r="PMQ19" s="13"/>
      <c r="PMR19" s="13"/>
      <c r="PMS19" s="13"/>
      <c r="PMT19" s="13"/>
      <c r="PMU19" s="13"/>
      <c r="PMV19" s="13"/>
      <c r="PMW19" s="13"/>
      <c r="PMX19" s="13"/>
      <c r="PMY19" s="13"/>
      <c r="PMZ19" s="13"/>
      <c r="PNA19" s="13"/>
      <c r="PNB19" s="13"/>
      <c r="PNC19" s="13"/>
      <c r="PND19" s="13"/>
      <c r="PNE19" s="13"/>
      <c r="PNF19" s="13"/>
      <c r="PNG19" s="13"/>
      <c r="PNH19" s="13"/>
      <c r="PNI19" s="13"/>
      <c r="PNJ19" s="13"/>
      <c r="PNK19" s="13"/>
      <c r="PNL19" s="13"/>
      <c r="PNM19" s="13"/>
      <c r="PNN19" s="13"/>
      <c r="PNO19" s="13"/>
      <c r="PNP19" s="13"/>
      <c r="PNQ19" s="13"/>
      <c r="PNR19" s="13"/>
      <c r="PNS19" s="13"/>
      <c r="PNT19" s="13"/>
      <c r="PNU19" s="13"/>
      <c r="PNV19" s="13"/>
      <c r="PNW19" s="13"/>
      <c r="PNX19" s="13"/>
      <c r="PNY19" s="13"/>
      <c r="PNZ19" s="13"/>
      <c r="POA19" s="13"/>
      <c r="POB19" s="13"/>
      <c r="POC19" s="13"/>
      <c r="POD19" s="13"/>
      <c r="POE19" s="13"/>
      <c r="POF19" s="13"/>
      <c r="POG19" s="13"/>
      <c r="POH19" s="13"/>
      <c r="POI19" s="13"/>
      <c r="POJ19" s="13"/>
      <c r="POK19" s="13"/>
      <c r="POL19" s="13"/>
      <c r="POM19" s="13"/>
      <c r="PON19" s="13"/>
      <c r="POO19" s="13"/>
      <c r="POP19" s="13"/>
      <c r="POQ19" s="13"/>
      <c r="POR19" s="13"/>
      <c r="POS19" s="13"/>
      <c r="POT19" s="13"/>
      <c r="POU19" s="13"/>
      <c r="POV19" s="13"/>
      <c r="POW19" s="13"/>
      <c r="POX19" s="13"/>
      <c r="POY19" s="13"/>
      <c r="POZ19" s="13"/>
      <c r="PPA19" s="13"/>
      <c r="PPB19" s="13"/>
      <c r="PPC19" s="13"/>
      <c r="PPD19" s="13"/>
      <c r="PPE19" s="13"/>
      <c r="PPF19" s="13"/>
      <c r="PPG19" s="13"/>
      <c r="PPH19" s="13"/>
      <c r="PPI19" s="13"/>
      <c r="PPJ19" s="13"/>
      <c r="PPK19" s="13"/>
      <c r="PPL19" s="13"/>
      <c r="PPM19" s="13"/>
      <c r="PPN19" s="13"/>
      <c r="PPO19" s="13"/>
      <c r="PPP19" s="13"/>
      <c r="PPQ19" s="13"/>
      <c r="PPR19" s="13"/>
      <c r="PPS19" s="13"/>
      <c r="PPT19" s="13"/>
      <c r="PPU19" s="13"/>
      <c r="PPV19" s="13"/>
      <c r="PPW19" s="13"/>
      <c r="PPX19" s="13"/>
      <c r="PPY19" s="13"/>
      <c r="PPZ19" s="13"/>
      <c r="PQA19" s="13"/>
      <c r="PQB19" s="13"/>
      <c r="PQC19" s="13"/>
      <c r="PQD19" s="13"/>
      <c r="PQE19" s="13"/>
      <c r="PQF19" s="13"/>
      <c r="PQG19" s="13"/>
      <c r="PQH19" s="13"/>
      <c r="PQI19" s="13"/>
      <c r="PQJ19" s="13"/>
      <c r="PQK19" s="13"/>
      <c r="PQL19" s="13"/>
      <c r="PQM19" s="13"/>
      <c r="PQN19" s="13"/>
      <c r="PQO19" s="13"/>
      <c r="PQP19" s="13"/>
      <c r="PQQ19" s="13"/>
      <c r="PQR19" s="13"/>
      <c r="PQS19" s="13"/>
      <c r="PQT19" s="13"/>
      <c r="PQU19" s="13"/>
      <c r="PQV19" s="13"/>
      <c r="PQW19" s="13"/>
      <c r="PQX19" s="13"/>
      <c r="PQY19" s="13"/>
      <c r="PQZ19" s="13"/>
      <c r="PRA19" s="13"/>
      <c r="PRB19" s="13"/>
      <c r="PRC19" s="13"/>
      <c r="PRD19" s="13"/>
      <c r="PRE19" s="13"/>
      <c r="PRF19" s="13"/>
      <c r="PRG19" s="13"/>
      <c r="PRH19" s="13"/>
      <c r="PRI19" s="13"/>
      <c r="PRJ19" s="13"/>
      <c r="PRK19" s="13"/>
      <c r="PRL19" s="13"/>
      <c r="PRM19" s="13"/>
      <c r="PRN19" s="13"/>
      <c r="PRO19" s="13"/>
      <c r="PRP19" s="13"/>
      <c r="PRQ19" s="13"/>
      <c r="PRR19" s="13"/>
      <c r="PRS19" s="13"/>
      <c r="PRT19" s="13"/>
      <c r="PRU19" s="13"/>
      <c r="PRV19" s="13"/>
      <c r="PRW19" s="13"/>
      <c r="PRX19" s="13"/>
      <c r="PRY19" s="13"/>
      <c r="PRZ19" s="13"/>
      <c r="PSA19" s="13"/>
      <c r="PSB19" s="13"/>
      <c r="PSC19" s="13"/>
      <c r="PSD19" s="13"/>
      <c r="PSE19" s="13"/>
      <c r="PSF19" s="13"/>
      <c r="PSG19" s="13"/>
      <c r="PSH19" s="13"/>
      <c r="PSI19" s="13"/>
      <c r="PSJ19" s="13"/>
      <c r="PSK19" s="13"/>
      <c r="PSL19" s="13"/>
      <c r="PSM19" s="13"/>
      <c r="PSN19" s="13"/>
      <c r="PSO19" s="13"/>
      <c r="PSP19" s="13"/>
      <c r="PSQ19" s="13"/>
      <c r="PSR19" s="13"/>
      <c r="PSS19" s="13"/>
      <c r="PST19" s="13"/>
      <c r="PSU19" s="13"/>
      <c r="PSV19" s="13"/>
      <c r="PSW19" s="13"/>
      <c r="PSX19" s="13"/>
      <c r="PSY19" s="13"/>
      <c r="PSZ19" s="13"/>
      <c r="PTA19" s="13"/>
      <c r="PTB19" s="13"/>
      <c r="PTC19" s="13"/>
      <c r="PTD19" s="13"/>
      <c r="PTE19" s="13"/>
      <c r="PTF19" s="13"/>
      <c r="PTG19" s="13"/>
      <c r="PTH19" s="13"/>
      <c r="PTI19" s="13"/>
      <c r="PTJ19" s="13"/>
      <c r="PTK19" s="13"/>
      <c r="PTL19" s="13"/>
      <c r="PTM19" s="13"/>
      <c r="PTN19" s="13"/>
      <c r="PTO19" s="13"/>
      <c r="PTP19" s="13"/>
      <c r="PTQ19" s="13"/>
      <c r="PTR19" s="13"/>
      <c r="PTS19" s="13"/>
      <c r="PTT19" s="13"/>
      <c r="PTU19" s="13"/>
      <c r="PTV19" s="13"/>
      <c r="PTW19" s="13"/>
      <c r="PTX19" s="13"/>
      <c r="PTY19" s="13"/>
      <c r="PTZ19" s="13"/>
      <c r="PUA19" s="13"/>
      <c r="PUB19" s="13"/>
      <c r="PUC19" s="13"/>
      <c r="PUD19" s="13"/>
      <c r="PUE19" s="13"/>
      <c r="PUF19" s="13"/>
      <c r="PUG19" s="13"/>
      <c r="PUH19" s="13"/>
      <c r="PUI19" s="13"/>
      <c r="PUJ19" s="13"/>
      <c r="PUK19" s="13"/>
      <c r="PUL19" s="13"/>
      <c r="PUM19" s="13"/>
      <c r="PUN19" s="13"/>
      <c r="PUO19" s="13"/>
      <c r="PUP19" s="13"/>
      <c r="PUQ19" s="13"/>
      <c r="PUR19" s="13"/>
      <c r="PUS19" s="13"/>
      <c r="PUT19" s="13"/>
      <c r="PUU19" s="13"/>
      <c r="PUV19" s="13"/>
      <c r="PUW19" s="13"/>
      <c r="PUX19" s="13"/>
      <c r="PUY19" s="13"/>
      <c r="PUZ19" s="13"/>
      <c r="PVA19" s="13"/>
      <c r="PVB19" s="13"/>
      <c r="PVC19" s="13"/>
      <c r="PVD19" s="13"/>
      <c r="PVE19" s="13"/>
      <c r="PVF19" s="13"/>
      <c r="PVG19" s="13"/>
      <c r="PVH19" s="13"/>
      <c r="PVI19" s="13"/>
      <c r="PVJ19" s="13"/>
      <c r="PVK19" s="13"/>
      <c r="PVL19" s="13"/>
      <c r="PVM19" s="13"/>
      <c r="PVN19" s="13"/>
      <c r="PVO19" s="13"/>
      <c r="PVP19" s="13"/>
      <c r="PVQ19" s="13"/>
      <c r="PVR19" s="13"/>
      <c r="PVS19" s="13"/>
      <c r="PVT19" s="13"/>
      <c r="PVU19" s="13"/>
      <c r="PVV19" s="13"/>
      <c r="PVW19" s="13"/>
      <c r="PVX19" s="13"/>
      <c r="PVY19" s="13"/>
      <c r="PVZ19" s="13"/>
      <c r="PWA19" s="13"/>
      <c r="PWB19" s="13"/>
      <c r="PWC19" s="13"/>
      <c r="PWD19" s="13"/>
      <c r="PWE19" s="13"/>
      <c r="PWF19" s="13"/>
      <c r="PWG19" s="13"/>
      <c r="PWH19" s="13"/>
      <c r="PWI19" s="13"/>
      <c r="PWJ19" s="13"/>
      <c r="PWK19" s="13"/>
      <c r="PWL19" s="13"/>
      <c r="PWM19" s="13"/>
      <c r="PWN19" s="13"/>
      <c r="PWO19" s="13"/>
      <c r="PWP19" s="13"/>
      <c r="PWQ19" s="13"/>
      <c r="PWR19" s="13"/>
      <c r="PWS19" s="13"/>
      <c r="PWT19" s="13"/>
      <c r="PWU19" s="13"/>
      <c r="PWV19" s="13"/>
      <c r="PWW19" s="13"/>
      <c r="PWX19" s="13"/>
      <c r="PWY19" s="13"/>
      <c r="PWZ19" s="13"/>
      <c r="PXA19" s="13"/>
      <c r="PXB19" s="13"/>
      <c r="PXC19" s="13"/>
      <c r="PXD19" s="13"/>
      <c r="PXE19" s="13"/>
      <c r="PXF19" s="13"/>
      <c r="PXG19" s="13"/>
      <c r="PXH19" s="13"/>
      <c r="PXI19" s="13"/>
      <c r="PXJ19" s="13"/>
      <c r="PXK19" s="13"/>
      <c r="PXL19" s="13"/>
      <c r="PXM19" s="13"/>
      <c r="PXN19" s="13"/>
      <c r="PXO19" s="13"/>
      <c r="PXP19" s="13"/>
      <c r="PXQ19" s="13"/>
      <c r="PXR19" s="13"/>
      <c r="PXS19" s="13"/>
      <c r="PXT19" s="13"/>
      <c r="PXU19" s="13"/>
      <c r="PXV19" s="13"/>
      <c r="PXW19" s="13"/>
      <c r="PXX19" s="13"/>
      <c r="PXY19" s="13"/>
      <c r="PXZ19" s="13"/>
      <c r="PYA19" s="13"/>
      <c r="PYB19" s="13"/>
      <c r="PYC19" s="13"/>
      <c r="PYD19" s="13"/>
      <c r="PYE19" s="13"/>
      <c r="PYF19" s="13"/>
      <c r="PYG19" s="13"/>
      <c r="PYH19" s="13"/>
      <c r="PYI19" s="13"/>
      <c r="PYJ19" s="13"/>
      <c r="PYK19" s="13"/>
      <c r="PYL19" s="13"/>
      <c r="PYM19" s="13"/>
      <c r="PYN19" s="13"/>
      <c r="PYO19" s="13"/>
      <c r="PYP19" s="13"/>
      <c r="PYQ19" s="13"/>
      <c r="PYR19" s="13"/>
      <c r="PYS19" s="13"/>
      <c r="PYT19" s="13"/>
      <c r="PYU19" s="13"/>
      <c r="PYV19" s="13"/>
      <c r="PYW19" s="13"/>
      <c r="PYX19" s="13"/>
      <c r="PYY19" s="13"/>
      <c r="PYZ19" s="13"/>
      <c r="PZA19" s="13"/>
      <c r="PZB19" s="13"/>
      <c r="PZC19" s="13"/>
      <c r="PZD19" s="13"/>
      <c r="PZE19" s="13"/>
      <c r="PZF19" s="13"/>
      <c r="PZG19" s="13"/>
      <c r="PZH19" s="13"/>
      <c r="PZI19" s="13"/>
      <c r="PZJ19" s="13"/>
      <c r="PZK19" s="13"/>
      <c r="PZL19" s="13"/>
      <c r="PZM19" s="13"/>
      <c r="PZN19" s="13"/>
      <c r="PZO19" s="13"/>
      <c r="PZP19" s="13"/>
      <c r="PZQ19" s="13"/>
      <c r="PZR19" s="13"/>
      <c r="PZS19" s="13"/>
      <c r="PZT19" s="13"/>
      <c r="PZU19" s="13"/>
      <c r="PZV19" s="13"/>
      <c r="PZW19" s="13"/>
      <c r="PZX19" s="13"/>
      <c r="PZY19" s="13"/>
      <c r="PZZ19" s="13"/>
      <c r="QAA19" s="13"/>
      <c r="QAB19" s="13"/>
      <c r="QAC19" s="13"/>
      <c r="QAD19" s="13"/>
      <c r="QAE19" s="13"/>
      <c r="QAF19" s="13"/>
      <c r="QAG19" s="13"/>
      <c r="QAH19" s="13"/>
      <c r="QAI19" s="13"/>
      <c r="QAJ19" s="13"/>
      <c r="QAK19" s="13"/>
      <c r="QAL19" s="13"/>
      <c r="QAM19" s="13"/>
      <c r="QAN19" s="13"/>
      <c r="QAO19" s="13"/>
      <c r="QAP19" s="13"/>
      <c r="QAQ19" s="13"/>
      <c r="QAR19" s="13"/>
      <c r="QAS19" s="13"/>
      <c r="QAT19" s="13"/>
      <c r="QAU19" s="13"/>
      <c r="QAV19" s="13"/>
      <c r="QAW19" s="13"/>
      <c r="QAX19" s="13"/>
      <c r="QAY19" s="13"/>
      <c r="QAZ19" s="13"/>
      <c r="QBA19" s="13"/>
      <c r="QBB19" s="13"/>
      <c r="QBC19" s="13"/>
      <c r="QBD19" s="13"/>
      <c r="QBE19" s="13"/>
      <c r="QBF19" s="13"/>
      <c r="QBG19" s="13"/>
      <c r="QBH19" s="13"/>
      <c r="QBI19" s="13"/>
      <c r="QBJ19" s="13"/>
      <c r="QBK19" s="13"/>
      <c r="QBL19" s="13"/>
      <c r="QBM19" s="13"/>
      <c r="QBN19" s="13"/>
      <c r="QBO19" s="13"/>
      <c r="QBP19" s="13"/>
      <c r="QBQ19" s="13"/>
      <c r="QBR19" s="13"/>
      <c r="QBS19" s="13"/>
      <c r="QBT19" s="13"/>
      <c r="QBU19" s="13"/>
      <c r="QBV19" s="13"/>
      <c r="QBW19" s="13"/>
      <c r="QBX19" s="13"/>
      <c r="QBY19" s="13"/>
      <c r="QBZ19" s="13"/>
      <c r="QCA19" s="13"/>
      <c r="QCB19" s="13"/>
      <c r="QCC19" s="13"/>
      <c r="QCD19" s="13"/>
      <c r="QCE19" s="13"/>
      <c r="QCF19" s="13"/>
      <c r="QCG19" s="13"/>
      <c r="QCH19" s="13"/>
      <c r="QCI19" s="13"/>
      <c r="QCJ19" s="13"/>
      <c r="QCK19" s="13"/>
      <c r="QCL19" s="13"/>
      <c r="QCM19" s="13"/>
      <c r="QCN19" s="13"/>
      <c r="QCO19" s="13"/>
      <c r="QCP19" s="13"/>
      <c r="QCQ19" s="13"/>
      <c r="QCR19" s="13"/>
      <c r="QCS19" s="13"/>
      <c r="QCT19" s="13"/>
      <c r="QCU19" s="13"/>
      <c r="QCV19" s="13"/>
      <c r="QCW19" s="13"/>
      <c r="QCX19" s="13"/>
      <c r="QCY19" s="13"/>
      <c r="QCZ19" s="13"/>
      <c r="QDA19" s="13"/>
      <c r="QDB19" s="13"/>
      <c r="QDC19" s="13"/>
      <c r="QDD19" s="13"/>
      <c r="QDE19" s="13"/>
      <c r="QDF19" s="13"/>
      <c r="QDG19" s="13"/>
      <c r="QDH19" s="13"/>
      <c r="QDI19" s="13"/>
      <c r="QDJ19" s="13"/>
      <c r="QDK19" s="13"/>
      <c r="QDL19" s="13"/>
      <c r="QDM19" s="13"/>
      <c r="QDN19" s="13"/>
      <c r="QDO19" s="13"/>
      <c r="QDP19" s="13"/>
      <c r="QDQ19" s="13"/>
      <c r="QDR19" s="13"/>
      <c r="QDS19" s="13"/>
      <c r="QDT19" s="13"/>
      <c r="QDU19" s="13"/>
      <c r="QDV19" s="13"/>
      <c r="QDW19" s="13"/>
      <c r="QDX19" s="13"/>
      <c r="QDY19" s="13"/>
      <c r="QDZ19" s="13"/>
      <c r="QEA19" s="13"/>
      <c r="QEB19" s="13"/>
      <c r="QEC19" s="13"/>
      <c r="QED19" s="13"/>
      <c r="QEE19" s="13"/>
      <c r="QEF19" s="13"/>
      <c r="QEG19" s="13"/>
      <c r="QEH19" s="13"/>
      <c r="QEI19" s="13"/>
      <c r="QEJ19" s="13"/>
      <c r="QEK19" s="13"/>
      <c r="QEL19" s="13"/>
      <c r="QEM19" s="13"/>
      <c r="QEN19" s="13"/>
      <c r="QEO19" s="13"/>
      <c r="QEP19" s="13"/>
      <c r="QEQ19" s="13"/>
      <c r="QER19" s="13"/>
      <c r="QES19" s="13"/>
      <c r="QET19" s="13"/>
      <c r="QEU19" s="13"/>
      <c r="QEV19" s="13"/>
      <c r="QEW19" s="13"/>
      <c r="QEX19" s="13"/>
      <c r="QEY19" s="13"/>
      <c r="QEZ19" s="13"/>
      <c r="QFA19" s="13"/>
      <c r="QFB19" s="13"/>
      <c r="QFC19" s="13"/>
      <c r="QFD19" s="13"/>
      <c r="QFE19" s="13"/>
      <c r="QFF19" s="13"/>
      <c r="QFG19" s="13"/>
      <c r="QFH19" s="13"/>
      <c r="QFI19" s="13"/>
      <c r="QFJ19" s="13"/>
      <c r="QFK19" s="13"/>
      <c r="QFL19" s="13"/>
      <c r="QFM19" s="13"/>
      <c r="QFN19" s="13"/>
      <c r="QFO19" s="13"/>
      <c r="QFP19" s="13"/>
      <c r="QFQ19" s="13"/>
      <c r="QFR19" s="13"/>
      <c r="QFS19" s="13"/>
      <c r="QFT19" s="13"/>
      <c r="QFU19" s="13"/>
      <c r="QFV19" s="13"/>
      <c r="QFW19" s="13"/>
      <c r="QFX19" s="13"/>
      <c r="QFY19" s="13"/>
      <c r="QFZ19" s="13"/>
      <c r="QGA19" s="13"/>
      <c r="QGB19" s="13"/>
      <c r="QGC19" s="13"/>
      <c r="QGD19" s="13"/>
      <c r="QGE19" s="13"/>
      <c r="QGF19" s="13"/>
      <c r="QGG19" s="13"/>
      <c r="QGH19" s="13"/>
      <c r="QGI19" s="13"/>
      <c r="QGJ19" s="13"/>
      <c r="QGK19" s="13"/>
      <c r="QGL19" s="13"/>
      <c r="QGM19" s="13"/>
      <c r="QGN19" s="13"/>
      <c r="QGO19" s="13"/>
      <c r="QGP19" s="13"/>
      <c r="QGQ19" s="13"/>
      <c r="QGR19" s="13"/>
      <c r="QGS19" s="13"/>
      <c r="QGT19" s="13"/>
      <c r="QGU19" s="13"/>
      <c r="QGV19" s="13"/>
      <c r="QGW19" s="13"/>
      <c r="QGX19" s="13"/>
      <c r="QGY19" s="13"/>
      <c r="QGZ19" s="13"/>
      <c r="QHA19" s="13"/>
      <c r="QHB19" s="13"/>
      <c r="QHC19" s="13"/>
      <c r="QHD19" s="13"/>
      <c r="QHE19" s="13"/>
      <c r="QHF19" s="13"/>
      <c r="QHG19" s="13"/>
      <c r="QHH19" s="13"/>
      <c r="QHI19" s="13"/>
      <c r="QHJ19" s="13"/>
      <c r="QHK19" s="13"/>
      <c r="QHL19" s="13"/>
      <c r="QHM19" s="13"/>
      <c r="QHN19" s="13"/>
      <c r="QHO19" s="13"/>
      <c r="QHP19" s="13"/>
      <c r="QHQ19" s="13"/>
      <c r="QHR19" s="13"/>
      <c r="QHS19" s="13"/>
      <c r="QHT19" s="13"/>
      <c r="QHU19" s="13"/>
      <c r="QHV19" s="13"/>
      <c r="QHW19" s="13"/>
      <c r="QHX19" s="13"/>
      <c r="QHY19" s="13"/>
      <c r="QHZ19" s="13"/>
      <c r="QIA19" s="13"/>
      <c r="QIB19" s="13"/>
      <c r="QIC19" s="13"/>
      <c r="QID19" s="13"/>
      <c r="QIE19" s="13"/>
      <c r="QIF19" s="13"/>
      <c r="QIG19" s="13"/>
      <c r="QIH19" s="13"/>
      <c r="QII19" s="13"/>
      <c r="QIJ19" s="13"/>
      <c r="QIK19" s="13"/>
      <c r="QIL19" s="13"/>
      <c r="QIM19" s="13"/>
      <c r="QIN19" s="13"/>
      <c r="QIO19" s="13"/>
      <c r="QIP19" s="13"/>
      <c r="QIQ19" s="13"/>
      <c r="QIR19" s="13"/>
      <c r="QIS19" s="13"/>
      <c r="QIT19" s="13"/>
      <c r="QIU19" s="13"/>
      <c r="QIV19" s="13"/>
      <c r="QIW19" s="13"/>
      <c r="QIX19" s="13"/>
      <c r="QIY19" s="13"/>
      <c r="QIZ19" s="13"/>
      <c r="QJA19" s="13"/>
      <c r="QJB19" s="13"/>
      <c r="QJC19" s="13"/>
      <c r="QJD19" s="13"/>
      <c r="QJE19" s="13"/>
      <c r="QJF19" s="13"/>
      <c r="QJG19" s="13"/>
      <c r="QJH19" s="13"/>
      <c r="QJI19" s="13"/>
      <c r="QJJ19" s="13"/>
      <c r="QJK19" s="13"/>
      <c r="QJL19" s="13"/>
      <c r="QJM19" s="13"/>
      <c r="QJN19" s="13"/>
      <c r="QJO19" s="13"/>
      <c r="QJP19" s="13"/>
      <c r="QJQ19" s="13"/>
      <c r="QJR19" s="13"/>
      <c r="QJS19" s="13"/>
      <c r="QJT19" s="13"/>
      <c r="QJU19" s="13"/>
      <c r="QJV19" s="13"/>
      <c r="QJW19" s="13"/>
      <c r="QJX19" s="13"/>
      <c r="QJY19" s="13"/>
      <c r="QJZ19" s="13"/>
      <c r="QKA19" s="13"/>
      <c r="QKB19" s="13"/>
      <c r="QKC19" s="13"/>
      <c r="QKD19" s="13"/>
      <c r="QKE19" s="13"/>
      <c r="QKF19" s="13"/>
      <c r="QKG19" s="13"/>
      <c r="QKH19" s="13"/>
      <c r="QKI19" s="13"/>
      <c r="QKJ19" s="13"/>
      <c r="QKK19" s="13"/>
      <c r="QKL19" s="13"/>
      <c r="QKM19" s="13"/>
      <c r="QKN19" s="13"/>
      <c r="QKO19" s="13"/>
      <c r="QKP19" s="13"/>
      <c r="QKQ19" s="13"/>
      <c r="QKR19" s="13"/>
      <c r="QKS19" s="13"/>
      <c r="QKT19" s="13"/>
      <c r="QKU19" s="13"/>
      <c r="QKV19" s="13"/>
      <c r="QKW19" s="13"/>
      <c r="QKX19" s="13"/>
      <c r="QKY19" s="13"/>
      <c r="QKZ19" s="13"/>
      <c r="QLA19" s="13"/>
      <c r="QLB19" s="13"/>
      <c r="QLC19" s="13"/>
      <c r="QLD19" s="13"/>
      <c r="QLE19" s="13"/>
      <c r="QLF19" s="13"/>
      <c r="QLG19" s="13"/>
      <c r="QLH19" s="13"/>
      <c r="QLI19" s="13"/>
      <c r="QLJ19" s="13"/>
      <c r="QLK19" s="13"/>
      <c r="QLL19" s="13"/>
      <c r="QLM19" s="13"/>
      <c r="QLN19" s="13"/>
      <c r="QLO19" s="13"/>
      <c r="QLP19" s="13"/>
      <c r="QLQ19" s="13"/>
      <c r="QLR19" s="13"/>
      <c r="QLS19" s="13"/>
      <c r="QLT19" s="13"/>
      <c r="QLU19" s="13"/>
      <c r="QLV19" s="13"/>
      <c r="QLW19" s="13"/>
      <c r="QLX19" s="13"/>
      <c r="QLY19" s="13"/>
      <c r="QLZ19" s="13"/>
      <c r="QMA19" s="13"/>
      <c r="QMB19" s="13"/>
      <c r="QMC19" s="13"/>
      <c r="QMD19" s="13"/>
      <c r="QME19" s="13"/>
      <c r="QMF19" s="13"/>
      <c r="QMG19" s="13"/>
      <c r="QMH19" s="13"/>
      <c r="QMI19" s="13"/>
      <c r="QMJ19" s="13"/>
      <c r="QMK19" s="13"/>
      <c r="QML19" s="13"/>
      <c r="QMM19" s="13"/>
      <c r="QMN19" s="13"/>
      <c r="QMO19" s="13"/>
      <c r="QMP19" s="13"/>
      <c r="QMQ19" s="13"/>
      <c r="QMR19" s="13"/>
      <c r="QMS19" s="13"/>
      <c r="QMT19" s="13"/>
      <c r="QMU19" s="13"/>
      <c r="QMV19" s="13"/>
      <c r="QMW19" s="13"/>
      <c r="QMX19" s="13"/>
      <c r="QMY19" s="13"/>
      <c r="QMZ19" s="13"/>
      <c r="QNA19" s="13"/>
      <c r="QNB19" s="13"/>
      <c r="QNC19" s="13"/>
      <c r="QND19" s="13"/>
      <c r="QNE19" s="13"/>
      <c r="QNF19" s="13"/>
      <c r="QNG19" s="13"/>
      <c r="QNH19" s="13"/>
      <c r="QNI19" s="13"/>
      <c r="QNJ19" s="13"/>
      <c r="QNK19" s="13"/>
      <c r="QNL19" s="13"/>
      <c r="QNM19" s="13"/>
      <c r="QNN19" s="13"/>
      <c r="QNO19" s="13"/>
      <c r="QNP19" s="13"/>
      <c r="QNQ19" s="13"/>
      <c r="QNR19" s="13"/>
      <c r="QNS19" s="13"/>
      <c r="QNT19" s="13"/>
      <c r="QNU19" s="13"/>
      <c r="QNV19" s="13"/>
      <c r="QNW19" s="13"/>
      <c r="QNX19" s="13"/>
      <c r="QNY19" s="13"/>
      <c r="QNZ19" s="13"/>
      <c r="QOA19" s="13"/>
      <c r="QOB19" s="13"/>
      <c r="QOC19" s="13"/>
      <c r="QOD19" s="13"/>
      <c r="QOE19" s="13"/>
      <c r="QOF19" s="13"/>
      <c r="QOG19" s="13"/>
      <c r="QOH19" s="13"/>
      <c r="QOI19" s="13"/>
      <c r="QOJ19" s="13"/>
      <c r="QOK19" s="13"/>
      <c r="QOL19" s="13"/>
      <c r="QOM19" s="13"/>
      <c r="QON19" s="13"/>
      <c r="QOO19" s="13"/>
      <c r="QOP19" s="13"/>
      <c r="QOQ19" s="13"/>
      <c r="QOR19" s="13"/>
      <c r="QOS19" s="13"/>
      <c r="QOT19" s="13"/>
      <c r="QOU19" s="13"/>
      <c r="QOV19" s="13"/>
      <c r="QOW19" s="13"/>
      <c r="QOX19" s="13"/>
      <c r="QOY19" s="13"/>
      <c r="QOZ19" s="13"/>
      <c r="QPA19" s="13"/>
      <c r="QPB19" s="13"/>
      <c r="QPC19" s="13"/>
      <c r="QPD19" s="13"/>
      <c r="QPE19" s="13"/>
      <c r="QPF19" s="13"/>
      <c r="QPG19" s="13"/>
      <c r="QPH19" s="13"/>
      <c r="QPI19" s="13"/>
      <c r="QPJ19" s="13"/>
      <c r="QPK19" s="13"/>
      <c r="QPL19" s="13"/>
      <c r="QPM19" s="13"/>
      <c r="QPN19" s="13"/>
      <c r="QPO19" s="13"/>
      <c r="QPP19" s="13"/>
      <c r="QPQ19" s="13"/>
      <c r="QPR19" s="13"/>
      <c r="QPS19" s="13"/>
      <c r="QPT19" s="13"/>
      <c r="QPU19" s="13"/>
      <c r="QPV19" s="13"/>
      <c r="QPW19" s="13"/>
      <c r="QPX19" s="13"/>
      <c r="QPY19" s="13"/>
      <c r="QPZ19" s="13"/>
      <c r="QQA19" s="13"/>
      <c r="QQB19" s="13"/>
      <c r="QQC19" s="13"/>
      <c r="QQD19" s="13"/>
      <c r="QQE19" s="13"/>
      <c r="QQF19" s="13"/>
      <c r="QQG19" s="13"/>
      <c r="QQH19" s="13"/>
      <c r="QQI19" s="13"/>
      <c r="QQJ19" s="13"/>
      <c r="QQK19" s="13"/>
      <c r="QQL19" s="13"/>
      <c r="QQM19" s="13"/>
      <c r="QQN19" s="13"/>
      <c r="QQO19" s="13"/>
      <c r="QQP19" s="13"/>
      <c r="QQQ19" s="13"/>
      <c r="QQR19" s="13"/>
      <c r="QQS19" s="13"/>
      <c r="QQT19" s="13"/>
      <c r="QQU19" s="13"/>
      <c r="QQV19" s="13"/>
      <c r="QQW19" s="13"/>
      <c r="QQX19" s="13"/>
      <c r="QQY19" s="13"/>
      <c r="QQZ19" s="13"/>
      <c r="QRA19" s="13"/>
      <c r="QRB19" s="13"/>
      <c r="QRC19" s="13"/>
      <c r="QRD19" s="13"/>
      <c r="QRE19" s="13"/>
      <c r="QRF19" s="13"/>
      <c r="QRG19" s="13"/>
      <c r="QRH19" s="13"/>
      <c r="QRI19" s="13"/>
      <c r="QRJ19" s="13"/>
      <c r="QRK19" s="13"/>
      <c r="QRL19" s="13"/>
      <c r="QRM19" s="13"/>
      <c r="QRN19" s="13"/>
      <c r="QRO19" s="13"/>
      <c r="QRP19" s="13"/>
      <c r="QRQ19" s="13"/>
      <c r="QRR19" s="13"/>
      <c r="QRS19" s="13"/>
      <c r="QRT19" s="13"/>
      <c r="QRU19" s="13"/>
      <c r="QRV19" s="13"/>
      <c r="QRW19" s="13"/>
      <c r="QRX19" s="13"/>
      <c r="QRY19" s="13"/>
      <c r="QRZ19" s="13"/>
      <c r="QSA19" s="13"/>
      <c r="QSB19" s="13"/>
      <c r="QSC19" s="13"/>
      <c r="QSD19" s="13"/>
      <c r="QSE19" s="13"/>
      <c r="QSF19" s="13"/>
      <c r="QSG19" s="13"/>
      <c r="QSH19" s="13"/>
      <c r="QSI19" s="13"/>
      <c r="QSJ19" s="13"/>
      <c r="QSK19" s="13"/>
      <c r="QSL19" s="13"/>
      <c r="QSM19" s="13"/>
      <c r="QSN19" s="13"/>
      <c r="QSO19" s="13"/>
      <c r="QSP19" s="13"/>
      <c r="QSQ19" s="13"/>
      <c r="QSR19" s="13"/>
      <c r="QSS19" s="13"/>
      <c r="QST19" s="13"/>
      <c r="QSU19" s="13"/>
      <c r="QSV19" s="13"/>
      <c r="QSW19" s="13"/>
      <c r="QSX19" s="13"/>
      <c r="QSY19" s="13"/>
      <c r="QSZ19" s="13"/>
      <c r="QTA19" s="13"/>
      <c r="QTB19" s="13"/>
      <c r="QTC19" s="13"/>
      <c r="QTD19" s="13"/>
      <c r="QTE19" s="13"/>
      <c r="QTF19" s="13"/>
      <c r="QTG19" s="13"/>
      <c r="QTH19" s="13"/>
      <c r="QTI19" s="13"/>
      <c r="QTJ19" s="13"/>
      <c r="QTK19" s="13"/>
      <c r="QTL19" s="13"/>
      <c r="QTM19" s="13"/>
      <c r="QTN19" s="13"/>
      <c r="QTO19" s="13"/>
      <c r="QTP19" s="13"/>
      <c r="QTQ19" s="13"/>
      <c r="QTR19" s="13"/>
      <c r="QTS19" s="13"/>
      <c r="QTT19" s="13"/>
      <c r="QTU19" s="13"/>
      <c r="QTV19" s="13"/>
      <c r="QTW19" s="13"/>
      <c r="QTX19" s="13"/>
      <c r="QTY19" s="13"/>
      <c r="QTZ19" s="13"/>
      <c r="QUA19" s="13"/>
      <c r="QUB19" s="13"/>
      <c r="QUC19" s="13"/>
      <c r="QUD19" s="13"/>
      <c r="QUE19" s="13"/>
      <c r="QUF19" s="13"/>
      <c r="QUG19" s="13"/>
      <c r="QUH19" s="13"/>
      <c r="QUI19" s="13"/>
      <c r="QUJ19" s="13"/>
      <c r="QUK19" s="13"/>
      <c r="QUL19" s="13"/>
      <c r="QUM19" s="13"/>
      <c r="QUN19" s="13"/>
      <c r="QUO19" s="13"/>
      <c r="QUP19" s="13"/>
      <c r="QUQ19" s="13"/>
      <c r="QUR19" s="13"/>
      <c r="QUS19" s="13"/>
      <c r="QUT19" s="13"/>
      <c r="QUU19" s="13"/>
      <c r="QUV19" s="13"/>
      <c r="QUW19" s="13"/>
      <c r="QUX19" s="13"/>
      <c r="QUY19" s="13"/>
      <c r="QUZ19" s="13"/>
      <c r="QVA19" s="13"/>
      <c r="QVB19" s="13"/>
      <c r="QVC19" s="13"/>
      <c r="QVD19" s="13"/>
      <c r="QVE19" s="13"/>
      <c r="QVF19" s="13"/>
      <c r="QVG19" s="13"/>
      <c r="QVH19" s="13"/>
      <c r="QVI19" s="13"/>
      <c r="QVJ19" s="13"/>
      <c r="QVK19" s="13"/>
      <c r="QVL19" s="13"/>
      <c r="QVM19" s="13"/>
      <c r="QVN19" s="13"/>
      <c r="QVO19" s="13"/>
      <c r="QVP19" s="13"/>
      <c r="QVQ19" s="13"/>
      <c r="QVR19" s="13"/>
      <c r="QVS19" s="13"/>
      <c r="QVT19" s="13"/>
      <c r="QVU19" s="13"/>
      <c r="QVV19" s="13"/>
      <c r="QVW19" s="13"/>
      <c r="QVX19" s="13"/>
      <c r="QVY19" s="13"/>
      <c r="QVZ19" s="13"/>
      <c r="QWA19" s="13"/>
      <c r="QWB19" s="13"/>
      <c r="QWC19" s="13"/>
      <c r="QWD19" s="13"/>
      <c r="QWE19" s="13"/>
      <c r="QWF19" s="13"/>
      <c r="QWG19" s="13"/>
      <c r="QWH19" s="13"/>
      <c r="QWI19" s="13"/>
      <c r="QWJ19" s="13"/>
      <c r="QWK19" s="13"/>
      <c r="QWL19" s="13"/>
      <c r="QWM19" s="13"/>
      <c r="QWN19" s="13"/>
      <c r="QWO19" s="13"/>
      <c r="QWP19" s="13"/>
      <c r="QWQ19" s="13"/>
      <c r="QWR19" s="13"/>
      <c r="QWS19" s="13"/>
      <c r="QWT19" s="13"/>
      <c r="QWU19" s="13"/>
      <c r="QWV19" s="13"/>
      <c r="QWW19" s="13"/>
      <c r="QWX19" s="13"/>
      <c r="QWY19" s="13"/>
      <c r="QWZ19" s="13"/>
      <c r="QXA19" s="13"/>
      <c r="QXB19" s="13"/>
      <c r="QXC19" s="13"/>
      <c r="QXD19" s="13"/>
      <c r="QXE19" s="13"/>
      <c r="QXF19" s="13"/>
      <c r="QXG19" s="13"/>
      <c r="QXH19" s="13"/>
      <c r="QXI19" s="13"/>
      <c r="QXJ19" s="13"/>
      <c r="QXK19" s="13"/>
      <c r="QXL19" s="13"/>
      <c r="QXM19" s="13"/>
      <c r="QXN19" s="13"/>
      <c r="QXO19" s="13"/>
      <c r="QXP19" s="13"/>
      <c r="QXQ19" s="13"/>
      <c r="QXR19" s="13"/>
      <c r="QXS19" s="13"/>
      <c r="QXT19" s="13"/>
      <c r="QXU19" s="13"/>
      <c r="QXV19" s="13"/>
      <c r="QXW19" s="13"/>
      <c r="QXX19" s="13"/>
      <c r="QXY19" s="13"/>
      <c r="QXZ19" s="13"/>
      <c r="QYA19" s="13"/>
      <c r="QYB19" s="13"/>
      <c r="QYC19" s="13"/>
      <c r="QYD19" s="13"/>
      <c r="QYE19" s="13"/>
      <c r="QYF19" s="13"/>
      <c r="QYG19" s="13"/>
      <c r="QYH19" s="13"/>
      <c r="QYI19" s="13"/>
      <c r="QYJ19" s="13"/>
      <c r="QYK19" s="13"/>
      <c r="QYL19" s="13"/>
      <c r="QYM19" s="13"/>
      <c r="QYN19" s="13"/>
      <c r="QYO19" s="13"/>
      <c r="QYP19" s="13"/>
      <c r="QYQ19" s="13"/>
      <c r="QYR19" s="13"/>
      <c r="QYS19" s="13"/>
      <c r="QYT19" s="13"/>
      <c r="QYU19" s="13"/>
      <c r="QYV19" s="13"/>
      <c r="QYW19" s="13"/>
      <c r="QYX19" s="13"/>
      <c r="QYY19" s="13"/>
      <c r="QYZ19" s="13"/>
      <c r="QZA19" s="13"/>
      <c r="QZB19" s="13"/>
      <c r="QZC19" s="13"/>
      <c r="QZD19" s="13"/>
      <c r="QZE19" s="13"/>
      <c r="QZF19" s="13"/>
      <c r="QZG19" s="13"/>
      <c r="QZH19" s="13"/>
      <c r="QZI19" s="13"/>
      <c r="QZJ19" s="13"/>
      <c r="QZK19" s="13"/>
      <c r="QZL19" s="13"/>
      <c r="QZM19" s="13"/>
      <c r="QZN19" s="13"/>
      <c r="QZO19" s="13"/>
      <c r="QZP19" s="13"/>
      <c r="QZQ19" s="13"/>
      <c r="QZR19" s="13"/>
      <c r="QZS19" s="13"/>
      <c r="QZT19" s="13"/>
      <c r="QZU19" s="13"/>
      <c r="QZV19" s="13"/>
      <c r="QZW19" s="13"/>
      <c r="QZX19" s="13"/>
      <c r="QZY19" s="13"/>
      <c r="QZZ19" s="13"/>
      <c r="RAA19" s="13"/>
      <c r="RAB19" s="13"/>
      <c r="RAC19" s="13"/>
      <c r="RAD19" s="13"/>
      <c r="RAE19" s="13"/>
      <c r="RAF19" s="13"/>
      <c r="RAG19" s="13"/>
      <c r="RAH19" s="13"/>
      <c r="RAI19" s="13"/>
      <c r="RAJ19" s="13"/>
      <c r="RAK19" s="13"/>
      <c r="RAL19" s="13"/>
      <c r="RAM19" s="13"/>
      <c r="RAN19" s="13"/>
      <c r="RAO19" s="13"/>
      <c r="RAP19" s="13"/>
      <c r="RAQ19" s="13"/>
      <c r="RAR19" s="13"/>
      <c r="RAS19" s="13"/>
      <c r="RAT19" s="13"/>
      <c r="RAU19" s="13"/>
      <c r="RAV19" s="13"/>
      <c r="RAW19" s="13"/>
      <c r="RAX19" s="13"/>
      <c r="RAY19" s="13"/>
      <c r="RAZ19" s="13"/>
      <c r="RBA19" s="13"/>
      <c r="RBB19" s="13"/>
      <c r="RBC19" s="13"/>
      <c r="RBD19" s="13"/>
      <c r="RBE19" s="13"/>
      <c r="RBF19" s="13"/>
      <c r="RBG19" s="13"/>
      <c r="RBH19" s="13"/>
      <c r="RBI19" s="13"/>
      <c r="RBJ19" s="13"/>
      <c r="RBK19" s="13"/>
      <c r="RBL19" s="13"/>
      <c r="RBM19" s="13"/>
      <c r="RBN19" s="13"/>
      <c r="RBO19" s="13"/>
      <c r="RBP19" s="13"/>
      <c r="RBQ19" s="13"/>
      <c r="RBR19" s="13"/>
      <c r="RBS19" s="13"/>
      <c r="RBT19" s="13"/>
      <c r="RBU19" s="13"/>
      <c r="RBV19" s="13"/>
      <c r="RBW19" s="13"/>
      <c r="RBX19" s="13"/>
      <c r="RBY19" s="13"/>
      <c r="RBZ19" s="13"/>
      <c r="RCA19" s="13"/>
      <c r="RCB19" s="13"/>
      <c r="RCC19" s="13"/>
      <c r="RCD19" s="13"/>
      <c r="RCE19" s="13"/>
      <c r="RCF19" s="13"/>
      <c r="RCG19" s="13"/>
      <c r="RCH19" s="13"/>
      <c r="RCI19" s="13"/>
      <c r="RCJ19" s="13"/>
      <c r="RCK19" s="13"/>
      <c r="RCL19" s="13"/>
      <c r="RCM19" s="13"/>
      <c r="RCN19" s="13"/>
      <c r="RCO19" s="13"/>
      <c r="RCP19" s="13"/>
      <c r="RCQ19" s="13"/>
      <c r="RCR19" s="13"/>
      <c r="RCS19" s="13"/>
      <c r="RCT19" s="13"/>
      <c r="RCU19" s="13"/>
      <c r="RCV19" s="13"/>
      <c r="RCW19" s="13"/>
      <c r="RCX19" s="13"/>
      <c r="RCY19" s="13"/>
      <c r="RCZ19" s="13"/>
      <c r="RDA19" s="13"/>
      <c r="RDB19" s="13"/>
      <c r="RDC19" s="13"/>
      <c r="RDD19" s="13"/>
      <c r="RDE19" s="13"/>
      <c r="RDF19" s="13"/>
      <c r="RDG19" s="13"/>
      <c r="RDH19" s="13"/>
      <c r="RDI19" s="13"/>
      <c r="RDJ19" s="13"/>
      <c r="RDK19" s="13"/>
      <c r="RDL19" s="13"/>
      <c r="RDM19" s="13"/>
      <c r="RDN19" s="13"/>
      <c r="RDO19" s="13"/>
      <c r="RDP19" s="13"/>
      <c r="RDQ19" s="13"/>
      <c r="RDR19" s="13"/>
      <c r="RDS19" s="13"/>
      <c r="RDT19" s="13"/>
      <c r="RDU19" s="13"/>
      <c r="RDV19" s="13"/>
      <c r="RDW19" s="13"/>
      <c r="RDX19" s="13"/>
      <c r="RDY19" s="13"/>
      <c r="RDZ19" s="13"/>
      <c r="REA19" s="13"/>
      <c r="REB19" s="13"/>
      <c r="REC19" s="13"/>
      <c r="RED19" s="13"/>
      <c r="REE19" s="13"/>
      <c r="REF19" s="13"/>
      <c r="REG19" s="13"/>
      <c r="REH19" s="13"/>
      <c r="REI19" s="13"/>
      <c r="REJ19" s="13"/>
      <c r="REK19" s="13"/>
      <c r="REL19" s="13"/>
      <c r="REM19" s="13"/>
      <c r="REN19" s="13"/>
      <c r="REO19" s="13"/>
      <c r="REP19" s="13"/>
      <c r="REQ19" s="13"/>
      <c r="RER19" s="13"/>
      <c r="RES19" s="13"/>
      <c r="RET19" s="13"/>
      <c r="REU19" s="13"/>
      <c r="REV19" s="13"/>
      <c r="REW19" s="13"/>
      <c r="REX19" s="13"/>
      <c r="REY19" s="13"/>
      <c r="REZ19" s="13"/>
      <c r="RFA19" s="13"/>
      <c r="RFB19" s="13"/>
      <c r="RFC19" s="13"/>
      <c r="RFD19" s="13"/>
      <c r="RFE19" s="13"/>
      <c r="RFF19" s="13"/>
      <c r="RFG19" s="13"/>
      <c r="RFH19" s="13"/>
      <c r="RFI19" s="13"/>
      <c r="RFJ19" s="13"/>
      <c r="RFK19" s="13"/>
      <c r="RFL19" s="13"/>
      <c r="RFM19" s="13"/>
      <c r="RFN19" s="13"/>
      <c r="RFO19" s="13"/>
      <c r="RFP19" s="13"/>
      <c r="RFQ19" s="13"/>
      <c r="RFR19" s="13"/>
      <c r="RFS19" s="13"/>
      <c r="RFT19" s="13"/>
      <c r="RFU19" s="13"/>
      <c r="RFV19" s="13"/>
      <c r="RFW19" s="13"/>
      <c r="RFX19" s="13"/>
      <c r="RFY19" s="13"/>
      <c r="RFZ19" s="13"/>
      <c r="RGA19" s="13"/>
      <c r="RGB19" s="13"/>
      <c r="RGC19" s="13"/>
      <c r="RGD19" s="13"/>
      <c r="RGE19" s="13"/>
      <c r="RGF19" s="13"/>
      <c r="RGG19" s="13"/>
      <c r="RGH19" s="13"/>
      <c r="RGI19" s="13"/>
      <c r="RGJ19" s="13"/>
      <c r="RGK19" s="13"/>
      <c r="RGL19" s="13"/>
      <c r="RGM19" s="13"/>
      <c r="RGN19" s="13"/>
      <c r="RGO19" s="13"/>
      <c r="RGP19" s="13"/>
      <c r="RGQ19" s="13"/>
      <c r="RGR19" s="13"/>
      <c r="RGS19" s="13"/>
      <c r="RGT19" s="13"/>
      <c r="RGU19" s="13"/>
      <c r="RGV19" s="13"/>
      <c r="RGW19" s="13"/>
      <c r="RGX19" s="13"/>
      <c r="RGY19" s="13"/>
      <c r="RGZ19" s="13"/>
      <c r="RHA19" s="13"/>
      <c r="RHB19" s="13"/>
      <c r="RHC19" s="13"/>
      <c r="RHD19" s="13"/>
      <c r="RHE19" s="13"/>
      <c r="RHF19" s="13"/>
      <c r="RHG19" s="13"/>
      <c r="RHH19" s="13"/>
      <c r="RHI19" s="13"/>
      <c r="RHJ19" s="13"/>
      <c r="RHK19" s="13"/>
      <c r="RHL19" s="13"/>
      <c r="RHM19" s="13"/>
      <c r="RHN19" s="13"/>
      <c r="RHO19" s="13"/>
      <c r="RHP19" s="13"/>
      <c r="RHQ19" s="13"/>
      <c r="RHR19" s="13"/>
      <c r="RHS19" s="13"/>
      <c r="RHT19" s="13"/>
      <c r="RHU19" s="13"/>
      <c r="RHV19" s="13"/>
      <c r="RHW19" s="13"/>
      <c r="RHX19" s="13"/>
      <c r="RHY19" s="13"/>
      <c r="RHZ19" s="13"/>
      <c r="RIA19" s="13"/>
      <c r="RIB19" s="13"/>
      <c r="RIC19" s="13"/>
      <c r="RID19" s="13"/>
      <c r="RIE19" s="13"/>
      <c r="RIF19" s="13"/>
      <c r="RIG19" s="13"/>
      <c r="RIH19" s="13"/>
      <c r="RII19" s="13"/>
      <c r="RIJ19" s="13"/>
      <c r="RIK19" s="13"/>
      <c r="RIL19" s="13"/>
      <c r="RIM19" s="13"/>
      <c r="RIN19" s="13"/>
      <c r="RIO19" s="13"/>
      <c r="RIP19" s="13"/>
      <c r="RIQ19" s="13"/>
      <c r="RIR19" s="13"/>
      <c r="RIS19" s="13"/>
      <c r="RIT19" s="13"/>
      <c r="RIU19" s="13"/>
      <c r="RIV19" s="13"/>
      <c r="RIW19" s="13"/>
      <c r="RIX19" s="13"/>
      <c r="RIY19" s="13"/>
      <c r="RIZ19" s="13"/>
      <c r="RJA19" s="13"/>
      <c r="RJB19" s="13"/>
      <c r="RJC19" s="13"/>
      <c r="RJD19" s="13"/>
      <c r="RJE19" s="13"/>
      <c r="RJF19" s="13"/>
      <c r="RJG19" s="13"/>
      <c r="RJH19" s="13"/>
      <c r="RJI19" s="13"/>
      <c r="RJJ19" s="13"/>
      <c r="RJK19" s="13"/>
      <c r="RJL19" s="13"/>
      <c r="RJM19" s="13"/>
      <c r="RJN19" s="13"/>
      <c r="RJO19" s="13"/>
      <c r="RJP19" s="13"/>
      <c r="RJQ19" s="13"/>
      <c r="RJR19" s="13"/>
      <c r="RJS19" s="13"/>
      <c r="RJT19" s="13"/>
      <c r="RJU19" s="13"/>
      <c r="RJV19" s="13"/>
      <c r="RJW19" s="13"/>
      <c r="RJX19" s="13"/>
      <c r="RJY19" s="13"/>
      <c r="RJZ19" s="13"/>
      <c r="RKA19" s="13"/>
      <c r="RKB19" s="13"/>
      <c r="RKC19" s="13"/>
      <c r="RKD19" s="13"/>
      <c r="RKE19" s="13"/>
      <c r="RKF19" s="13"/>
      <c r="RKG19" s="13"/>
      <c r="RKH19" s="13"/>
      <c r="RKI19" s="13"/>
      <c r="RKJ19" s="13"/>
      <c r="RKK19" s="13"/>
      <c r="RKL19" s="13"/>
      <c r="RKM19" s="13"/>
      <c r="RKN19" s="13"/>
      <c r="RKO19" s="13"/>
      <c r="RKP19" s="13"/>
      <c r="RKQ19" s="13"/>
      <c r="RKR19" s="13"/>
      <c r="RKS19" s="13"/>
      <c r="RKT19" s="13"/>
      <c r="RKU19" s="13"/>
      <c r="RKV19" s="13"/>
      <c r="RKW19" s="13"/>
      <c r="RKX19" s="13"/>
      <c r="RKY19" s="13"/>
      <c r="RKZ19" s="13"/>
      <c r="RLA19" s="13"/>
      <c r="RLB19" s="13"/>
      <c r="RLC19" s="13"/>
      <c r="RLD19" s="13"/>
      <c r="RLE19" s="13"/>
      <c r="RLF19" s="13"/>
      <c r="RLG19" s="13"/>
      <c r="RLH19" s="13"/>
      <c r="RLI19" s="13"/>
      <c r="RLJ19" s="13"/>
      <c r="RLK19" s="13"/>
      <c r="RLL19" s="13"/>
      <c r="RLM19" s="13"/>
      <c r="RLN19" s="13"/>
      <c r="RLO19" s="13"/>
      <c r="RLP19" s="13"/>
      <c r="RLQ19" s="13"/>
      <c r="RLR19" s="13"/>
      <c r="RLS19" s="13"/>
      <c r="RLT19" s="13"/>
      <c r="RLU19" s="13"/>
      <c r="RLV19" s="13"/>
      <c r="RLW19" s="13"/>
      <c r="RLX19" s="13"/>
      <c r="RLY19" s="13"/>
      <c r="RLZ19" s="13"/>
      <c r="RMA19" s="13"/>
      <c r="RMB19" s="13"/>
      <c r="RMC19" s="13"/>
      <c r="RMD19" s="13"/>
      <c r="RME19" s="13"/>
      <c r="RMF19" s="13"/>
      <c r="RMG19" s="13"/>
      <c r="RMH19" s="13"/>
      <c r="RMI19" s="13"/>
      <c r="RMJ19" s="13"/>
      <c r="RMK19" s="13"/>
      <c r="RML19" s="13"/>
      <c r="RMM19" s="13"/>
      <c r="RMN19" s="13"/>
      <c r="RMO19" s="13"/>
      <c r="RMP19" s="13"/>
      <c r="RMQ19" s="13"/>
      <c r="RMR19" s="13"/>
      <c r="RMS19" s="13"/>
      <c r="RMT19" s="13"/>
      <c r="RMU19" s="13"/>
      <c r="RMV19" s="13"/>
      <c r="RMW19" s="13"/>
      <c r="RMX19" s="13"/>
      <c r="RMY19" s="13"/>
      <c r="RMZ19" s="13"/>
      <c r="RNA19" s="13"/>
      <c r="RNB19" s="13"/>
      <c r="RNC19" s="13"/>
      <c r="RND19" s="13"/>
      <c r="RNE19" s="13"/>
      <c r="RNF19" s="13"/>
      <c r="RNG19" s="13"/>
      <c r="RNH19" s="13"/>
      <c r="RNI19" s="13"/>
      <c r="RNJ19" s="13"/>
      <c r="RNK19" s="13"/>
      <c r="RNL19" s="13"/>
      <c r="RNM19" s="13"/>
      <c r="RNN19" s="13"/>
      <c r="RNO19" s="13"/>
      <c r="RNP19" s="13"/>
      <c r="RNQ19" s="13"/>
      <c r="RNR19" s="13"/>
      <c r="RNS19" s="13"/>
      <c r="RNT19" s="13"/>
      <c r="RNU19" s="13"/>
      <c r="RNV19" s="13"/>
      <c r="RNW19" s="13"/>
      <c r="RNX19" s="13"/>
      <c r="RNY19" s="13"/>
      <c r="RNZ19" s="13"/>
      <c r="ROA19" s="13"/>
      <c r="ROB19" s="13"/>
      <c r="ROC19" s="13"/>
      <c r="ROD19" s="13"/>
      <c r="ROE19" s="13"/>
      <c r="ROF19" s="13"/>
      <c r="ROG19" s="13"/>
      <c r="ROH19" s="13"/>
      <c r="ROI19" s="13"/>
      <c r="ROJ19" s="13"/>
      <c r="ROK19" s="13"/>
      <c r="ROL19" s="13"/>
      <c r="ROM19" s="13"/>
      <c r="RON19" s="13"/>
      <c r="ROO19" s="13"/>
      <c r="ROP19" s="13"/>
      <c r="ROQ19" s="13"/>
      <c r="ROR19" s="13"/>
      <c r="ROS19" s="13"/>
      <c r="ROT19" s="13"/>
      <c r="ROU19" s="13"/>
      <c r="ROV19" s="13"/>
      <c r="ROW19" s="13"/>
      <c r="ROX19" s="13"/>
      <c r="ROY19" s="13"/>
      <c r="ROZ19" s="13"/>
      <c r="RPA19" s="13"/>
      <c r="RPB19" s="13"/>
      <c r="RPC19" s="13"/>
      <c r="RPD19" s="13"/>
      <c r="RPE19" s="13"/>
      <c r="RPF19" s="13"/>
      <c r="RPG19" s="13"/>
      <c r="RPH19" s="13"/>
      <c r="RPI19" s="13"/>
      <c r="RPJ19" s="13"/>
      <c r="RPK19" s="13"/>
      <c r="RPL19" s="13"/>
      <c r="RPM19" s="13"/>
      <c r="RPN19" s="13"/>
      <c r="RPO19" s="13"/>
      <c r="RPP19" s="13"/>
      <c r="RPQ19" s="13"/>
      <c r="RPR19" s="13"/>
      <c r="RPS19" s="13"/>
      <c r="RPT19" s="13"/>
      <c r="RPU19" s="13"/>
      <c r="RPV19" s="13"/>
      <c r="RPW19" s="13"/>
      <c r="RPX19" s="13"/>
      <c r="RPY19" s="13"/>
      <c r="RPZ19" s="13"/>
      <c r="RQA19" s="13"/>
      <c r="RQB19" s="13"/>
      <c r="RQC19" s="13"/>
      <c r="RQD19" s="13"/>
      <c r="RQE19" s="13"/>
      <c r="RQF19" s="13"/>
      <c r="RQG19" s="13"/>
      <c r="RQH19" s="13"/>
      <c r="RQI19" s="13"/>
      <c r="RQJ19" s="13"/>
      <c r="RQK19" s="13"/>
      <c r="RQL19" s="13"/>
      <c r="RQM19" s="13"/>
      <c r="RQN19" s="13"/>
      <c r="RQO19" s="13"/>
      <c r="RQP19" s="13"/>
      <c r="RQQ19" s="13"/>
      <c r="RQR19" s="13"/>
      <c r="RQS19" s="13"/>
      <c r="RQT19" s="13"/>
      <c r="RQU19" s="13"/>
      <c r="RQV19" s="13"/>
      <c r="RQW19" s="13"/>
      <c r="RQX19" s="13"/>
      <c r="RQY19" s="13"/>
      <c r="RQZ19" s="13"/>
      <c r="RRA19" s="13"/>
      <c r="RRB19" s="13"/>
      <c r="RRC19" s="13"/>
      <c r="RRD19" s="13"/>
      <c r="RRE19" s="13"/>
      <c r="RRF19" s="13"/>
      <c r="RRG19" s="13"/>
      <c r="RRH19" s="13"/>
      <c r="RRI19" s="13"/>
      <c r="RRJ19" s="13"/>
      <c r="RRK19" s="13"/>
      <c r="RRL19" s="13"/>
      <c r="RRM19" s="13"/>
      <c r="RRN19" s="13"/>
      <c r="RRO19" s="13"/>
      <c r="RRP19" s="13"/>
      <c r="RRQ19" s="13"/>
      <c r="RRR19" s="13"/>
      <c r="RRS19" s="13"/>
      <c r="RRT19" s="13"/>
      <c r="RRU19" s="13"/>
      <c r="RRV19" s="13"/>
      <c r="RRW19" s="13"/>
      <c r="RRX19" s="13"/>
      <c r="RRY19" s="13"/>
      <c r="RRZ19" s="13"/>
      <c r="RSA19" s="13"/>
      <c r="RSB19" s="13"/>
      <c r="RSC19" s="13"/>
      <c r="RSD19" s="13"/>
      <c r="RSE19" s="13"/>
      <c r="RSF19" s="13"/>
      <c r="RSG19" s="13"/>
      <c r="RSH19" s="13"/>
      <c r="RSI19" s="13"/>
      <c r="RSJ19" s="13"/>
      <c r="RSK19" s="13"/>
      <c r="RSL19" s="13"/>
      <c r="RSM19" s="13"/>
      <c r="RSN19" s="13"/>
      <c r="RSO19" s="13"/>
      <c r="RSP19" s="13"/>
      <c r="RSQ19" s="13"/>
      <c r="RSR19" s="13"/>
      <c r="RSS19" s="13"/>
      <c r="RST19" s="13"/>
      <c r="RSU19" s="13"/>
      <c r="RSV19" s="13"/>
      <c r="RSW19" s="13"/>
      <c r="RSX19" s="13"/>
      <c r="RSY19" s="13"/>
      <c r="RSZ19" s="13"/>
      <c r="RTA19" s="13"/>
      <c r="RTB19" s="13"/>
      <c r="RTC19" s="13"/>
      <c r="RTD19" s="13"/>
      <c r="RTE19" s="13"/>
      <c r="RTF19" s="13"/>
      <c r="RTG19" s="13"/>
      <c r="RTH19" s="13"/>
      <c r="RTI19" s="13"/>
      <c r="RTJ19" s="13"/>
      <c r="RTK19" s="13"/>
      <c r="RTL19" s="13"/>
      <c r="RTM19" s="13"/>
      <c r="RTN19" s="13"/>
      <c r="RTO19" s="13"/>
      <c r="RTP19" s="13"/>
      <c r="RTQ19" s="13"/>
      <c r="RTR19" s="13"/>
      <c r="RTS19" s="13"/>
      <c r="RTT19" s="13"/>
      <c r="RTU19" s="13"/>
      <c r="RTV19" s="13"/>
      <c r="RTW19" s="13"/>
      <c r="RTX19" s="13"/>
      <c r="RTY19" s="13"/>
      <c r="RTZ19" s="13"/>
      <c r="RUA19" s="13"/>
      <c r="RUB19" s="13"/>
      <c r="RUC19" s="13"/>
      <c r="RUD19" s="13"/>
      <c r="RUE19" s="13"/>
      <c r="RUF19" s="13"/>
      <c r="RUG19" s="13"/>
      <c r="RUH19" s="13"/>
      <c r="RUI19" s="13"/>
      <c r="RUJ19" s="13"/>
      <c r="RUK19" s="13"/>
      <c r="RUL19" s="13"/>
      <c r="RUM19" s="13"/>
      <c r="RUN19" s="13"/>
      <c r="RUO19" s="13"/>
      <c r="RUP19" s="13"/>
      <c r="RUQ19" s="13"/>
      <c r="RUR19" s="13"/>
      <c r="RUS19" s="13"/>
      <c r="RUT19" s="13"/>
      <c r="RUU19" s="13"/>
      <c r="RUV19" s="13"/>
      <c r="RUW19" s="13"/>
      <c r="RUX19" s="13"/>
      <c r="RUY19" s="13"/>
      <c r="RUZ19" s="13"/>
      <c r="RVA19" s="13"/>
      <c r="RVB19" s="13"/>
      <c r="RVC19" s="13"/>
      <c r="RVD19" s="13"/>
      <c r="RVE19" s="13"/>
      <c r="RVF19" s="13"/>
      <c r="RVG19" s="13"/>
      <c r="RVH19" s="13"/>
      <c r="RVI19" s="13"/>
      <c r="RVJ19" s="13"/>
      <c r="RVK19" s="13"/>
      <c r="RVL19" s="13"/>
      <c r="RVM19" s="13"/>
      <c r="RVN19" s="13"/>
      <c r="RVO19" s="13"/>
      <c r="RVP19" s="13"/>
      <c r="RVQ19" s="13"/>
      <c r="RVR19" s="13"/>
      <c r="RVS19" s="13"/>
      <c r="RVT19" s="13"/>
      <c r="RVU19" s="13"/>
      <c r="RVV19" s="13"/>
      <c r="RVW19" s="13"/>
      <c r="RVX19" s="13"/>
      <c r="RVY19" s="13"/>
      <c r="RVZ19" s="13"/>
      <c r="RWA19" s="13"/>
      <c r="RWB19" s="13"/>
      <c r="RWC19" s="13"/>
      <c r="RWD19" s="13"/>
      <c r="RWE19" s="13"/>
      <c r="RWF19" s="13"/>
      <c r="RWG19" s="13"/>
      <c r="RWH19" s="13"/>
      <c r="RWI19" s="13"/>
      <c r="RWJ19" s="13"/>
      <c r="RWK19" s="13"/>
      <c r="RWL19" s="13"/>
      <c r="RWM19" s="13"/>
      <c r="RWN19" s="13"/>
      <c r="RWO19" s="13"/>
      <c r="RWP19" s="13"/>
      <c r="RWQ19" s="13"/>
      <c r="RWR19" s="13"/>
      <c r="RWS19" s="13"/>
      <c r="RWT19" s="13"/>
      <c r="RWU19" s="13"/>
      <c r="RWV19" s="13"/>
      <c r="RWW19" s="13"/>
      <c r="RWX19" s="13"/>
      <c r="RWY19" s="13"/>
      <c r="RWZ19" s="13"/>
      <c r="RXA19" s="13"/>
      <c r="RXB19" s="13"/>
      <c r="RXC19" s="13"/>
      <c r="RXD19" s="13"/>
      <c r="RXE19" s="13"/>
      <c r="RXF19" s="13"/>
      <c r="RXG19" s="13"/>
      <c r="RXH19" s="13"/>
      <c r="RXI19" s="13"/>
      <c r="RXJ19" s="13"/>
      <c r="RXK19" s="13"/>
      <c r="RXL19" s="13"/>
      <c r="RXM19" s="13"/>
      <c r="RXN19" s="13"/>
      <c r="RXO19" s="13"/>
      <c r="RXP19" s="13"/>
      <c r="RXQ19" s="13"/>
      <c r="RXR19" s="13"/>
      <c r="RXS19" s="13"/>
      <c r="RXT19" s="13"/>
      <c r="RXU19" s="13"/>
      <c r="RXV19" s="13"/>
      <c r="RXW19" s="13"/>
      <c r="RXX19" s="13"/>
      <c r="RXY19" s="13"/>
      <c r="RXZ19" s="13"/>
      <c r="RYA19" s="13"/>
      <c r="RYB19" s="13"/>
      <c r="RYC19" s="13"/>
      <c r="RYD19" s="13"/>
      <c r="RYE19" s="13"/>
      <c r="RYF19" s="13"/>
      <c r="RYG19" s="13"/>
      <c r="RYH19" s="13"/>
      <c r="RYI19" s="13"/>
      <c r="RYJ19" s="13"/>
      <c r="RYK19" s="13"/>
      <c r="RYL19" s="13"/>
      <c r="RYM19" s="13"/>
      <c r="RYN19" s="13"/>
      <c r="RYO19" s="13"/>
      <c r="RYP19" s="13"/>
      <c r="RYQ19" s="13"/>
      <c r="RYR19" s="13"/>
      <c r="RYS19" s="13"/>
      <c r="RYT19" s="13"/>
      <c r="RYU19" s="13"/>
      <c r="RYV19" s="13"/>
      <c r="RYW19" s="13"/>
      <c r="RYX19" s="13"/>
      <c r="RYY19" s="13"/>
      <c r="RYZ19" s="13"/>
      <c r="RZA19" s="13"/>
      <c r="RZB19" s="13"/>
      <c r="RZC19" s="13"/>
      <c r="RZD19" s="13"/>
      <c r="RZE19" s="13"/>
      <c r="RZF19" s="13"/>
      <c r="RZG19" s="13"/>
      <c r="RZH19" s="13"/>
      <c r="RZI19" s="13"/>
      <c r="RZJ19" s="13"/>
      <c r="RZK19" s="13"/>
      <c r="RZL19" s="13"/>
      <c r="RZM19" s="13"/>
      <c r="RZN19" s="13"/>
      <c r="RZO19" s="13"/>
      <c r="RZP19" s="13"/>
      <c r="RZQ19" s="13"/>
      <c r="RZR19" s="13"/>
      <c r="RZS19" s="13"/>
      <c r="RZT19" s="13"/>
      <c r="RZU19" s="13"/>
      <c r="RZV19" s="13"/>
      <c r="RZW19" s="13"/>
      <c r="RZX19" s="13"/>
      <c r="RZY19" s="13"/>
      <c r="RZZ19" s="13"/>
      <c r="SAA19" s="13"/>
      <c r="SAB19" s="13"/>
      <c r="SAC19" s="13"/>
      <c r="SAD19" s="13"/>
      <c r="SAE19" s="13"/>
      <c r="SAF19" s="13"/>
      <c r="SAG19" s="13"/>
      <c r="SAH19" s="13"/>
      <c r="SAI19" s="13"/>
      <c r="SAJ19" s="13"/>
      <c r="SAK19" s="13"/>
      <c r="SAL19" s="13"/>
      <c r="SAM19" s="13"/>
      <c r="SAN19" s="13"/>
      <c r="SAO19" s="13"/>
      <c r="SAP19" s="13"/>
      <c r="SAQ19" s="13"/>
      <c r="SAR19" s="13"/>
      <c r="SAS19" s="13"/>
      <c r="SAT19" s="13"/>
      <c r="SAU19" s="13"/>
      <c r="SAV19" s="13"/>
      <c r="SAW19" s="13"/>
      <c r="SAX19" s="13"/>
      <c r="SAY19" s="13"/>
      <c r="SAZ19" s="13"/>
      <c r="SBA19" s="13"/>
      <c r="SBB19" s="13"/>
      <c r="SBC19" s="13"/>
      <c r="SBD19" s="13"/>
      <c r="SBE19" s="13"/>
      <c r="SBF19" s="13"/>
      <c r="SBG19" s="13"/>
      <c r="SBH19" s="13"/>
      <c r="SBI19" s="13"/>
      <c r="SBJ19" s="13"/>
      <c r="SBK19" s="13"/>
      <c r="SBL19" s="13"/>
      <c r="SBM19" s="13"/>
      <c r="SBN19" s="13"/>
      <c r="SBO19" s="13"/>
      <c r="SBP19" s="13"/>
      <c r="SBQ19" s="13"/>
      <c r="SBR19" s="13"/>
      <c r="SBS19" s="13"/>
      <c r="SBT19" s="13"/>
      <c r="SBU19" s="13"/>
      <c r="SBV19" s="13"/>
      <c r="SBW19" s="13"/>
      <c r="SBX19" s="13"/>
      <c r="SBY19" s="13"/>
      <c r="SBZ19" s="13"/>
      <c r="SCA19" s="13"/>
      <c r="SCB19" s="13"/>
      <c r="SCC19" s="13"/>
      <c r="SCD19" s="13"/>
      <c r="SCE19" s="13"/>
      <c r="SCF19" s="13"/>
      <c r="SCG19" s="13"/>
      <c r="SCH19" s="13"/>
      <c r="SCI19" s="13"/>
      <c r="SCJ19" s="13"/>
      <c r="SCK19" s="13"/>
      <c r="SCL19" s="13"/>
      <c r="SCM19" s="13"/>
      <c r="SCN19" s="13"/>
      <c r="SCO19" s="13"/>
      <c r="SCP19" s="13"/>
      <c r="SCQ19" s="13"/>
      <c r="SCR19" s="13"/>
      <c r="SCS19" s="13"/>
      <c r="SCT19" s="13"/>
      <c r="SCU19" s="13"/>
      <c r="SCV19" s="13"/>
      <c r="SCW19" s="13"/>
      <c r="SCX19" s="13"/>
      <c r="SCY19" s="13"/>
      <c r="SCZ19" s="13"/>
      <c r="SDA19" s="13"/>
      <c r="SDB19" s="13"/>
      <c r="SDC19" s="13"/>
      <c r="SDD19" s="13"/>
      <c r="SDE19" s="13"/>
      <c r="SDF19" s="13"/>
      <c r="SDG19" s="13"/>
      <c r="SDH19" s="13"/>
      <c r="SDI19" s="13"/>
      <c r="SDJ19" s="13"/>
      <c r="SDK19" s="13"/>
      <c r="SDL19" s="13"/>
      <c r="SDM19" s="13"/>
      <c r="SDN19" s="13"/>
      <c r="SDO19" s="13"/>
      <c r="SDP19" s="13"/>
      <c r="SDQ19" s="13"/>
      <c r="SDR19" s="13"/>
      <c r="SDS19" s="13"/>
      <c r="SDT19" s="13"/>
      <c r="SDU19" s="13"/>
      <c r="SDV19" s="13"/>
      <c r="SDW19" s="13"/>
      <c r="SDX19" s="13"/>
      <c r="SDY19" s="13"/>
      <c r="SDZ19" s="13"/>
      <c r="SEA19" s="13"/>
      <c r="SEB19" s="13"/>
      <c r="SEC19" s="13"/>
      <c r="SED19" s="13"/>
      <c r="SEE19" s="13"/>
      <c r="SEF19" s="13"/>
      <c r="SEG19" s="13"/>
      <c r="SEH19" s="13"/>
      <c r="SEI19" s="13"/>
      <c r="SEJ19" s="13"/>
      <c r="SEK19" s="13"/>
      <c r="SEL19" s="13"/>
      <c r="SEM19" s="13"/>
      <c r="SEN19" s="13"/>
      <c r="SEO19" s="13"/>
      <c r="SEP19" s="13"/>
      <c r="SEQ19" s="13"/>
      <c r="SER19" s="13"/>
      <c r="SES19" s="13"/>
      <c r="SET19" s="13"/>
      <c r="SEU19" s="13"/>
      <c r="SEV19" s="13"/>
      <c r="SEW19" s="13"/>
      <c r="SEX19" s="13"/>
      <c r="SEY19" s="13"/>
      <c r="SEZ19" s="13"/>
      <c r="SFA19" s="13"/>
      <c r="SFB19" s="13"/>
      <c r="SFC19" s="13"/>
      <c r="SFD19" s="13"/>
      <c r="SFE19" s="13"/>
      <c r="SFF19" s="13"/>
      <c r="SFG19" s="13"/>
      <c r="SFH19" s="13"/>
      <c r="SFI19" s="13"/>
      <c r="SFJ19" s="13"/>
      <c r="SFK19" s="13"/>
      <c r="SFL19" s="13"/>
      <c r="SFM19" s="13"/>
      <c r="SFN19" s="13"/>
      <c r="SFO19" s="13"/>
      <c r="SFP19" s="13"/>
      <c r="SFQ19" s="13"/>
      <c r="SFR19" s="13"/>
      <c r="SFS19" s="13"/>
      <c r="SFT19" s="13"/>
      <c r="SFU19" s="13"/>
      <c r="SFV19" s="13"/>
      <c r="SFW19" s="13"/>
      <c r="SFX19" s="13"/>
      <c r="SFY19" s="13"/>
      <c r="SFZ19" s="13"/>
      <c r="SGA19" s="13"/>
      <c r="SGB19" s="13"/>
      <c r="SGC19" s="13"/>
      <c r="SGD19" s="13"/>
      <c r="SGE19" s="13"/>
      <c r="SGF19" s="13"/>
      <c r="SGG19" s="13"/>
      <c r="SGH19" s="13"/>
      <c r="SGI19" s="13"/>
      <c r="SGJ19" s="13"/>
      <c r="SGK19" s="13"/>
      <c r="SGL19" s="13"/>
      <c r="SGM19" s="13"/>
      <c r="SGN19" s="13"/>
      <c r="SGO19" s="13"/>
      <c r="SGP19" s="13"/>
      <c r="SGQ19" s="13"/>
      <c r="SGR19" s="13"/>
      <c r="SGS19" s="13"/>
      <c r="SGT19" s="13"/>
      <c r="SGU19" s="13"/>
      <c r="SGV19" s="13"/>
      <c r="SGW19" s="13"/>
      <c r="SGX19" s="13"/>
      <c r="SGY19" s="13"/>
      <c r="SGZ19" s="13"/>
      <c r="SHA19" s="13"/>
      <c r="SHB19" s="13"/>
      <c r="SHC19" s="13"/>
      <c r="SHD19" s="13"/>
      <c r="SHE19" s="13"/>
      <c r="SHF19" s="13"/>
      <c r="SHG19" s="13"/>
      <c r="SHH19" s="13"/>
      <c r="SHI19" s="13"/>
      <c r="SHJ19" s="13"/>
      <c r="SHK19" s="13"/>
      <c r="SHL19" s="13"/>
      <c r="SHM19" s="13"/>
      <c r="SHN19" s="13"/>
      <c r="SHO19" s="13"/>
      <c r="SHP19" s="13"/>
      <c r="SHQ19" s="13"/>
      <c r="SHR19" s="13"/>
      <c r="SHS19" s="13"/>
      <c r="SHT19" s="13"/>
      <c r="SHU19" s="13"/>
      <c r="SHV19" s="13"/>
      <c r="SHW19" s="13"/>
      <c r="SHX19" s="13"/>
      <c r="SHY19" s="13"/>
      <c r="SHZ19" s="13"/>
      <c r="SIA19" s="13"/>
      <c r="SIB19" s="13"/>
      <c r="SIC19" s="13"/>
      <c r="SID19" s="13"/>
      <c r="SIE19" s="13"/>
      <c r="SIF19" s="13"/>
      <c r="SIG19" s="13"/>
      <c r="SIH19" s="13"/>
      <c r="SII19" s="13"/>
      <c r="SIJ19" s="13"/>
      <c r="SIK19" s="13"/>
      <c r="SIL19" s="13"/>
      <c r="SIM19" s="13"/>
      <c r="SIN19" s="13"/>
      <c r="SIO19" s="13"/>
      <c r="SIP19" s="13"/>
      <c r="SIQ19" s="13"/>
      <c r="SIR19" s="13"/>
      <c r="SIS19" s="13"/>
      <c r="SIT19" s="13"/>
      <c r="SIU19" s="13"/>
      <c r="SIV19" s="13"/>
      <c r="SIW19" s="13"/>
      <c r="SIX19" s="13"/>
      <c r="SIY19" s="13"/>
      <c r="SIZ19" s="13"/>
      <c r="SJA19" s="13"/>
      <c r="SJB19" s="13"/>
      <c r="SJC19" s="13"/>
      <c r="SJD19" s="13"/>
      <c r="SJE19" s="13"/>
      <c r="SJF19" s="13"/>
      <c r="SJG19" s="13"/>
      <c r="SJH19" s="13"/>
      <c r="SJI19" s="13"/>
      <c r="SJJ19" s="13"/>
      <c r="SJK19" s="13"/>
      <c r="SJL19" s="13"/>
      <c r="SJM19" s="13"/>
      <c r="SJN19" s="13"/>
      <c r="SJO19" s="13"/>
      <c r="SJP19" s="13"/>
      <c r="SJQ19" s="13"/>
      <c r="SJR19" s="13"/>
      <c r="SJS19" s="13"/>
      <c r="SJT19" s="13"/>
      <c r="SJU19" s="13"/>
      <c r="SJV19" s="13"/>
      <c r="SJW19" s="13"/>
      <c r="SJX19" s="13"/>
      <c r="SJY19" s="13"/>
      <c r="SJZ19" s="13"/>
      <c r="SKA19" s="13"/>
      <c r="SKB19" s="13"/>
      <c r="SKC19" s="13"/>
      <c r="SKD19" s="13"/>
      <c r="SKE19" s="13"/>
      <c r="SKF19" s="13"/>
      <c r="SKG19" s="13"/>
      <c r="SKH19" s="13"/>
      <c r="SKI19" s="13"/>
      <c r="SKJ19" s="13"/>
      <c r="SKK19" s="13"/>
      <c r="SKL19" s="13"/>
      <c r="SKM19" s="13"/>
      <c r="SKN19" s="13"/>
      <c r="SKO19" s="13"/>
      <c r="SKP19" s="13"/>
      <c r="SKQ19" s="13"/>
      <c r="SKR19" s="13"/>
      <c r="SKS19" s="13"/>
      <c r="SKT19" s="13"/>
      <c r="SKU19" s="13"/>
      <c r="SKV19" s="13"/>
      <c r="SKW19" s="13"/>
      <c r="SKX19" s="13"/>
      <c r="SKY19" s="13"/>
      <c r="SKZ19" s="13"/>
      <c r="SLA19" s="13"/>
      <c r="SLB19" s="13"/>
      <c r="SLC19" s="13"/>
      <c r="SLD19" s="13"/>
      <c r="SLE19" s="13"/>
      <c r="SLF19" s="13"/>
      <c r="SLG19" s="13"/>
      <c r="SLH19" s="13"/>
      <c r="SLI19" s="13"/>
      <c r="SLJ19" s="13"/>
      <c r="SLK19" s="13"/>
      <c r="SLL19" s="13"/>
      <c r="SLM19" s="13"/>
      <c r="SLN19" s="13"/>
      <c r="SLO19" s="13"/>
      <c r="SLP19" s="13"/>
      <c r="SLQ19" s="13"/>
      <c r="SLR19" s="13"/>
      <c r="SLS19" s="13"/>
      <c r="SLT19" s="13"/>
      <c r="SLU19" s="13"/>
      <c r="SLV19" s="13"/>
      <c r="SLW19" s="13"/>
      <c r="SLX19" s="13"/>
      <c r="SLY19" s="13"/>
      <c r="SLZ19" s="13"/>
      <c r="SMA19" s="13"/>
      <c r="SMB19" s="13"/>
      <c r="SMC19" s="13"/>
      <c r="SMD19" s="13"/>
      <c r="SME19" s="13"/>
      <c r="SMF19" s="13"/>
      <c r="SMG19" s="13"/>
      <c r="SMH19" s="13"/>
      <c r="SMI19" s="13"/>
      <c r="SMJ19" s="13"/>
      <c r="SMK19" s="13"/>
      <c r="SML19" s="13"/>
      <c r="SMM19" s="13"/>
      <c r="SMN19" s="13"/>
      <c r="SMO19" s="13"/>
      <c r="SMP19" s="13"/>
      <c r="SMQ19" s="13"/>
      <c r="SMR19" s="13"/>
      <c r="SMS19" s="13"/>
      <c r="SMT19" s="13"/>
      <c r="SMU19" s="13"/>
      <c r="SMV19" s="13"/>
      <c r="SMW19" s="13"/>
      <c r="SMX19" s="13"/>
      <c r="SMY19" s="13"/>
      <c r="SMZ19" s="13"/>
      <c r="SNA19" s="13"/>
      <c r="SNB19" s="13"/>
      <c r="SNC19" s="13"/>
      <c r="SND19" s="13"/>
      <c r="SNE19" s="13"/>
      <c r="SNF19" s="13"/>
      <c r="SNG19" s="13"/>
      <c r="SNH19" s="13"/>
      <c r="SNI19" s="13"/>
      <c r="SNJ19" s="13"/>
      <c r="SNK19" s="13"/>
      <c r="SNL19" s="13"/>
      <c r="SNM19" s="13"/>
      <c r="SNN19" s="13"/>
      <c r="SNO19" s="13"/>
      <c r="SNP19" s="13"/>
      <c r="SNQ19" s="13"/>
      <c r="SNR19" s="13"/>
      <c r="SNS19" s="13"/>
      <c r="SNT19" s="13"/>
      <c r="SNU19" s="13"/>
      <c r="SNV19" s="13"/>
      <c r="SNW19" s="13"/>
      <c r="SNX19" s="13"/>
      <c r="SNY19" s="13"/>
      <c r="SNZ19" s="13"/>
      <c r="SOA19" s="13"/>
      <c r="SOB19" s="13"/>
      <c r="SOC19" s="13"/>
      <c r="SOD19" s="13"/>
      <c r="SOE19" s="13"/>
      <c r="SOF19" s="13"/>
      <c r="SOG19" s="13"/>
      <c r="SOH19" s="13"/>
      <c r="SOI19" s="13"/>
      <c r="SOJ19" s="13"/>
      <c r="SOK19" s="13"/>
      <c r="SOL19" s="13"/>
      <c r="SOM19" s="13"/>
      <c r="SON19" s="13"/>
      <c r="SOO19" s="13"/>
      <c r="SOP19" s="13"/>
      <c r="SOQ19" s="13"/>
      <c r="SOR19" s="13"/>
      <c r="SOS19" s="13"/>
      <c r="SOT19" s="13"/>
      <c r="SOU19" s="13"/>
      <c r="SOV19" s="13"/>
      <c r="SOW19" s="13"/>
      <c r="SOX19" s="13"/>
      <c r="SOY19" s="13"/>
      <c r="SOZ19" s="13"/>
      <c r="SPA19" s="13"/>
      <c r="SPB19" s="13"/>
      <c r="SPC19" s="13"/>
      <c r="SPD19" s="13"/>
      <c r="SPE19" s="13"/>
      <c r="SPF19" s="13"/>
      <c r="SPG19" s="13"/>
      <c r="SPH19" s="13"/>
      <c r="SPI19" s="13"/>
      <c r="SPJ19" s="13"/>
      <c r="SPK19" s="13"/>
      <c r="SPL19" s="13"/>
      <c r="SPM19" s="13"/>
      <c r="SPN19" s="13"/>
      <c r="SPO19" s="13"/>
      <c r="SPP19" s="13"/>
      <c r="SPQ19" s="13"/>
      <c r="SPR19" s="13"/>
      <c r="SPS19" s="13"/>
      <c r="SPT19" s="13"/>
      <c r="SPU19" s="13"/>
      <c r="SPV19" s="13"/>
      <c r="SPW19" s="13"/>
      <c r="SPX19" s="13"/>
      <c r="SPY19" s="13"/>
      <c r="SPZ19" s="13"/>
      <c r="SQA19" s="13"/>
      <c r="SQB19" s="13"/>
      <c r="SQC19" s="13"/>
      <c r="SQD19" s="13"/>
      <c r="SQE19" s="13"/>
      <c r="SQF19" s="13"/>
      <c r="SQG19" s="13"/>
      <c r="SQH19" s="13"/>
      <c r="SQI19" s="13"/>
      <c r="SQJ19" s="13"/>
      <c r="SQK19" s="13"/>
      <c r="SQL19" s="13"/>
      <c r="SQM19" s="13"/>
      <c r="SQN19" s="13"/>
      <c r="SQO19" s="13"/>
      <c r="SQP19" s="13"/>
      <c r="SQQ19" s="13"/>
      <c r="SQR19" s="13"/>
      <c r="SQS19" s="13"/>
      <c r="SQT19" s="13"/>
      <c r="SQU19" s="13"/>
      <c r="SQV19" s="13"/>
      <c r="SQW19" s="13"/>
      <c r="SQX19" s="13"/>
      <c r="SQY19" s="13"/>
      <c r="SQZ19" s="13"/>
      <c r="SRA19" s="13"/>
      <c r="SRB19" s="13"/>
      <c r="SRC19" s="13"/>
      <c r="SRD19" s="13"/>
      <c r="SRE19" s="13"/>
      <c r="SRF19" s="13"/>
      <c r="SRG19" s="13"/>
      <c r="SRH19" s="13"/>
      <c r="SRI19" s="13"/>
      <c r="SRJ19" s="13"/>
      <c r="SRK19" s="13"/>
      <c r="SRL19" s="13"/>
      <c r="SRM19" s="13"/>
      <c r="SRN19" s="13"/>
      <c r="SRO19" s="13"/>
      <c r="SRP19" s="13"/>
      <c r="SRQ19" s="13"/>
      <c r="SRR19" s="13"/>
      <c r="SRS19" s="13"/>
      <c r="SRT19" s="13"/>
      <c r="SRU19" s="13"/>
      <c r="SRV19" s="13"/>
      <c r="SRW19" s="13"/>
      <c r="SRX19" s="13"/>
      <c r="SRY19" s="13"/>
      <c r="SRZ19" s="13"/>
      <c r="SSA19" s="13"/>
      <c r="SSB19" s="13"/>
      <c r="SSC19" s="13"/>
      <c r="SSD19" s="13"/>
      <c r="SSE19" s="13"/>
      <c r="SSF19" s="13"/>
      <c r="SSG19" s="13"/>
      <c r="SSH19" s="13"/>
      <c r="SSI19" s="13"/>
      <c r="SSJ19" s="13"/>
      <c r="SSK19" s="13"/>
      <c r="SSL19" s="13"/>
      <c r="SSM19" s="13"/>
      <c r="SSN19" s="13"/>
      <c r="SSO19" s="13"/>
      <c r="SSP19" s="13"/>
      <c r="SSQ19" s="13"/>
      <c r="SSR19" s="13"/>
      <c r="SSS19" s="13"/>
      <c r="SST19" s="13"/>
      <c r="SSU19" s="13"/>
      <c r="SSV19" s="13"/>
      <c r="SSW19" s="13"/>
      <c r="SSX19" s="13"/>
      <c r="SSY19" s="13"/>
      <c r="SSZ19" s="13"/>
      <c r="STA19" s="13"/>
      <c r="STB19" s="13"/>
      <c r="STC19" s="13"/>
      <c r="STD19" s="13"/>
      <c r="STE19" s="13"/>
      <c r="STF19" s="13"/>
      <c r="STG19" s="13"/>
      <c r="STH19" s="13"/>
      <c r="STI19" s="13"/>
      <c r="STJ19" s="13"/>
      <c r="STK19" s="13"/>
      <c r="STL19" s="13"/>
      <c r="STM19" s="13"/>
      <c r="STN19" s="13"/>
      <c r="STO19" s="13"/>
      <c r="STP19" s="13"/>
      <c r="STQ19" s="13"/>
      <c r="STR19" s="13"/>
      <c r="STS19" s="13"/>
      <c r="STT19" s="13"/>
      <c r="STU19" s="13"/>
      <c r="STV19" s="13"/>
      <c r="STW19" s="13"/>
      <c r="STX19" s="13"/>
      <c r="STY19" s="13"/>
      <c r="STZ19" s="13"/>
      <c r="SUA19" s="13"/>
      <c r="SUB19" s="13"/>
      <c r="SUC19" s="13"/>
      <c r="SUD19" s="13"/>
      <c r="SUE19" s="13"/>
      <c r="SUF19" s="13"/>
      <c r="SUG19" s="13"/>
      <c r="SUH19" s="13"/>
      <c r="SUI19" s="13"/>
      <c r="SUJ19" s="13"/>
      <c r="SUK19" s="13"/>
      <c r="SUL19" s="13"/>
      <c r="SUM19" s="13"/>
      <c r="SUN19" s="13"/>
      <c r="SUO19" s="13"/>
      <c r="SUP19" s="13"/>
      <c r="SUQ19" s="13"/>
      <c r="SUR19" s="13"/>
      <c r="SUS19" s="13"/>
      <c r="SUT19" s="13"/>
      <c r="SUU19" s="13"/>
      <c r="SUV19" s="13"/>
      <c r="SUW19" s="13"/>
      <c r="SUX19" s="13"/>
      <c r="SUY19" s="13"/>
      <c r="SUZ19" s="13"/>
      <c r="SVA19" s="13"/>
      <c r="SVB19" s="13"/>
      <c r="SVC19" s="13"/>
      <c r="SVD19" s="13"/>
      <c r="SVE19" s="13"/>
      <c r="SVF19" s="13"/>
      <c r="SVG19" s="13"/>
      <c r="SVH19" s="13"/>
      <c r="SVI19" s="13"/>
      <c r="SVJ19" s="13"/>
      <c r="SVK19" s="13"/>
      <c r="SVL19" s="13"/>
      <c r="SVM19" s="13"/>
      <c r="SVN19" s="13"/>
      <c r="SVO19" s="13"/>
      <c r="SVP19" s="13"/>
      <c r="SVQ19" s="13"/>
      <c r="SVR19" s="13"/>
      <c r="SVS19" s="13"/>
      <c r="SVT19" s="13"/>
      <c r="SVU19" s="13"/>
      <c r="SVV19" s="13"/>
      <c r="SVW19" s="13"/>
      <c r="SVX19" s="13"/>
      <c r="SVY19" s="13"/>
      <c r="SVZ19" s="13"/>
      <c r="SWA19" s="13"/>
      <c r="SWB19" s="13"/>
      <c r="SWC19" s="13"/>
      <c r="SWD19" s="13"/>
      <c r="SWE19" s="13"/>
      <c r="SWF19" s="13"/>
      <c r="SWG19" s="13"/>
      <c r="SWH19" s="13"/>
      <c r="SWI19" s="13"/>
      <c r="SWJ19" s="13"/>
      <c r="SWK19" s="13"/>
      <c r="SWL19" s="13"/>
      <c r="SWM19" s="13"/>
      <c r="SWN19" s="13"/>
      <c r="SWO19" s="13"/>
      <c r="SWP19" s="13"/>
      <c r="SWQ19" s="13"/>
      <c r="SWR19" s="13"/>
      <c r="SWS19" s="13"/>
      <c r="SWT19" s="13"/>
      <c r="SWU19" s="13"/>
      <c r="SWV19" s="13"/>
      <c r="SWW19" s="13"/>
      <c r="SWX19" s="13"/>
      <c r="SWY19" s="13"/>
      <c r="SWZ19" s="13"/>
      <c r="SXA19" s="13"/>
      <c r="SXB19" s="13"/>
      <c r="SXC19" s="13"/>
      <c r="SXD19" s="13"/>
      <c r="SXE19" s="13"/>
      <c r="SXF19" s="13"/>
      <c r="SXG19" s="13"/>
      <c r="SXH19" s="13"/>
      <c r="SXI19" s="13"/>
      <c r="SXJ19" s="13"/>
      <c r="SXK19" s="13"/>
      <c r="SXL19" s="13"/>
      <c r="SXM19" s="13"/>
      <c r="SXN19" s="13"/>
      <c r="SXO19" s="13"/>
      <c r="SXP19" s="13"/>
      <c r="SXQ19" s="13"/>
      <c r="SXR19" s="13"/>
      <c r="SXS19" s="13"/>
      <c r="SXT19" s="13"/>
      <c r="SXU19" s="13"/>
      <c r="SXV19" s="13"/>
      <c r="SXW19" s="13"/>
      <c r="SXX19" s="13"/>
      <c r="SXY19" s="13"/>
      <c r="SXZ19" s="13"/>
      <c r="SYA19" s="13"/>
      <c r="SYB19" s="13"/>
      <c r="SYC19" s="13"/>
      <c r="SYD19" s="13"/>
      <c r="SYE19" s="13"/>
      <c r="SYF19" s="13"/>
      <c r="SYG19" s="13"/>
      <c r="SYH19" s="13"/>
      <c r="SYI19" s="13"/>
      <c r="SYJ19" s="13"/>
      <c r="SYK19" s="13"/>
      <c r="SYL19" s="13"/>
      <c r="SYM19" s="13"/>
      <c r="SYN19" s="13"/>
      <c r="SYO19" s="13"/>
      <c r="SYP19" s="13"/>
      <c r="SYQ19" s="13"/>
      <c r="SYR19" s="13"/>
      <c r="SYS19" s="13"/>
      <c r="SYT19" s="13"/>
      <c r="SYU19" s="13"/>
      <c r="SYV19" s="13"/>
      <c r="SYW19" s="13"/>
      <c r="SYX19" s="13"/>
      <c r="SYY19" s="13"/>
      <c r="SYZ19" s="13"/>
      <c r="SZA19" s="13"/>
      <c r="SZB19" s="13"/>
      <c r="SZC19" s="13"/>
      <c r="SZD19" s="13"/>
      <c r="SZE19" s="13"/>
      <c r="SZF19" s="13"/>
      <c r="SZG19" s="13"/>
      <c r="SZH19" s="13"/>
      <c r="SZI19" s="13"/>
      <c r="SZJ19" s="13"/>
      <c r="SZK19" s="13"/>
      <c r="SZL19" s="13"/>
      <c r="SZM19" s="13"/>
      <c r="SZN19" s="13"/>
      <c r="SZO19" s="13"/>
      <c r="SZP19" s="13"/>
      <c r="SZQ19" s="13"/>
      <c r="SZR19" s="13"/>
      <c r="SZS19" s="13"/>
      <c r="SZT19" s="13"/>
      <c r="SZU19" s="13"/>
      <c r="SZV19" s="13"/>
      <c r="SZW19" s="13"/>
      <c r="SZX19" s="13"/>
      <c r="SZY19" s="13"/>
      <c r="SZZ19" s="13"/>
      <c r="TAA19" s="13"/>
      <c r="TAB19" s="13"/>
      <c r="TAC19" s="13"/>
      <c r="TAD19" s="13"/>
      <c r="TAE19" s="13"/>
      <c r="TAF19" s="13"/>
      <c r="TAG19" s="13"/>
      <c r="TAH19" s="13"/>
      <c r="TAI19" s="13"/>
      <c r="TAJ19" s="13"/>
      <c r="TAK19" s="13"/>
      <c r="TAL19" s="13"/>
      <c r="TAM19" s="13"/>
      <c r="TAN19" s="13"/>
      <c r="TAO19" s="13"/>
      <c r="TAP19" s="13"/>
      <c r="TAQ19" s="13"/>
      <c r="TAR19" s="13"/>
      <c r="TAS19" s="13"/>
      <c r="TAT19" s="13"/>
      <c r="TAU19" s="13"/>
      <c r="TAV19" s="13"/>
      <c r="TAW19" s="13"/>
      <c r="TAX19" s="13"/>
      <c r="TAY19" s="13"/>
      <c r="TAZ19" s="13"/>
      <c r="TBA19" s="13"/>
      <c r="TBB19" s="13"/>
      <c r="TBC19" s="13"/>
      <c r="TBD19" s="13"/>
      <c r="TBE19" s="13"/>
      <c r="TBF19" s="13"/>
      <c r="TBG19" s="13"/>
      <c r="TBH19" s="13"/>
      <c r="TBI19" s="13"/>
      <c r="TBJ19" s="13"/>
      <c r="TBK19" s="13"/>
      <c r="TBL19" s="13"/>
      <c r="TBM19" s="13"/>
      <c r="TBN19" s="13"/>
      <c r="TBO19" s="13"/>
      <c r="TBP19" s="13"/>
      <c r="TBQ19" s="13"/>
      <c r="TBR19" s="13"/>
      <c r="TBS19" s="13"/>
      <c r="TBT19" s="13"/>
      <c r="TBU19" s="13"/>
      <c r="TBV19" s="13"/>
      <c r="TBW19" s="13"/>
      <c r="TBX19" s="13"/>
      <c r="TBY19" s="13"/>
      <c r="TBZ19" s="13"/>
      <c r="TCA19" s="13"/>
      <c r="TCB19" s="13"/>
      <c r="TCC19" s="13"/>
      <c r="TCD19" s="13"/>
      <c r="TCE19" s="13"/>
      <c r="TCF19" s="13"/>
      <c r="TCG19" s="13"/>
      <c r="TCH19" s="13"/>
      <c r="TCI19" s="13"/>
      <c r="TCJ19" s="13"/>
      <c r="TCK19" s="13"/>
      <c r="TCL19" s="13"/>
      <c r="TCM19" s="13"/>
      <c r="TCN19" s="13"/>
      <c r="TCO19" s="13"/>
      <c r="TCP19" s="13"/>
      <c r="TCQ19" s="13"/>
      <c r="TCR19" s="13"/>
      <c r="TCS19" s="13"/>
      <c r="TCT19" s="13"/>
      <c r="TCU19" s="13"/>
      <c r="TCV19" s="13"/>
      <c r="TCW19" s="13"/>
      <c r="TCX19" s="13"/>
      <c r="TCY19" s="13"/>
      <c r="TCZ19" s="13"/>
      <c r="TDA19" s="13"/>
      <c r="TDB19" s="13"/>
      <c r="TDC19" s="13"/>
      <c r="TDD19" s="13"/>
      <c r="TDE19" s="13"/>
      <c r="TDF19" s="13"/>
      <c r="TDG19" s="13"/>
      <c r="TDH19" s="13"/>
      <c r="TDI19" s="13"/>
      <c r="TDJ19" s="13"/>
      <c r="TDK19" s="13"/>
      <c r="TDL19" s="13"/>
      <c r="TDM19" s="13"/>
      <c r="TDN19" s="13"/>
      <c r="TDO19" s="13"/>
      <c r="TDP19" s="13"/>
      <c r="TDQ19" s="13"/>
      <c r="TDR19" s="13"/>
      <c r="TDS19" s="13"/>
      <c r="TDT19" s="13"/>
      <c r="TDU19" s="13"/>
      <c r="TDV19" s="13"/>
      <c r="TDW19" s="13"/>
      <c r="TDX19" s="13"/>
      <c r="TDY19" s="13"/>
      <c r="TDZ19" s="13"/>
      <c r="TEA19" s="13"/>
      <c r="TEB19" s="13"/>
      <c r="TEC19" s="13"/>
      <c r="TED19" s="13"/>
      <c r="TEE19" s="13"/>
      <c r="TEF19" s="13"/>
      <c r="TEG19" s="13"/>
      <c r="TEH19" s="13"/>
      <c r="TEI19" s="13"/>
      <c r="TEJ19" s="13"/>
      <c r="TEK19" s="13"/>
      <c r="TEL19" s="13"/>
      <c r="TEM19" s="13"/>
      <c r="TEN19" s="13"/>
      <c r="TEO19" s="13"/>
      <c r="TEP19" s="13"/>
      <c r="TEQ19" s="13"/>
      <c r="TER19" s="13"/>
      <c r="TES19" s="13"/>
      <c r="TET19" s="13"/>
      <c r="TEU19" s="13"/>
      <c r="TEV19" s="13"/>
      <c r="TEW19" s="13"/>
      <c r="TEX19" s="13"/>
      <c r="TEY19" s="13"/>
      <c r="TEZ19" s="13"/>
      <c r="TFA19" s="13"/>
      <c r="TFB19" s="13"/>
      <c r="TFC19" s="13"/>
      <c r="TFD19" s="13"/>
      <c r="TFE19" s="13"/>
      <c r="TFF19" s="13"/>
      <c r="TFG19" s="13"/>
      <c r="TFH19" s="13"/>
      <c r="TFI19" s="13"/>
      <c r="TFJ19" s="13"/>
      <c r="TFK19" s="13"/>
      <c r="TFL19" s="13"/>
      <c r="TFM19" s="13"/>
      <c r="TFN19" s="13"/>
      <c r="TFO19" s="13"/>
      <c r="TFP19" s="13"/>
      <c r="TFQ19" s="13"/>
      <c r="TFR19" s="13"/>
      <c r="TFS19" s="13"/>
      <c r="TFT19" s="13"/>
      <c r="TFU19" s="13"/>
      <c r="TFV19" s="13"/>
      <c r="TFW19" s="13"/>
      <c r="TFX19" s="13"/>
      <c r="TFY19" s="13"/>
      <c r="TFZ19" s="13"/>
      <c r="TGA19" s="13"/>
      <c r="TGB19" s="13"/>
      <c r="TGC19" s="13"/>
      <c r="TGD19" s="13"/>
      <c r="TGE19" s="13"/>
      <c r="TGF19" s="13"/>
      <c r="TGG19" s="13"/>
      <c r="TGH19" s="13"/>
      <c r="TGI19" s="13"/>
      <c r="TGJ19" s="13"/>
      <c r="TGK19" s="13"/>
      <c r="TGL19" s="13"/>
      <c r="TGM19" s="13"/>
      <c r="TGN19" s="13"/>
      <c r="TGO19" s="13"/>
      <c r="TGP19" s="13"/>
      <c r="TGQ19" s="13"/>
      <c r="TGR19" s="13"/>
      <c r="TGS19" s="13"/>
      <c r="TGT19" s="13"/>
      <c r="TGU19" s="13"/>
      <c r="TGV19" s="13"/>
      <c r="TGW19" s="13"/>
      <c r="TGX19" s="13"/>
      <c r="TGY19" s="13"/>
      <c r="TGZ19" s="13"/>
      <c r="THA19" s="13"/>
      <c r="THB19" s="13"/>
      <c r="THC19" s="13"/>
      <c r="THD19" s="13"/>
      <c r="THE19" s="13"/>
      <c r="THF19" s="13"/>
      <c r="THG19" s="13"/>
      <c r="THH19" s="13"/>
      <c r="THI19" s="13"/>
      <c r="THJ19" s="13"/>
      <c r="THK19" s="13"/>
      <c r="THL19" s="13"/>
      <c r="THM19" s="13"/>
      <c r="THN19" s="13"/>
      <c r="THO19" s="13"/>
      <c r="THP19" s="13"/>
      <c r="THQ19" s="13"/>
      <c r="THR19" s="13"/>
      <c r="THS19" s="13"/>
      <c r="THT19" s="13"/>
      <c r="THU19" s="13"/>
      <c r="THV19" s="13"/>
      <c r="THW19" s="13"/>
      <c r="THX19" s="13"/>
      <c r="THY19" s="13"/>
      <c r="THZ19" s="13"/>
      <c r="TIA19" s="13"/>
      <c r="TIB19" s="13"/>
      <c r="TIC19" s="13"/>
      <c r="TID19" s="13"/>
      <c r="TIE19" s="13"/>
      <c r="TIF19" s="13"/>
      <c r="TIG19" s="13"/>
      <c r="TIH19" s="13"/>
      <c r="TII19" s="13"/>
      <c r="TIJ19" s="13"/>
      <c r="TIK19" s="13"/>
      <c r="TIL19" s="13"/>
      <c r="TIM19" s="13"/>
      <c r="TIN19" s="13"/>
      <c r="TIO19" s="13"/>
      <c r="TIP19" s="13"/>
      <c r="TIQ19" s="13"/>
      <c r="TIR19" s="13"/>
      <c r="TIS19" s="13"/>
      <c r="TIT19" s="13"/>
      <c r="TIU19" s="13"/>
      <c r="TIV19" s="13"/>
      <c r="TIW19" s="13"/>
      <c r="TIX19" s="13"/>
      <c r="TIY19" s="13"/>
      <c r="TIZ19" s="13"/>
      <c r="TJA19" s="13"/>
      <c r="TJB19" s="13"/>
      <c r="TJC19" s="13"/>
      <c r="TJD19" s="13"/>
      <c r="TJE19" s="13"/>
      <c r="TJF19" s="13"/>
      <c r="TJG19" s="13"/>
      <c r="TJH19" s="13"/>
      <c r="TJI19" s="13"/>
      <c r="TJJ19" s="13"/>
      <c r="TJK19" s="13"/>
      <c r="TJL19" s="13"/>
      <c r="TJM19" s="13"/>
      <c r="TJN19" s="13"/>
      <c r="TJO19" s="13"/>
      <c r="TJP19" s="13"/>
      <c r="TJQ19" s="13"/>
      <c r="TJR19" s="13"/>
      <c r="TJS19" s="13"/>
      <c r="TJT19" s="13"/>
      <c r="TJU19" s="13"/>
      <c r="TJV19" s="13"/>
      <c r="TJW19" s="13"/>
      <c r="TJX19" s="13"/>
      <c r="TJY19" s="13"/>
      <c r="TJZ19" s="13"/>
      <c r="TKA19" s="13"/>
      <c r="TKB19" s="13"/>
      <c r="TKC19" s="13"/>
      <c r="TKD19" s="13"/>
      <c r="TKE19" s="13"/>
      <c r="TKF19" s="13"/>
      <c r="TKG19" s="13"/>
      <c r="TKH19" s="13"/>
      <c r="TKI19" s="13"/>
      <c r="TKJ19" s="13"/>
      <c r="TKK19" s="13"/>
      <c r="TKL19" s="13"/>
      <c r="TKM19" s="13"/>
      <c r="TKN19" s="13"/>
      <c r="TKO19" s="13"/>
      <c r="TKP19" s="13"/>
      <c r="TKQ19" s="13"/>
      <c r="TKR19" s="13"/>
      <c r="TKS19" s="13"/>
      <c r="TKT19" s="13"/>
      <c r="TKU19" s="13"/>
      <c r="TKV19" s="13"/>
      <c r="TKW19" s="13"/>
      <c r="TKX19" s="13"/>
      <c r="TKY19" s="13"/>
      <c r="TKZ19" s="13"/>
      <c r="TLA19" s="13"/>
      <c r="TLB19" s="13"/>
      <c r="TLC19" s="13"/>
      <c r="TLD19" s="13"/>
      <c r="TLE19" s="13"/>
      <c r="TLF19" s="13"/>
      <c r="TLG19" s="13"/>
      <c r="TLH19" s="13"/>
      <c r="TLI19" s="13"/>
      <c r="TLJ19" s="13"/>
      <c r="TLK19" s="13"/>
      <c r="TLL19" s="13"/>
      <c r="TLM19" s="13"/>
      <c r="TLN19" s="13"/>
      <c r="TLO19" s="13"/>
      <c r="TLP19" s="13"/>
      <c r="TLQ19" s="13"/>
      <c r="TLR19" s="13"/>
      <c r="TLS19" s="13"/>
      <c r="TLT19" s="13"/>
      <c r="TLU19" s="13"/>
      <c r="TLV19" s="13"/>
      <c r="TLW19" s="13"/>
      <c r="TLX19" s="13"/>
      <c r="TLY19" s="13"/>
      <c r="TLZ19" s="13"/>
      <c r="TMA19" s="13"/>
      <c r="TMB19" s="13"/>
      <c r="TMC19" s="13"/>
      <c r="TMD19" s="13"/>
      <c r="TME19" s="13"/>
      <c r="TMF19" s="13"/>
      <c r="TMG19" s="13"/>
      <c r="TMH19" s="13"/>
      <c r="TMI19" s="13"/>
      <c r="TMJ19" s="13"/>
      <c r="TMK19" s="13"/>
      <c r="TML19" s="13"/>
      <c r="TMM19" s="13"/>
      <c r="TMN19" s="13"/>
      <c r="TMO19" s="13"/>
      <c r="TMP19" s="13"/>
      <c r="TMQ19" s="13"/>
      <c r="TMR19" s="13"/>
      <c r="TMS19" s="13"/>
      <c r="TMT19" s="13"/>
      <c r="TMU19" s="13"/>
      <c r="TMV19" s="13"/>
      <c r="TMW19" s="13"/>
      <c r="TMX19" s="13"/>
      <c r="TMY19" s="13"/>
      <c r="TMZ19" s="13"/>
      <c r="TNA19" s="13"/>
      <c r="TNB19" s="13"/>
      <c r="TNC19" s="13"/>
      <c r="TND19" s="13"/>
      <c r="TNE19" s="13"/>
      <c r="TNF19" s="13"/>
      <c r="TNG19" s="13"/>
      <c r="TNH19" s="13"/>
      <c r="TNI19" s="13"/>
      <c r="TNJ19" s="13"/>
      <c r="TNK19" s="13"/>
      <c r="TNL19" s="13"/>
      <c r="TNM19" s="13"/>
      <c r="TNN19" s="13"/>
      <c r="TNO19" s="13"/>
      <c r="TNP19" s="13"/>
      <c r="TNQ19" s="13"/>
      <c r="TNR19" s="13"/>
      <c r="TNS19" s="13"/>
      <c r="TNT19" s="13"/>
      <c r="TNU19" s="13"/>
      <c r="TNV19" s="13"/>
      <c r="TNW19" s="13"/>
      <c r="TNX19" s="13"/>
      <c r="TNY19" s="13"/>
      <c r="TNZ19" s="13"/>
      <c r="TOA19" s="13"/>
      <c r="TOB19" s="13"/>
      <c r="TOC19" s="13"/>
      <c r="TOD19" s="13"/>
      <c r="TOE19" s="13"/>
      <c r="TOF19" s="13"/>
      <c r="TOG19" s="13"/>
      <c r="TOH19" s="13"/>
      <c r="TOI19" s="13"/>
      <c r="TOJ19" s="13"/>
      <c r="TOK19" s="13"/>
      <c r="TOL19" s="13"/>
      <c r="TOM19" s="13"/>
      <c r="TON19" s="13"/>
      <c r="TOO19" s="13"/>
      <c r="TOP19" s="13"/>
      <c r="TOQ19" s="13"/>
      <c r="TOR19" s="13"/>
      <c r="TOS19" s="13"/>
      <c r="TOT19" s="13"/>
      <c r="TOU19" s="13"/>
      <c r="TOV19" s="13"/>
      <c r="TOW19" s="13"/>
      <c r="TOX19" s="13"/>
      <c r="TOY19" s="13"/>
      <c r="TOZ19" s="13"/>
      <c r="TPA19" s="13"/>
      <c r="TPB19" s="13"/>
      <c r="TPC19" s="13"/>
      <c r="TPD19" s="13"/>
      <c r="TPE19" s="13"/>
      <c r="TPF19" s="13"/>
      <c r="TPG19" s="13"/>
      <c r="TPH19" s="13"/>
      <c r="TPI19" s="13"/>
      <c r="TPJ19" s="13"/>
      <c r="TPK19" s="13"/>
      <c r="TPL19" s="13"/>
      <c r="TPM19" s="13"/>
      <c r="TPN19" s="13"/>
      <c r="TPO19" s="13"/>
      <c r="TPP19" s="13"/>
      <c r="TPQ19" s="13"/>
      <c r="TPR19" s="13"/>
      <c r="TPS19" s="13"/>
      <c r="TPT19" s="13"/>
      <c r="TPU19" s="13"/>
      <c r="TPV19" s="13"/>
      <c r="TPW19" s="13"/>
      <c r="TPX19" s="13"/>
      <c r="TPY19" s="13"/>
      <c r="TPZ19" s="13"/>
      <c r="TQA19" s="13"/>
      <c r="TQB19" s="13"/>
      <c r="TQC19" s="13"/>
      <c r="TQD19" s="13"/>
      <c r="TQE19" s="13"/>
      <c r="TQF19" s="13"/>
      <c r="TQG19" s="13"/>
      <c r="TQH19" s="13"/>
      <c r="TQI19" s="13"/>
      <c r="TQJ19" s="13"/>
      <c r="TQK19" s="13"/>
      <c r="TQL19" s="13"/>
      <c r="TQM19" s="13"/>
      <c r="TQN19" s="13"/>
      <c r="TQO19" s="13"/>
      <c r="TQP19" s="13"/>
      <c r="TQQ19" s="13"/>
      <c r="TQR19" s="13"/>
      <c r="TQS19" s="13"/>
      <c r="TQT19" s="13"/>
      <c r="TQU19" s="13"/>
      <c r="TQV19" s="13"/>
      <c r="TQW19" s="13"/>
      <c r="TQX19" s="13"/>
      <c r="TQY19" s="13"/>
      <c r="TQZ19" s="13"/>
      <c r="TRA19" s="13"/>
      <c r="TRB19" s="13"/>
      <c r="TRC19" s="13"/>
      <c r="TRD19" s="13"/>
      <c r="TRE19" s="13"/>
      <c r="TRF19" s="13"/>
      <c r="TRG19" s="13"/>
      <c r="TRH19" s="13"/>
      <c r="TRI19" s="13"/>
      <c r="TRJ19" s="13"/>
      <c r="TRK19" s="13"/>
      <c r="TRL19" s="13"/>
      <c r="TRM19" s="13"/>
      <c r="TRN19" s="13"/>
      <c r="TRO19" s="13"/>
      <c r="TRP19" s="13"/>
      <c r="TRQ19" s="13"/>
      <c r="TRR19" s="13"/>
      <c r="TRS19" s="13"/>
      <c r="TRT19" s="13"/>
      <c r="TRU19" s="13"/>
      <c r="TRV19" s="13"/>
      <c r="TRW19" s="13"/>
      <c r="TRX19" s="13"/>
      <c r="TRY19" s="13"/>
      <c r="TRZ19" s="13"/>
      <c r="TSA19" s="13"/>
      <c r="TSB19" s="13"/>
      <c r="TSC19" s="13"/>
      <c r="TSD19" s="13"/>
      <c r="TSE19" s="13"/>
      <c r="TSF19" s="13"/>
      <c r="TSG19" s="13"/>
      <c r="TSH19" s="13"/>
      <c r="TSI19" s="13"/>
      <c r="TSJ19" s="13"/>
      <c r="TSK19" s="13"/>
      <c r="TSL19" s="13"/>
      <c r="TSM19" s="13"/>
      <c r="TSN19" s="13"/>
      <c r="TSO19" s="13"/>
      <c r="TSP19" s="13"/>
      <c r="TSQ19" s="13"/>
      <c r="TSR19" s="13"/>
      <c r="TSS19" s="13"/>
      <c r="TST19" s="13"/>
      <c r="TSU19" s="13"/>
      <c r="TSV19" s="13"/>
      <c r="TSW19" s="13"/>
      <c r="TSX19" s="13"/>
      <c r="TSY19" s="13"/>
      <c r="TSZ19" s="13"/>
      <c r="TTA19" s="13"/>
      <c r="TTB19" s="13"/>
      <c r="TTC19" s="13"/>
      <c r="TTD19" s="13"/>
      <c r="TTE19" s="13"/>
      <c r="TTF19" s="13"/>
      <c r="TTG19" s="13"/>
      <c r="TTH19" s="13"/>
      <c r="TTI19" s="13"/>
      <c r="TTJ19" s="13"/>
      <c r="TTK19" s="13"/>
      <c r="TTL19" s="13"/>
      <c r="TTM19" s="13"/>
      <c r="TTN19" s="13"/>
      <c r="TTO19" s="13"/>
      <c r="TTP19" s="13"/>
      <c r="TTQ19" s="13"/>
      <c r="TTR19" s="13"/>
      <c r="TTS19" s="13"/>
      <c r="TTT19" s="13"/>
      <c r="TTU19" s="13"/>
      <c r="TTV19" s="13"/>
      <c r="TTW19" s="13"/>
      <c r="TTX19" s="13"/>
      <c r="TTY19" s="13"/>
      <c r="TTZ19" s="13"/>
      <c r="TUA19" s="13"/>
      <c r="TUB19" s="13"/>
      <c r="TUC19" s="13"/>
      <c r="TUD19" s="13"/>
      <c r="TUE19" s="13"/>
      <c r="TUF19" s="13"/>
      <c r="TUG19" s="13"/>
      <c r="TUH19" s="13"/>
      <c r="TUI19" s="13"/>
      <c r="TUJ19" s="13"/>
      <c r="TUK19" s="13"/>
      <c r="TUL19" s="13"/>
      <c r="TUM19" s="13"/>
      <c r="TUN19" s="13"/>
      <c r="TUO19" s="13"/>
      <c r="TUP19" s="13"/>
      <c r="TUQ19" s="13"/>
      <c r="TUR19" s="13"/>
      <c r="TUS19" s="13"/>
      <c r="TUT19" s="13"/>
      <c r="TUU19" s="13"/>
      <c r="TUV19" s="13"/>
      <c r="TUW19" s="13"/>
      <c r="TUX19" s="13"/>
      <c r="TUY19" s="13"/>
      <c r="TUZ19" s="13"/>
      <c r="TVA19" s="13"/>
      <c r="TVB19" s="13"/>
      <c r="TVC19" s="13"/>
      <c r="TVD19" s="13"/>
      <c r="TVE19" s="13"/>
      <c r="TVF19" s="13"/>
      <c r="TVG19" s="13"/>
      <c r="TVH19" s="13"/>
      <c r="TVI19" s="13"/>
      <c r="TVJ19" s="13"/>
      <c r="TVK19" s="13"/>
      <c r="TVL19" s="13"/>
      <c r="TVM19" s="13"/>
      <c r="TVN19" s="13"/>
      <c r="TVO19" s="13"/>
      <c r="TVP19" s="13"/>
      <c r="TVQ19" s="13"/>
      <c r="TVR19" s="13"/>
      <c r="TVS19" s="13"/>
      <c r="TVT19" s="13"/>
      <c r="TVU19" s="13"/>
      <c r="TVV19" s="13"/>
      <c r="TVW19" s="13"/>
      <c r="TVX19" s="13"/>
      <c r="TVY19" s="13"/>
      <c r="TVZ19" s="13"/>
      <c r="TWA19" s="13"/>
      <c r="TWB19" s="13"/>
      <c r="TWC19" s="13"/>
      <c r="TWD19" s="13"/>
      <c r="TWE19" s="13"/>
      <c r="TWF19" s="13"/>
      <c r="TWG19" s="13"/>
      <c r="TWH19" s="13"/>
      <c r="TWI19" s="13"/>
      <c r="TWJ19" s="13"/>
      <c r="TWK19" s="13"/>
      <c r="TWL19" s="13"/>
      <c r="TWM19" s="13"/>
      <c r="TWN19" s="13"/>
      <c r="TWO19" s="13"/>
      <c r="TWP19" s="13"/>
      <c r="TWQ19" s="13"/>
      <c r="TWR19" s="13"/>
      <c r="TWS19" s="13"/>
      <c r="TWT19" s="13"/>
      <c r="TWU19" s="13"/>
      <c r="TWV19" s="13"/>
      <c r="TWW19" s="13"/>
      <c r="TWX19" s="13"/>
      <c r="TWY19" s="13"/>
      <c r="TWZ19" s="13"/>
      <c r="TXA19" s="13"/>
      <c r="TXB19" s="13"/>
      <c r="TXC19" s="13"/>
      <c r="TXD19" s="13"/>
      <c r="TXE19" s="13"/>
      <c r="TXF19" s="13"/>
      <c r="TXG19" s="13"/>
      <c r="TXH19" s="13"/>
      <c r="TXI19" s="13"/>
      <c r="TXJ19" s="13"/>
      <c r="TXK19" s="13"/>
      <c r="TXL19" s="13"/>
      <c r="TXM19" s="13"/>
      <c r="TXN19" s="13"/>
      <c r="TXO19" s="13"/>
      <c r="TXP19" s="13"/>
      <c r="TXQ19" s="13"/>
      <c r="TXR19" s="13"/>
      <c r="TXS19" s="13"/>
      <c r="TXT19" s="13"/>
      <c r="TXU19" s="13"/>
      <c r="TXV19" s="13"/>
      <c r="TXW19" s="13"/>
      <c r="TXX19" s="13"/>
      <c r="TXY19" s="13"/>
      <c r="TXZ19" s="13"/>
      <c r="TYA19" s="13"/>
      <c r="TYB19" s="13"/>
      <c r="TYC19" s="13"/>
      <c r="TYD19" s="13"/>
      <c r="TYE19" s="13"/>
      <c r="TYF19" s="13"/>
      <c r="TYG19" s="13"/>
      <c r="TYH19" s="13"/>
      <c r="TYI19" s="13"/>
      <c r="TYJ19" s="13"/>
      <c r="TYK19" s="13"/>
      <c r="TYL19" s="13"/>
      <c r="TYM19" s="13"/>
      <c r="TYN19" s="13"/>
      <c r="TYO19" s="13"/>
      <c r="TYP19" s="13"/>
      <c r="TYQ19" s="13"/>
      <c r="TYR19" s="13"/>
      <c r="TYS19" s="13"/>
      <c r="TYT19" s="13"/>
      <c r="TYU19" s="13"/>
      <c r="TYV19" s="13"/>
      <c r="TYW19" s="13"/>
      <c r="TYX19" s="13"/>
      <c r="TYY19" s="13"/>
      <c r="TYZ19" s="13"/>
      <c r="TZA19" s="13"/>
      <c r="TZB19" s="13"/>
      <c r="TZC19" s="13"/>
      <c r="TZD19" s="13"/>
      <c r="TZE19" s="13"/>
      <c r="TZF19" s="13"/>
      <c r="TZG19" s="13"/>
      <c r="TZH19" s="13"/>
      <c r="TZI19" s="13"/>
      <c r="TZJ19" s="13"/>
      <c r="TZK19" s="13"/>
      <c r="TZL19" s="13"/>
      <c r="TZM19" s="13"/>
      <c r="TZN19" s="13"/>
      <c r="TZO19" s="13"/>
      <c r="TZP19" s="13"/>
      <c r="TZQ19" s="13"/>
      <c r="TZR19" s="13"/>
      <c r="TZS19" s="13"/>
      <c r="TZT19" s="13"/>
      <c r="TZU19" s="13"/>
      <c r="TZV19" s="13"/>
      <c r="TZW19" s="13"/>
      <c r="TZX19" s="13"/>
      <c r="TZY19" s="13"/>
      <c r="TZZ19" s="13"/>
      <c r="UAA19" s="13"/>
      <c r="UAB19" s="13"/>
      <c r="UAC19" s="13"/>
      <c r="UAD19" s="13"/>
      <c r="UAE19" s="13"/>
      <c r="UAF19" s="13"/>
      <c r="UAG19" s="13"/>
      <c r="UAH19" s="13"/>
      <c r="UAI19" s="13"/>
      <c r="UAJ19" s="13"/>
      <c r="UAK19" s="13"/>
      <c r="UAL19" s="13"/>
      <c r="UAM19" s="13"/>
      <c r="UAN19" s="13"/>
      <c r="UAO19" s="13"/>
      <c r="UAP19" s="13"/>
      <c r="UAQ19" s="13"/>
      <c r="UAR19" s="13"/>
      <c r="UAS19" s="13"/>
      <c r="UAT19" s="13"/>
      <c r="UAU19" s="13"/>
      <c r="UAV19" s="13"/>
      <c r="UAW19" s="13"/>
      <c r="UAX19" s="13"/>
      <c r="UAY19" s="13"/>
      <c r="UAZ19" s="13"/>
      <c r="UBA19" s="13"/>
      <c r="UBB19" s="13"/>
      <c r="UBC19" s="13"/>
      <c r="UBD19" s="13"/>
      <c r="UBE19" s="13"/>
      <c r="UBF19" s="13"/>
      <c r="UBG19" s="13"/>
      <c r="UBH19" s="13"/>
      <c r="UBI19" s="13"/>
      <c r="UBJ19" s="13"/>
      <c r="UBK19" s="13"/>
      <c r="UBL19" s="13"/>
      <c r="UBM19" s="13"/>
      <c r="UBN19" s="13"/>
      <c r="UBO19" s="13"/>
      <c r="UBP19" s="13"/>
      <c r="UBQ19" s="13"/>
      <c r="UBR19" s="13"/>
      <c r="UBS19" s="13"/>
      <c r="UBT19" s="13"/>
      <c r="UBU19" s="13"/>
      <c r="UBV19" s="13"/>
      <c r="UBW19" s="13"/>
      <c r="UBX19" s="13"/>
      <c r="UBY19" s="13"/>
      <c r="UBZ19" s="13"/>
      <c r="UCA19" s="13"/>
      <c r="UCB19" s="13"/>
      <c r="UCC19" s="13"/>
      <c r="UCD19" s="13"/>
      <c r="UCE19" s="13"/>
      <c r="UCF19" s="13"/>
      <c r="UCG19" s="13"/>
      <c r="UCH19" s="13"/>
      <c r="UCI19" s="13"/>
      <c r="UCJ19" s="13"/>
      <c r="UCK19" s="13"/>
      <c r="UCL19" s="13"/>
      <c r="UCM19" s="13"/>
      <c r="UCN19" s="13"/>
      <c r="UCO19" s="13"/>
      <c r="UCP19" s="13"/>
      <c r="UCQ19" s="13"/>
      <c r="UCR19" s="13"/>
      <c r="UCS19" s="13"/>
      <c r="UCT19" s="13"/>
      <c r="UCU19" s="13"/>
      <c r="UCV19" s="13"/>
      <c r="UCW19" s="13"/>
      <c r="UCX19" s="13"/>
      <c r="UCY19" s="13"/>
      <c r="UCZ19" s="13"/>
      <c r="UDA19" s="13"/>
      <c r="UDB19" s="13"/>
      <c r="UDC19" s="13"/>
      <c r="UDD19" s="13"/>
      <c r="UDE19" s="13"/>
      <c r="UDF19" s="13"/>
      <c r="UDG19" s="13"/>
      <c r="UDH19" s="13"/>
      <c r="UDI19" s="13"/>
      <c r="UDJ19" s="13"/>
      <c r="UDK19" s="13"/>
      <c r="UDL19" s="13"/>
      <c r="UDM19" s="13"/>
      <c r="UDN19" s="13"/>
      <c r="UDO19" s="13"/>
      <c r="UDP19" s="13"/>
      <c r="UDQ19" s="13"/>
      <c r="UDR19" s="13"/>
      <c r="UDS19" s="13"/>
      <c r="UDT19" s="13"/>
      <c r="UDU19" s="13"/>
      <c r="UDV19" s="13"/>
      <c r="UDW19" s="13"/>
      <c r="UDX19" s="13"/>
      <c r="UDY19" s="13"/>
      <c r="UDZ19" s="13"/>
      <c r="UEA19" s="13"/>
      <c r="UEB19" s="13"/>
      <c r="UEC19" s="13"/>
      <c r="UED19" s="13"/>
      <c r="UEE19" s="13"/>
      <c r="UEF19" s="13"/>
      <c r="UEG19" s="13"/>
      <c r="UEH19" s="13"/>
      <c r="UEI19" s="13"/>
      <c r="UEJ19" s="13"/>
      <c r="UEK19" s="13"/>
      <c r="UEL19" s="13"/>
      <c r="UEM19" s="13"/>
      <c r="UEN19" s="13"/>
      <c r="UEO19" s="13"/>
      <c r="UEP19" s="13"/>
      <c r="UEQ19" s="13"/>
      <c r="UER19" s="13"/>
      <c r="UES19" s="13"/>
      <c r="UET19" s="13"/>
      <c r="UEU19" s="13"/>
      <c r="UEV19" s="13"/>
      <c r="UEW19" s="13"/>
      <c r="UEX19" s="13"/>
      <c r="UEY19" s="13"/>
      <c r="UEZ19" s="13"/>
      <c r="UFA19" s="13"/>
      <c r="UFB19" s="13"/>
      <c r="UFC19" s="13"/>
      <c r="UFD19" s="13"/>
      <c r="UFE19" s="13"/>
      <c r="UFF19" s="13"/>
      <c r="UFG19" s="13"/>
      <c r="UFH19" s="13"/>
      <c r="UFI19" s="13"/>
      <c r="UFJ19" s="13"/>
      <c r="UFK19" s="13"/>
      <c r="UFL19" s="13"/>
      <c r="UFM19" s="13"/>
      <c r="UFN19" s="13"/>
      <c r="UFO19" s="13"/>
      <c r="UFP19" s="13"/>
      <c r="UFQ19" s="13"/>
      <c r="UFR19" s="13"/>
      <c r="UFS19" s="13"/>
      <c r="UFT19" s="13"/>
      <c r="UFU19" s="13"/>
      <c r="UFV19" s="13"/>
      <c r="UFW19" s="13"/>
      <c r="UFX19" s="13"/>
      <c r="UFY19" s="13"/>
      <c r="UFZ19" s="13"/>
      <c r="UGA19" s="13"/>
      <c r="UGB19" s="13"/>
      <c r="UGC19" s="13"/>
      <c r="UGD19" s="13"/>
      <c r="UGE19" s="13"/>
      <c r="UGF19" s="13"/>
      <c r="UGG19" s="13"/>
      <c r="UGH19" s="13"/>
      <c r="UGI19" s="13"/>
      <c r="UGJ19" s="13"/>
      <c r="UGK19" s="13"/>
      <c r="UGL19" s="13"/>
      <c r="UGM19" s="13"/>
      <c r="UGN19" s="13"/>
      <c r="UGO19" s="13"/>
      <c r="UGP19" s="13"/>
      <c r="UGQ19" s="13"/>
      <c r="UGR19" s="13"/>
      <c r="UGS19" s="13"/>
      <c r="UGT19" s="13"/>
      <c r="UGU19" s="13"/>
      <c r="UGV19" s="13"/>
      <c r="UGW19" s="13"/>
      <c r="UGX19" s="13"/>
      <c r="UGY19" s="13"/>
      <c r="UGZ19" s="13"/>
      <c r="UHA19" s="13"/>
      <c r="UHB19" s="13"/>
      <c r="UHC19" s="13"/>
      <c r="UHD19" s="13"/>
      <c r="UHE19" s="13"/>
      <c r="UHF19" s="13"/>
      <c r="UHG19" s="13"/>
      <c r="UHH19" s="13"/>
      <c r="UHI19" s="13"/>
      <c r="UHJ19" s="13"/>
      <c r="UHK19" s="13"/>
      <c r="UHL19" s="13"/>
      <c r="UHM19" s="13"/>
      <c r="UHN19" s="13"/>
      <c r="UHO19" s="13"/>
      <c r="UHP19" s="13"/>
      <c r="UHQ19" s="13"/>
      <c r="UHR19" s="13"/>
      <c r="UHS19" s="13"/>
      <c r="UHT19" s="13"/>
      <c r="UHU19" s="13"/>
      <c r="UHV19" s="13"/>
      <c r="UHW19" s="13"/>
      <c r="UHX19" s="13"/>
      <c r="UHY19" s="13"/>
      <c r="UHZ19" s="13"/>
      <c r="UIA19" s="13"/>
      <c r="UIB19" s="13"/>
      <c r="UIC19" s="13"/>
      <c r="UID19" s="13"/>
      <c r="UIE19" s="13"/>
      <c r="UIF19" s="13"/>
      <c r="UIG19" s="13"/>
      <c r="UIH19" s="13"/>
      <c r="UII19" s="13"/>
      <c r="UIJ19" s="13"/>
      <c r="UIK19" s="13"/>
      <c r="UIL19" s="13"/>
      <c r="UIM19" s="13"/>
      <c r="UIN19" s="13"/>
      <c r="UIO19" s="13"/>
      <c r="UIP19" s="13"/>
      <c r="UIQ19" s="13"/>
      <c r="UIR19" s="13"/>
      <c r="UIS19" s="13"/>
      <c r="UIT19" s="13"/>
      <c r="UIU19" s="13"/>
      <c r="UIV19" s="13"/>
      <c r="UIW19" s="13"/>
      <c r="UIX19" s="13"/>
      <c r="UIY19" s="13"/>
      <c r="UIZ19" s="13"/>
      <c r="UJA19" s="13"/>
      <c r="UJB19" s="13"/>
      <c r="UJC19" s="13"/>
      <c r="UJD19" s="13"/>
      <c r="UJE19" s="13"/>
      <c r="UJF19" s="13"/>
      <c r="UJG19" s="13"/>
      <c r="UJH19" s="13"/>
      <c r="UJI19" s="13"/>
      <c r="UJJ19" s="13"/>
      <c r="UJK19" s="13"/>
      <c r="UJL19" s="13"/>
      <c r="UJM19" s="13"/>
      <c r="UJN19" s="13"/>
      <c r="UJO19" s="13"/>
      <c r="UJP19" s="13"/>
      <c r="UJQ19" s="13"/>
      <c r="UJR19" s="13"/>
      <c r="UJS19" s="13"/>
      <c r="UJT19" s="13"/>
      <c r="UJU19" s="13"/>
      <c r="UJV19" s="13"/>
      <c r="UJW19" s="13"/>
      <c r="UJX19" s="13"/>
      <c r="UJY19" s="13"/>
      <c r="UJZ19" s="13"/>
      <c r="UKA19" s="13"/>
      <c r="UKB19" s="13"/>
      <c r="UKC19" s="13"/>
      <c r="UKD19" s="13"/>
      <c r="UKE19" s="13"/>
      <c r="UKF19" s="13"/>
      <c r="UKG19" s="13"/>
      <c r="UKH19" s="13"/>
      <c r="UKI19" s="13"/>
      <c r="UKJ19" s="13"/>
      <c r="UKK19" s="13"/>
      <c r="UKL19" s="13"/>
      <c r="UKM19" s="13"/>
      <c r="UKN19" s="13"/>
      <c r="UKO19" s="13"/>
      <c r="UKP19" s="13"/>
      <c r="UKQ19" s="13"/>
      <c r="UKR19" s="13"/>
      <c r="UKS19" s="13"/>
      <c r="UKT19" s="13"/>
      <c r="UKU19" s="13"/>
      <c r="UKV19" s="13"/>
      <c r="UKW19" s="13"/>
      <c r="UKX19" s="13"/>
      <c r="UKY19" s="13"/>
      <c r="UKZ19" s="13"/>
      <c r="ULA19" s="13"/>
      <c r="ULB19" s="13"/>
      <c r="ULC19" s="13"/>
      <c r="ULD19" s="13"/>
      <c r="ULE19" s="13"/>
      <c r="ULF19" s="13"/>
      <c r="ULG19" s="13"/>
      <c r="ULH19" s="13"/>
      <c r="ULI19" s="13"/>
      <c r="ULJ19" s="13"/>
      <c r="ULK19" s="13"/>
      <c r="ULL19" s="13"/>
      <c r="ULM19" s="13"/>
      <c r="ULN19" s="13"/>
      <c r="ULO19" s="13"/>
      <c r="ULP19" s="13"/>
      <c r="ULQ19" s="13"/>
      <c r="ULR19" s="13"/>
      <c r="ULS19" s="13"/>
      <c r="ULT19" s="13"/>
      <c r="ULU19" s="13"/>
      <c r="ULV19" s="13"/>
      <c r="ULW19" s="13"/>
      <c r="ULX19" s="13"/>
      <c r="ULY19" s="13"/>
      <c r="ULZ19" s="13"/>
      <c r="UMA19" s="13"/>
      <c r="UMB19" s="13"/>
      <c r="UMC19" s="13"/>
      <c r="UMD19" s="13"/>
      <c r="UME19" s="13"/>
      <c r="UMF19" s="13"/>
      <c r="UMG19" s="13"/>
      <c r="UMH19" s="13"/>
      <c r="UMI19" s="13"/>
      <c r="UMJ19" s="13"/>
      <c r="UMK19" s="13"/>
      <c r="UML19" s="13"/>
      <c r="UMM19" s="13"/>
      <c r="UMN19" s="13"/>
      <c r="UMO19" s="13"/>
      <c r="UMP19" s="13"/>
      <c r="UMQ19" s="13"/>
      <c r="UMR19" s="13"/>
      <c r="UMS19" s="13"/>
      <c r="UMT19" s="13"/>
      <c r="UMU19" s="13"/>
      <c r="UMV19" s="13"/>
      <c r="UMW19" s="13"/>
      <c r="UMX19" s="13"/>
      <c r="UMY19" s="13"/>
      <c r="UMZ19" s="13"/>
      <c r="UNA19" s="13"/>
      <c r="UNB19" s="13"/>
      <c r="UNC19" s="13"/>
      <c r="UND19" s="13"/>
      <c r="UNE19" s="13"/>
      <c r="UNF19" s="13"/>
      <c r="UNG19" s="13"/>
      <c r="UNH19" s="13"/>
      <c r="UNI19" s="13"/>
      <c r="UNJ19" s="13"/>
      <c r="UNK19" s="13"/>
      <c r="UNL19" s="13"/>
      <c r="UNM19" s="13"/>
      <c r="UNN19" s="13"/>
      <c r="UNO19" s="13"/>
      <c r="UNP19" s="13"/>
      <c r="UNQ19" s="13"/>
      <c r="UNR19" s="13"/>
      <c r="UNS19" s="13"/>
      <c r="UNT19" s="13"/>
      <c r="UNU19" s="13"/>
      <c r="UNV19" s="13"/>
      <c r="UNW19" s="13"/>
      <c r="UNX19" s="13"/>
      <c r="UNY19" s="13"/>
      <c r="UNZ19" s="13"/>
      <c r="UOA19" s="13"/>
      <c r="UOB19" s="13"/>
      <c r="UOC19" s="13"/>
      <c r="UOD19" s="13"/>
      <c r="UOE19" s="13"/>
      <c r="UOF19" s="13"/>
      <c r="UOG19" s="13"/>
      <c r="UOH19" s="13"/>
      <c r="UOI19" s="13"/>
      <c r="UOJ19" s="13"/>
      <c r="UOK19" s="13"/>
      <c r="UOL19" s="13"/>
      <c r="UOM19" s="13"/>
      <c r="UON19" s="13"/>
      <c r="UOO19" s="13"/>
      <c r="UOP19" s="13"/>
      <c r="UOQ19" s="13"/>
      <c r="UOR19" s="13"/>
      <c r="UOS19" s="13"/>
      <c r="UOT19" s="13"/>
      <c r="UOU19" s="13"/>
      <c r="UOV19" s="13"/>
      <c r="UOW19" s="13"/>
      <c r="UOX19" s="13"/>
      <c r="UOY19" s="13"/>
      <c r="UOZ19" s="13"/>
      <c r="UPA19" s="13"/>
      <c r="UPB19" s="13"/>
      <c r="UPC19" s="13"/>
      <c r="UPD19" s="13"/>
      <c r="UPE19" s="13"/>
      <c r="UPF19" s="13"/>
      <c r="UPG19" s="13"/>
      <c r="UPH19" s="13"/>
      <c r="UPI19" s="13"/>
      <c r="UPJ19" s="13"/>
      <c r="UPK19" s="13"/>
      <c r="UPL19" s="13"/>
      <c r="UPM19" s="13"/>
      <c r="UPN19" s="13"/>
      <c r="UPO19" s="13"/>
      <c r="UPP19" s="13"/>
      <c r="UPQ19" s="13"/>
      <c r="UPR19" s="13"/>
      <c r="UPS19" s="13"/>
      <c r="UPT19" s="13"/>
      <c r="UPU19" s="13"/>
      <c r="UPV19" s="13"/>
      <c r="UPW19" s="13"/>
      <c r="UPX19" s="13"/>
      <c r="UPY19" s="13"/>
      <c r="UPZ19" s="13"/>
      <c r="UQA19" s="13"/>
      <c r="UQB19" s="13"/>
      <c r="UQC19" s="13"/>
      <c r="UQD19" s="13"/>
      <c r="UQE19" s="13"/>
      <c r="UQF19" s="13"/>
      <c r="UQG19" s="13"/>
      <c r="UQH19" s="13"/>
      <c r="UQI19" s="13"/>
      <c r="UQJ19" s="13"/>
      <c r="UQK19" s="13"/>
      <c r="UQL19" s="13"/>
      <c r="UQM19" s="13"/>
      <c r="UQN19" s="13"/>
      <c r="UQO19" s="13"/>
      <c r="UQP19" s="13"/>
      <c r="UQQ19" s="13"/>
      <c r="UQR19" s="13"/>
      <c r="UQS19" s="13"/>
      <c r="UQT19" s="13"/>
      <c r="UQU19" s="13"/>
      <c r="UQV19" s="13"/>
      <c r="UQW19" s="13"/>
      <c r="UQX19" s="13"/>
      <c r="UQY19" s="13"/>
      <c r="UQZ19" s="13"/>
      <c r="URA19" s="13"/>
      <c r="URB19" s="13"/>
      <c r="URC19" s="13"/>
      <c r="URD19" s="13"/>
      <c r="URE19" s="13"/>
      <c r="URF19" s="13"/>
      <c r="URG19" s="13"/>
      <c r="URH19" s="13"/>
      <c r="URI19" s="13"/>
      <c r="URJ19" s="13"/>
      <c r="URK19" s="13"/>
      <c r="URL19" s="13"/>
      <c r="URM19" s="13"/>
      <c r="URN19" s="13"/>
      <c r="URO19" s="13"/>
      <c r="URP19" s="13"/>
      <c r="URQ19" s="13"/>
      <c r="URR19" s="13"/>
      <c r="URS19" s="13"/>
      <c r="URT19" s="13"/>
      <c r="URU19" s="13"/>
      <c r="URV19" s="13"/>
      <c r="URW19" s="13"/>
      <c r="URX19" s="13"/>
      <c r="URY19" s="13"/>
      <c r="URZ19" s="13"/>
      <c r="USA19" s="13"/>
      <c r="USB19" s="13"/>
      <c r="USC19" s="13"/>
      <c r="USD19" s="13"/>
      <c r="USE19" s="13"/>
      <c r="USF19" s="13"/>
      <c r="USG19" s="13"/>
      <c r="USH19" s="13"/>
      <c r="USI19" s="13"/>
      <c r="USJ19" s="13"/>
      <c r="USK19" s="13"/>
      <c r="USL19" s="13"/>
      <c r="USM19" s="13"/>
      <c r="USN19" s="13"/>
      <c r="USO19" s="13"/>
      <c r="USP19" s="13"/>
      <c r="USQ19" s="13"/>
      <c r="USR19" s="13"/>
      <c r="USS19" s="13"/>
      <c r="UST19" s="13"/>
      <c r="USU19" s="13"/>
      <c r="USV19" s="13"/>
      <c r="USW19" s="13"/>
      <c r="USX19" s="13"/>
      <c r="USY19" s="13"/>
      <c r="USZ19" s="13"/>
      <c r="UTA19" s="13"/>
      <c r="UTB19" s="13"/>
      <c r="UTC19" s="13"/>
      <c r="UTD19" s="13"/>
      <c r="UTE19" s="13"/>
      <c r="UTF19" s="13"/>
      <c r="UTG19" s="13"/>
      <c r="UTH19" s="13"/>
      <c r="UTI19" s="13"/>
      <c r="UTJ19" s="13"/>
      <c r="UTK19" s="13"/>
      <c r="UTL19" s="13"/>
      <c r="UTM19" s="13"/>
      <c r="UTN19" s="13"/>
      <c r="UTO19" s="13"/>
      <c r="UTP19" s="13"/>
      <c r="UTQ19" s="13"/>
      <c r="UTR19" s="13"/>
      <c r="UTS19" s="13"/>
      <c r="UTT19" s="13"/>
      <c r="UTU19" s="13"/>
      <c r="UTV19" s="13"/>
      <c r="UTW19" s="13"/>
      <c r="UTX19" s="13"/>
      <c r="UTY19" s="13"/>
      <c r="UTZ19" s="13"/>
      <c r="UUA19" s="13"/>
      <c r="UUB19" s="13"/>
      <c r="UUC19" s="13"/>
      <c r="UUD19" s="13"/>
      <c r="UUE19" s="13"/>
      <c r="UUF19" s="13"/>
      <c r="UUG19" s="13"/>
      <c r="UUH19" s="13"/>
      <c r="UUI19" s="13"/>
      <c r="UUJ19" s="13"/>
      <c r="UUK19" s="13"/>
      <c r="UUL19" s="13"/>
      <c r="UUM19" s="13"/>
      <c r="UUN19" s="13"/>
      <c r="UUO19" s="13"/>
      <c r="UUP19" s="13"/>
      <c r="UUQ19" s="13"/>
      <c r="UUR19" s="13"/>
      <c r="UUS19" s="13"/>
      <c r="UUT19" s="13"/>
      <c r="UUU19" s="13"/>
      <c r="UUV19" s="13"/>
      <c r="UUW19" s="13"/>
      <c r="UUX19" s="13"/>
      <c r="UUY19" s="13"/>
      <c r="UUZ19" s="13"/>
      <c r="UVA19" s="13"/>
      <c r="UVB19" s="13"/>
      <c r="UVC19" s="13"/>
      <c r="UVD19" s="13"/>
      <c r="UVE19" s="13"/>
      <c r="UVF19" s="13"/>
      <c r="UVG19" s="13"/>
      <c r="UVH19" s="13"/>
      <c r="UVI19" s="13"/>
      <c r="UVJ19" s="13"/>
      <c r="UVK19" s="13"/>
      <c r="UVL19" s="13"/>
      <c r="UVM19" s="13"/>
      <c r="UVN19" s="13"/>
      <c r="UVO19" s="13"/>
      <c r="UVP19" s="13"/>
      <c r="UVQ19" s="13"/>
      <c r="UVR19" s="13"/>
      <c r="UVS19" s="13"/>
      <c r="UVT19" s="13"/>
      <c r="UVU19" s="13"/>
      <c r="UVV19" s="13"/>
      <c r="UVW19" s="13"/>
      <c r="UVX19" s="13"/>
      <c r="UVY19" s="13"/>
      <c r="UVZ19" s="13"/>
      <c r="UWA19" s="13"/>
      <c r="UWB19" s="13"/>
      <c r="UWC19" s="13"/>
      <c r="UWD19" s="13"/>
      <c r="UWE19" s="13"/>
      <c r="UWF19" s="13"/>
      <c r="UWG19" s="13"/>
      <c r="UWH19" s="13"/>
      <c r="UWI19" s="13"/>
      <c r="UWJ19" s="13"/>
      <c r="UWK19" s="13"/>
      <c r="UWL19" s="13"/>
      <c r="UWM19" s="13"/>
      <c r="UWN19" s="13"/>
      <c r="UWO19" s="13"/>
      <c r="UWP19" s="13"/>
      <c r="UWQ19" s="13"/>
      <c r="UWR19" s="13"/>
      <c r="UWS19" s="13"/>
      <c r="UWT19" s="13"/>
      <c r="UWU19" s="13"/>
      <c r="UWV19" s="13"/>
      <c r="UWW19" s="13"/>
      <c r="UWX19" s="13"/>
      <c r="UWY19" s="13"/>
      <c r="UWZ19" s="13"/>
      <c r="UXA19" s="13"/>
      <c r="UXB19" s="13"/>
      <c r="UXC19" s="13"/>
      <c r="UXD19" s="13"/>
      <c r="UXE19" s="13"/>
      <c r="UXF19" s="13"/>
      <c r="UXG19" s="13"/>
      <c r="UXH19" s="13"/>
      <c r="UXI19" s="13"/>
      <c r="UXJ19" s="13"/>
      <c r="UXK19" s="13"/>
      <c r="UXL19" s="13"/>
      <c r="UXM19" s="13"/>
      <c r="UXN19" s="13"/>
      <c r="UXO19" s="13"/>
      <c r="UXP19" s="13"/>
      <c r="UXQ19" s="13"/>
      <c r="UXR19" s="13"/>
      <c r="UXS19" s="13"/>
      <c r="UXT19" s="13"/>
      <c r="UXU19" s="13"/>
      <c r="UXV19" s="13"/>
      <c r="UXW19" s="13"/>
      <c r="UXX19" s="13"/>
      <c r="UXY19" s="13"/>
      <c r="UXZ19" s="13"/>
      <c r="UYA19" s="13"/>
      <c r="UYB19" s="13"/>
      <c r="UYC19" s="13"/>
      <c r="UYD19" s="13"/>
      <c r="UYE19" s="13"/>
      <c r="UYF19" s="13"/>
      <c r="UYG19" s="13"/>
      <c r="UYH19" s="13"/>
      <c r="UYI19" s="13"/>
      <c r="UYJ19" s="13"/>
      <c r="UYK19" s="13"/>
      <c r="UYL19" s="13"/>
      <c r="UYM19" s="13"/>
      <c r="UYN19" s="13"/>
      <c r="UYO19" s="13"/>
      <c r="UYP19" s="13"/>
      <c r="UYQ19" s="13"/>
      <c r="UYR19" s="13"/>
      <c r="UYS19" s="13"/>
      <c r="UYT19" s="13"/>
      <c r="UYU19" s="13"/>
      <c r="UYV19" s="13"/>
      <c r="UYW19" s="13"/>
      <c r="UYX19" s="13"/>
      <c r="UYY19" s="13"/>
      <c r="UYZ19" s="13"/>
      <c r="UZA19" s="13"/>
      <c r="UZB19" s="13"/>
      <c r="UZC19" s="13"/>
      <c r="UZD19" s="13"/>
      <c r="UZE19" s="13"/>
      <c r="UZF19" s="13"/>
      <c r="UZG19" s="13"/>
      <c r="UZH19" s="13"/>
      <c r="UZI19" s="13"/>
      <c r="UZJ19" s="13"/>
      <c r="UZK19" s="13"/>
      <c r="UZL19" s="13"/>
      <c r="UZM19" s="13"/>
      <c r="UZN19" s="13"/>
      <c r="UZO19" s="13"/>
      <c r="UZP19" s="13"/>
      <c r="UZQ19" s="13"/>
      <c r="UZR19" s="13"/>
      <c r="UZS19" s="13"/>
      <c r="UZT19" s="13"/>
      <c r="UZU19" s="13"/>
      <c r="UZV19" s="13"/>
      <c r="UZW19" s="13"/>
      <c r="UZX19" s="13"/>
      <c r="UZY19" s="13"/>
      <c r="UZZ19" s="13"/>
      <c r="VAA19" s="13"/>
      <c r="VAB19" s="13"/>
      <c r="VAC19" s="13"/>
      <c r="VAD19" s="13"/>
      <c r="VAE19" s="13"/>
      <c r="VAF19" s="13"/>
      <c r="VAG19" s="13"/>
      <c r="VAH19" s="13"/>
      <c r="VAI19" s="13"/>
      <c r="VAJ19" s="13"/>
      <c r="VAK19" s="13"/>
      <c r="VAL19" s="13"/>
      <c r="VAM19" s="13"/>
      <c r="VAN19" s="13"/>
      <c r="VAO19" s="13"/>
      <c r="VAP19" s="13"/>
      <c r="VAQ19" s="13"/>
      <c r="VAR19" s="13"/>
      <c r="VAS19" s="13"/>
      <c r="VAT19" s="13"/>
      <c r="VAU19" s="13"/>
      <c r="VAV19" s="13"/>
      <c r="VAW19" s="13"/>
      <c r="VAX19" s="13"/>
      <c r="VAY19" s="13"/>
      <c r="VAZ19" s="13"/>
      <c r="VBA19" s="13"/>
      <c r="VBB19" s="13"/>
      <c r="VBC19" s="13"/>
      <c r="VBD19" s="13"/>
      <c r="VBE19" s="13"/>
      <c r="VBF19" s="13"/>
      <c r="VBG19" s="13"/>
      <c r="VBH19" s="13"/>
      <c r="VBI19" s="13"/>
      <c r="VBJ19" s="13"/>
      <c r="VBK19" s="13"/>
      <c r="VBL19" s="13"/>
      <c r="VBM19" s="13"/>
      <c r="VBN19" s="13"/>
      <c r="VBO19" s="13"/>
      <c r="VBP19" s="13"/>
      <c r="VBQ19" s="13"/>
      <c r="VBR19" s="13"/>
      <c r="VBS19" s="13"/>
      <c r="VBT19" s="13"/>
      <c r="VBU19" s="13"/>
      <c r="VBV19" s="13"/>
      <c r="VBW19" s="13"/>
      <c r="VBX19" s="13"/>
      <c r="VBY19" s="13"/>
      <c r="VBZ19" s="13"/>
      <c r="VCA19" s="13"/>
      <c r="VCB19" s="13"/>
      <c r="VCC19" s="13"/>
      <c r="VCD19" s="13"/>
      <c r="VCE19" s="13"/>
      <c r="VCF19" s="13"/>
      <c r="VCG19" s="13"/>
      <c r="VCH19" s="13"/>
      <c r="VCI19" s="13"/>
      <c r="VCJ19" s="13"/>
      <c r="VCK19" s="13"/>
      <c r="VCL19" s="13"/>
      <c r="VCM19" s="13"/>
      <c r="VCN19" s="13"/>
      <c r="VCO19" s="13"/>
      <c r="VCP19" s="13"/>
      <c r="VCQ19" s="13"/>
      <c r="VCR19" s="13"/>
      <c r="VCS19" s="13"/>
      <c r="VCT19" s="13"/>
      <c r="VCU19" s="13"/>
      <c r="VCV19" s="13"/>
      <c r="VCW19" s="13"/>
      <c r="VCX19" s="13"/>
      <c r="VCY19" s="13"/>
      <c r="VCZ19" s="13"/>
      <c r="VDA19" s="13"/>
      <c r="VDB19" s="13"/>
      <c r="VDC19" s="13"/>
      <c r="VDD19" s="13"/>
      <c r="VDE19" s="13"/>
      <c r="VDF19" s="13"/>
      <c r="VDG19" s="13"/>
      <c r="VDH19" s="13"/>
      <c r="VDI19" s="13"/>
      <c r="VDJ19" s="13"/>
      <c r="VDK19" s="13"/>
      <c r="VDL19" s="13"/>
      <c r="VDM19" s="13"/>
      <c r="VDN19" s="13"/>
      <c r="VDO19" s="13"/>
      <c r="VDP19" s="13"/>
      <c r="VDQ19" s="13"/>
      <c r="VDR19" s="13"/>
      <c r="VDS19" s="13"/>
      <c r="VDT19" s="13"/>
      <c r="VDU19" s="13"/>
      <c r="VDV19" s="13"/>
      <c r="VDW19" s="13"/>
      <c r="VDX19" s="13"/>
      <c r="VDY19" s="13"/>
      <c r="VDZ19" s="13"/>
      <c r="VEA19" s="13"/>
      <c r="VEB19" s="13"/>
      <c r="VEC19" s="13"/>
      <c r="VED19" s="13"/>
      <c r="VEE19" s="13"/>
      <c r="VEF19" s="13"/>
      <c r="VEG19" s="13"/>
      <c r="VEH19" s="13"/>
      <c r="VEI19" s="13"/>
      <c r="VEJ19" s="13"/>
      <c r="VEK19" s="13"/>
      <c r="VEL19" s="13"/>
      <c r="VEM19" s="13"/>
      <c r="VEN19" s="13"/>
      <c r="VEO19" s="13"/>
      <c r="VEP19" s="13"/>
      <c r="VEQ19" s="13"/>
      <c r="VER19" s="13"/>
      <c r="VES19" s="13"/>
      <c r="VET19" s="13"/>
      <c r="VEU19" s="13"/>
      <c r="VEV19" s="13"/>
      <c r="VEW19" s="13"/>
      <c r="VEX19" s="13"/>
      <c r="VEY19" s="13"/>
      <c r="VEZ19" s="13"/>
      <c r="VFA19" s="13"/>
      <c r="VFB19" s="13"/>
      <c r="VFC19" s="13"/>
      <c r="VFD19" s="13"/>
      <c r="VFE19" s="13"/>
      <c r="VFF19" s="13"/>
      <c r="VFG19" s="13"/>
      <c r="VFH19" s="13"/>
      <c r="VFI19" s="13"/>
      <c r="VFJ19" s="13"/>
      <c r="VFK19" s="13"/>
      <c r="VFL19" s="13"/>
      <c r="VFM19" s="13"/>
      <c r="VFN19" s="13"/>
      <c r="VFO19" s="13"/>
      <c r="VFP19" s="13"/>
      <c r="VFQ19" s="13"/>
      <c r="VFR19" s="13"/>
      <c r="VFS19" s="13"/>
      <c r="VFT19" s="13"/>
      <c r="VFU19" s="13"/>
      <c r="VFV19" s="13"/>
      <c r="VFW19" s="13"/>
      <c r="VFX19" s="13"/>
      <c r="VFY19" s="13"/>
      <c r="VFZ19" s="13"/>
      <c r="VGA19" s="13"/>
      <c r="VGB19" s="13"/>
      <c r="VGC19" s="13"/>
      <c r="VGD19" s="13"/>
      <c r="VGE19" s="13"/>
      <c r="VGF19" s="13"/>
      <c r="VGG19" s="13"/>
      <c r="VGH19" s="13"/>
      <c r="VGI19" s="13"/>
      <c r="VGJ19" s="13"/>
      <c r="VGK19" s="13"/>
      <c r="VGL19" s="13"/>
      <c r="VGM19" s="13"/>
      <c r="VGN19" s="13"/>
      <c r="VGO19" s="13"/>
      <c r="VGP19" s="13"/>
      <c r="VGQ19" s="13"/>
      <c r="VGR19" s="13"/>
      <c r="VGS19" s="13"/>
      <c r="VGT19" s="13"/>
      <c r="VGU19" s="13"/>
      <c r="VGV19" s="13"/>
      <c r="VGW19" s="13"/>
      <c r="VGX19" s="13"/>
      <c r="VGY19" s="13"/>
      <c r="VGZ19" s="13"/>
      <c r="VHA19" s="13"/>
      <c r="VHB19" s="13"/>
      <c r="VHC19" s="13"/>
      <c r="VHD19" s="13"/>
      <c r="VHE19" s="13"/>
      <c r="VHF19" s="13"/>
      <c r="VHG19" s="13"/>
      <c r="VHH19" s="13"/>
      <c r="VHI19" s="13"/>
      <c r="VHJ19" s="13"/>
      <c r="VHK19" s="13"/>
      <c r="VHL19" s="13"/>
      <c r="VHM19" s="13"/>
      <c r="VHN19" s="13"/>
      <c r="VHO19" s="13"/>
      <c r="VHP19" s="13"/>
      <c r="VHQ19" s="13"/>
      <c r="VHR19" s="13"/>
      <c r="VHS19" s="13"/>
      <c r="VHT19" s="13"/>
      <c r="VHU19" s="13"/>
      <c r="VHV19" s="13"/>
      <c r="VHW19" s="13"/>
      <c r="VHX19" s="13"/>
      <c r="VHY19" s="13"/>
      <c r="VHZ19" s="13"/>
      <c r="VIA19" s="13"/>
      <c r="VIB19" s="13"/>
      <c r="VIC19" s="13"/>
      <c r="VID19" s="13"/>
      <c r="VIE19" s="13"/>
      <c r="VIF19" s="13"/>
      <c r="VIG19" s="13"/>
      <c r="VIH19" s="13"/>
      <c r="VII19" s="13"/>
      <c r="VIJ19" s="13"/>
      <c r="VIK19" s="13"/>
      <c r="VIL19" s="13"/>
      <c r="VIM19" s="13"/>
      <c r="VIN19" s="13"/>
      <c r="VIO19" s="13"/>
      <c r="VIP19" s="13"/>
      <c r="VIQ19" s="13"/>
      <c r="VIR19" s="13"/>
      <c r="VIS19" s="13"/>
      <c r="VIT19" s="13"/>
      <c r="VIU19" s="13"/>
      <c r="VIV19" s="13"/>
      <c r="VIW19" s="13"/>
      <c r="VIX19" s="13"/>
      <c r="VIY19" s="13"/>
      <c r="VIZ19" s="13"/>
      <c r="VJA19" s="13"/>
      <c r="VJB19" s="13"/>
      <c r="VJC19" s="13"/>
      <c r="VJD19" s="13"/>
      <c r="VJE19" s="13"/>
      <c r="VJF19" s="13"/>
      <c r="VJG19" s="13"/>
      <c r="VJH19" s="13"/>
      <c r="VJI19" s="13"/>
      <c r="VJJ19" s="13"/>
      <c r="VJK19" s="13"/>
      <c r="VJL19" s="13"/>
      <c r="VJM19" s="13"/>
      <c r="VJN19" s="13"/>
      <c r="VJO19" s="13"/>
      <c r="VJP19" s="13"/>
      <c r="VJQ19" s="13"/>
      <c r="VJR19" s="13"/>
      <c r="VJS19" s="13"/>
      <c r="VJT19" s="13"/>
      <c r="VJU19" s="13"/>
      <c r="VJV19" s="13"/>
      <c r="VJW19" s="13"/>
      <c r="VJX19" s="13"/>
      <c r="VJY19" s="13"/>
      <c r="VJZ19" s="13"/>
      <c r="VKA19" s="13"/>
      <c r="VKB19" s="13"/>
      <c r="VKC19" s="13"/>
      <c r="VKD19" s="13"/>
      <c r="VKE19" s="13"/>
      <c r="VKF19" s="13"/>
      <c r="VKG19" s="13"/>
      <c r="VKH19" s="13"/>
      <c r="VKI19" s="13"/>
      <c r="VKJ19" s="13"/>
      <c r="VKK19" s="13"/>
      <c r="VKL19" s="13"/>
      <c r="VKM19" s="13"/>
      <c r="VKN19" s="13"/>
      <c r="VKO19" s="13"/>
      <c r="VKP19" s="13"/>
      <c r="VKQ19" s="13"/>
      <c r="VKR19" s="13"/>
      <c r="VKS19" s="13"/>
      <c r="VKT19" s="13"/>
      <c r="VKU19" s="13"/>
      <c r="VKV19" s="13"/>
      <c r="VKW19" s="13"/>
      <c r="VKX19" s="13"/>
      <c r="VKY19" s="13"/>
      <c r="VKZ19" s="13"/>
      <c r="VLA19" s="13"/>
      <c r="VLB19" s="13"/>
      <c r="VLC19" s="13"/>
      <c r="VLD19" s="13"/>
      <c r="VLE19" s="13"/>
      <c r="VLF19" s="13"/>
      <c r="VLG19" s="13"/>
      <c r="VLH19" s="13"/>
      <c r="VLI19" s="13"/>
      <c r="VLJ19" s="13"/>
      <c r="VLK19" s="13"/>
      <c r="VLL19" s="13"/>
      <c r="VLM19" s="13"/>
      <c r="VLN19" s="13"/>
      <c r="VLO19" s="13"/>
      <c r="VLP19" s="13"/>
      <c r="VLQ19" s="13"/>
      <c r="VLR19" s="13"/>
      <c r="VLS19" s="13"/>
      <c r="VLT19" s="13"/>
      <c r="VLU19" s="13"/>
      <c r="VLV19" s="13"/>
      <c r="VLW19" s="13"/>
      <c r="VLX19" s="13"/>
      <c r="VLY19" s="13"/>
      <c r="VLZ19" s="13"/>
      <c r="VMA19" s="13"/>
      <c r="VMB19" s="13"/>
      <c r="VMC19" s="13"/>
      <c r="VMD19" s="13"/>
      <c r="VME19" s="13"/>
      <c r="VMF19" s="13"/>
      <c r="VMG19" s="13"/>
      <c r="VMH19" s="13"/>
      <c r="VMI19" s="13"/>
      <c r="VMJ19" s="13"/>
      <c r="VMK19" s="13"/>
      <c r="VML19" s="13"/>
      <c r="VMM19" s="13"/>
      <c r="VMN19" s="13"/>
      <c r="VMO19" s="13"/>
      <c r="VMP19" s="13"/>
      <c r="VMQ19" s="13"/>
      <c r="VMR19" s="13"/>
      <c r="VMS19" s="13"/>
      <c r="VMT19" s="13"/>
      <c r="VMU19" s="13"/>
      <c r="VMV19" s="13"/>
      <c r="VMW19" s="13"/>
      <c r="VMX19" s="13"/>
      <c r="VMY19" s="13"/>
      <c r="VMZ19" s="13"/>
      <c r="VNA19" s="13"/>
      <c r="VNB19" s="13"/>
      <c r="VNC19" s="13"/>
      <c r="VND19" s="13"/>
      <c r="VNE19" s="13"/>
      <c r="VNF19" s="13"/>
      <c r="VNG19" s="13"/>
      <c r="VNH19" s="13"/>
      <c r="VNI19" s="13"/>
      <c r="VNJ19" s="13"/>
      <c r="VNK19" s="13"/>
      <c r="VNL19" s="13"/>
      <c r="VNM19" s="13"/>
      <c r="VNN19" s="13"/>
      <c r="VNO19" s="13"/>
      <c r="VNP19" s="13"/>
      <c r="VNQ19" s="13"/>
      <c r="VNR19" s="13"/>
      <c r="VNS19" s="13"/>
      <c r="VNT19" s="13"/>
      <c r="VNU19" s="13"/>
      <c r="VNV19" s="13"/>
      <c r="VNW19" s="13"/>
      <c r="VNX19" s="13"/>
      <c r="VNY19" s="13"/>
      <c r="VNZ19" s="13"/>
      <c r="VOA19" s="13"/>
      <c r="VOB19" s="13"/>
      <c r="VOC19" s="13"/>
      <c r="VOD19" s="13"/>
      <c r="VOE19" s="13"/>
      <c r="VOF19" s="13"/>
      <c r="VOG19" s="13"/>
      <c r="VOH19" s="13"/>
      <c r="VOI19" s="13"/>
      <c r="VOJ19" s="13"/>
      <c r="VOK19" s="13"/>
      <c r="VOL19" s="13"/>
      <c r="VOM19" s="13"/>
      <c r="VON19" s="13"/>
      <c r="VOO19" s="13"/>
      <c r="VOP19" s="13"/>
      <c r="VOQ19" s="13"/>
      <c r="VOR19" s="13"/>
      <c r="VOS19" s="13"/>
      <c r="VOT19" s="13"/>
      <c r="VOU19" s="13"/>
      <c r="VOV19" s="13"/>
      <c r="VOW19" s="13"/>
      <c r="VOX19" s="13"/>
      <c r="VOY19" s="13"/>
      <c r="VOZ19" s="13"/>
      <c r="VPA19" s="13"/>
      <c r="VPB19" s="13"/>
      <c r="VPC19" s="13"/>
      <c r="VPD19" s="13"/>
      <c r="VPE19" s="13"/>
      <c r="VPF19" s="13"/>
      <c r="VPG19" s="13"/>
      <c r="VPH19" s="13"/>
      <c r="VPI19" s="13"/>
      <c r="VPJ19" s="13"/>
      <c r="VPK19" s="13"/>
      <c r="VPL19" s="13"/>
      <c r="VPM19" s="13"/>
      <c r="VPN19" s="13"/>
      <c r="VPO19" s="13"/>
      <c r="VPP19" s="13"/>
      <c r="VPQ19" s="13"/>
      <c r="VPR19" s="13"/>
      <c r="VPS19" s="13"/>
      <c r="VPT19" s="13"/>
      <c r="VPU19" s="13"/>
      <c r="VPV19" s="13"/>
      <c r="VPW19" s="13"/>
      <c r="VPX19" s="13"/>
      <c r="VPY19" s="13"/>
      <c r="VPZ19" s="13"/>
      <c r="VQA19" s="13"/>
      <c r="VQB19" s="13"/>
      <c r="VQC19" s="13"/>
      <c r="VQD19" s="13"/>
      <c r="VQE19" s="13"/>
      <c r="VQF19" s="13"/>
      <c r="VQG19" s="13"/>
      <c r="VQH19" s="13"/>
      <c r="VQI19" s="13"/>
      <c r="VQJ19" s="13"/>
      <c r="VQK19" s="13"/>
      <c r="VQL19" s="13"/>
      <c r="VQM19" s="13"/>
      <c r="VQN19" s="13"/>
      <c r="VQO19" s="13"/>
      <c r="VQP19" s="13"/>
      <c r="VQQ19" s="13"/>
      <c r="VQR19" s="13"/>
      <c r="VQS19" s="13"/>
      <c r="VQT19" s="13"/>
      <c r="VQU19" s="13"/>
      <c r="VQV19" s="13"/>
      <c r="VQW19" s="13"/>
      <c r="VQX19" s="13"/>
      <c r="VQY19" s="13"/>
      <c r="VQZ19" s="13"/>
      <c r="VRA19" s="13"/>
      <c r="VRB19" s="13"/>
      <c r="VRC19" s="13"/>
      <c r="VRD19" s="13"/>
      <c r="VRE19" s="13"/>
      <c r="VRF19" s="13"/>
      <c r="VRG19" s="13"/>
      <c r="VRH19" s="13"/>
      <c r="VRI19" s="13"/>
      <c r="VRJ19" s="13"/>
      <c r="VRK19" s="13"/>
      <c r="VRL19" s="13"/>
      <c r="VRM19" s="13"/>
      <c r="VRN19" s="13"/>
      <c r="VRO19" s="13"/>
      <c r="VRP19" s="13"/>
      <c r="VRQ19" s="13"/>
      <c r="VRR19" s="13"/>
      <c r="VRS19" s="13"/>
      <c r="VRT19" s="13"/>
      <c r="VRU19" s="13"/>
      <c r="VRV19" s="13"/>
      <c r="VRW19" s="13"/>
      <c r="VRX19" s="13"/>
      <c r="VRY19" s="13"/>
      <c r="VRZ19" s="13"/>
      <c r="VSA19" s="13"/>
      <c r="VSB19" s="13"/>
      <c r="VSC19" s="13"/>
      <c r="VSD19" s="13"/>
      <c r="VSE19" s="13"/>
      <c r="VSF19" s="13"/>
      <c r="VSG19" s="13"/>
      <c r="VSH19" s="13"/>
      <c r="VSI19" s="13"/>
      <c r="VSJ19" s="13"/>
      <c r="VSK19" s="13"/>
      <c r="VSL19" s="13"/>
      <c r="VSM19" s="13"/>
      <c r="VSN19" s="13"/>
      <c r="VSO19" s="13"/>
      <c r="VSP19" s="13"/>
      <c r="VSQ19" s="13"/>
      <c r="VSR19" s="13"/>
      <c r="VSS19" s="13"/>
      <c r="VST19" s="13"/>
      <c r="VSU19" s="13"/>
      <c r="VSV19" s="13"/>
      <c r="VSW19" s="13"/>
      <c r="VSX19" s="13"/>
      <c r="VSY19" s="13"/>
      <c r="VSZ19" s="13"/>
      <c r="VTA19" s="13"/>
      <c r="VTB19" s="13"/>
      <c r="VTC19" s="13"/>
      <c r="VTD19" s="13"/>
      <c r="VTE19" s="13"/>
      <c r="VTF19" s="13"/>
      <c r="VTG19" s="13"/>
      <c r="VTH19" s="13"/>
      <c r="VTI19" s="13"/>
      <c r="VTJ19" s="13"/>
      <c r="VTK19" s="13"/>
      <c r="VTL19" s="13"/>
      <c r="VTM19" s="13"/>
      <c r="VTN19" s="13"/>
      <c r="VTO19" s="13"/>
      <c r="VTP19" s="13"/>
      <c r="VTQ19" s="13"/>
      <c r="VTR19" s="13"/>
      <c r="VTS19" s="13"/>
      <c r="VTT19" s="13"/>
      <c r="VTU19" s="13"/>
      <c r="VTV19" s="13"/>
      <c r="VTW19" s="13"/>
      <c r="VTX19" s="13"/>
      <c r="VTY19" s="13"/>
      <c r="VTZ19" s="13"/>
      <c r="VUA19" s="13"/>
      <c r="VUB19" s="13"/>
      <c r="VUC19" s="13"/>
      <c r="VUD19" s="13"/>
      <c r="VUE19" s="13"/>
      <c r="VUF19" s="13"/>
      <c r="VUG19" s="13"/>
      <c r="VUH19" s="13"/>
      <c r="VUI19" s="13"/>
      <c r="VUJ19" s="13"/>
      <c r="VUK19" s="13"/>
      <c r="VUL19" s="13"/>
      <c r="VUM19" s="13"/>
      <c r="VUN19" s="13"/>
      <c r="VUO19" s="13"/>
      <c r="VUP19" s="13"/>
      <c r="VUQ19" s="13"/>
      <c r="VUR19" s="13"/>
      <c r="VUS19" s="13"/>
      <c r="VUT19" s="13"/>
      <c r="VUU19" s="13"/>
      <c r="VUV19" s="13"/>
      <c r="VUW19" s="13"/>
      <c r="VUX19" s="13"/>
      <c r="VUY19" s="13"/>
      <c r="VUZ19" s="13"/>
      <c r="VVA19" s="13"/>
      <c r="VVB19" s="13"/>
      <c r="VVC19" s="13"/>
      <c r="VVD19" s="13"/>
      <c r="VVE19" s="13"/>
      <c r="VVF19" s="13"/>
      <c r="VVG19" s="13"/>
      <c r="VVH19" s="13"/>
      <c r="VVI19" s="13"/>
      <c r="VVJ19" s="13"/>
      <c r="VVK19" s="13"/>
      <c r="VVL19" s="13"/>
      <c r="VVM19" s="13"/>
      <c r="VVN19" s="13"/>
      <c r="VVO19" s="13"/>
      <c r="VVP19" s="13"/>
      <c r="VVQ19" s="13"/>
      <c r="VVR19" s="13"/>
      <c r="VVS19" s="13"/>
      <c r="VVT19" s="13"/>
      <c r="VVU19" s="13"/>
      <c r="VVV19" s="13"/>
      <c r="VVW19" s="13"/>
      <c r="VVX19" s="13"/>
      <c r="VVY19" s="13"/>
      <c r="VVZ19" s="13"/>
      <c r="VWA19" s="13"/>
      <c r="VWB19" s="13"/>
      <c r="VWC19" s="13"/>
      <c r="VWD19" s="13"/>
      <c r="VWE19" s="13"/>
      <c r="VWF19" s="13"/>
      <c r="VWG19" s="13"/>
      <c r="VWH19" s="13"/>
      <c r="VWI19" s="13"/>
      <c r="VWJ19" s="13"/>
      <c r="VWK19" s="13"/>
      <c r="VWL19" s="13"/>
      <c r="VWM19" s="13"/>
      <c r="VWN19" s="13"/>
      <c r="VWO19" s="13"/>
      <c r="VWP19" s="13"/>
      <c r="VWQ19" s="13"/>
      <c r="VWR19" s="13"/>
      <c r="VWS19" s="13"/>
      <c r="VWT19" s="13"/>
      <c r="VWU19" s="13"/>
      <c r="VWV19" s="13"/>
      <c r="VWW19" s="13"/>
      <c r="VWX19" s="13"/>
      <c r="VWY19" s="13"/>
      <c r="VWZ19" s="13"/>
      <c r="VXA19" s="13"/>
      <c r="VXB19" s="13"/>
      <c r="VXC19" s="13"/>
      <c r="VXD19" s="13"/>
      <c r="VXE19" s="13"/>
      <c r="VXF19" s="13"/>
      <c r="VXG19" s="13"/>
      <c r="VXH19" s="13"/>
      <c r="VXI19" s="13"/>
      <c r="VXJ19" s="13"/>
      <c r="VXK19" s="13"/>
      <c r="VXL19" s="13"/>
      <c r="VXM19" s="13"/>
      <c r="VXN19" s="13"/>
      <c r="VXO19" s="13"/>
      <c r="VXP19" s="13"/>
      <c r="VXQ19" s="13"/>
      <c r="VXR19" s="13"/>
      <c r="VXS19" s="13"/>
      <c r="VXT19" s="13"/>
      <c r="VXU19" s="13"/>
      <c r="VXV19" s="13"/>
      <c r="VXW19" s="13"/>
      <c r="VXX19" s="13"/>
      <c r="VXY19" s="13"/>
      <c r="VXZ19" s="13"/>
      <c r="VYA19" s="13"/>
      <c r="VYB19" s="13"/>
      <c r="VYC19" s="13"/>
      <c r="VYD19" s="13"/>
      <c r="VYE19" s="13"/>
      <c r="VYF19" s="13"/>
      <c r="VYG19" s="13"/>
      <c r="VYH19" s="13"/>
      <c r="VYI19" s="13"/>
      <c r="VYJ19" s="13"/>
      <c r="VYK19" s="13"/>
      <c r="VYL19" s="13"/>
      <c r="VYM19" s="13"/>
      <c r="VYN19" s="13"/>
      <c r="VYO19" s="13"/>
      <c r="VYP19" s="13"/>
      <c r="VYQ19" s="13"/>
      <c r="VYR19" s="13"/>
      <c r="VYS19" s="13"/>
      <c r="VYT19" s="13"/>
      <c r="VYU19" s="13"/>
      <c r="VYV19" s="13"/>
      <c r="VYW19" s="13"/>
      <c r="VYX19" s="13"/>
      <c r="VYY19" s="13"/>
      <c r="VYZ19" s="13"/>
      <c r="VZA19" s="13"/>
      <c r="VZB19" s="13"/>
      <c r="VZC19" s="13"/>
      <c r="VZD19" s="13"/>
      <c r="VZE19" s="13"/>
      <c r="VZF19" s="13"/>
      <c r="VZG19" s="13"/>
      <c r="VZH19" s="13"/>
      <c r="VZI19" s="13"/>
      <c r="VZJ19" s="13"/>
      <c r="VZK19" s="13"/>
      <c r="VZL19" s="13"/>
      <c r="VZM19" s="13"/>
      <c r="VZN19" s="13"/>
      <c r="VZO19" s="13"/>
      <c r="VZP19" s="13"/>
      <c r="VZQ19" s="13"/>
      <c r="VZR19" s="13"/>
      <c r="VZS19" s="13"/>
      <c r="VZT19" s="13"/>
      <c r="VZU19" s="13"/>
      <c r="VZV19" s="13"/>
      <c r="VZW19" s="13"/>
      <c r="VZX19" s="13"/>
      <c r="VZY19" s="13"/>
      <c r="VZZ19" s="13"/>
      <c r="WAA19" s="13"/>
      <c r="WAB19" s="13"/>
      <c r="WAC19" s="13"/>
      <c r="WAD19" s="13"/>
      <c r="WAE19" s="13"/>
      <c r="WAF19" s="13"/>
      <c r="WAG19" s="13"/>
      <c r="WAH19" s="13"/>
      <c r="WAI19" s="13"/>
      <c r="WAJ19" s="13"/>
      <c r="WAK19" s="13"/>
      <c r="WAL19" s="13"/>
      <c r="WAM19" s="13"/>
      <c r="WAN19" s="13"/>
      <c r="WAO19" s="13"/>
      <c r="WAP19" s="13"/>
      <c r="WAQ19" s="13"/>
      <c r="WAR19" s="13"/>
      <c r="WAS19" s="13"/>
      <c r="WAT19" s="13"/>
      <c r="WAU19" s="13"/>
      <c r="WAV19" s="13"/>
      <c r="WAW19" s="13"/>
      <c r="WAX19" s="13"/>
      <c r="WAY19" s="13"/>
      <c r="WAZ19" s="13"/>
      <c r="WBA19" s="13"/>
      <c r="WBB19" s="13"/>
      <c r="WBC19" s="13"/>
      <c r="WBD19" s="13"/>
      <c r="WBE19" s="13"/>
      <c r="WBF19" s="13"/>
      <c r="WBG19" s="13"/>
      <c r="WBH19" s="13"/>
      <c r="WBI19" s="13"/>
      <c r="WBJ19" s="13"/>
      <c r="WBK19" s="13"/>
      <c r="WBL19" s="13"/>
      <c r="WBM19" s="13"/>
      <c r="WBN19" s="13"/>
      <c r="WBO19" s="13"/>
      <c r="WBP19" s="13"/>
      <c r="WBQ19" s="13"/>
      <c r="WBR19" s="13"/>
      <c r="WBS19" s="13"/>
      <c r="WBT19" s="13"/>
      <c r="WBU19" s="13"/>
      <c r="WBV19" s="13"/>
      <c r="WBW19" s="13"/>
      <c r="WBX19" s="13"/>
      <c r="WBY19" s="13"/>
      <c r="WBZ19" s="13"/>
      <c r="WCA19" s="13"/>
      <c r="WCB19" s="13"/>
      <c r="WCC19" s="13"/>
      <c r="WCD19" s="13"/>
      <c r="WCE19" s="13"/>
      <c r="WCF19" s="13"/>
      <c r="WCG19" s="13"/>
      <c r="WCH19" s="13"/>
      <c r="WCI19" s="13"/>
      <c r="WCJ19" s="13"/>
      <c r="WCK19" s="13"/>
      <c r="WCL19" s="13"/>
      <c r="WCM19" s="13"/>
      <c r="WCN19" s="13"/>
      <c r="WCO19" s="13"/>
      <c r="WCP19" s="13"/>
      <c r="WCQ19" s="13"/>
      <c r="WCR19" s="13"/>
      <c r="WCS19" s="13"/>
      <c r="WCT19" s="13"/>
      <c r="WCU19" s="13"/>
      <c r="WCV19" s="13"/>
      <c r="WCW19" s="13"/>
      <c r="WCX19" s="13"/>
      <c r="WCY19" s="13"/>
      <c r="WCZ19" s="13"/>
      <c r="WDA19" s="13"/>
      <c r="WDB19" s="13"/>
      <c r="WDC19" s="13"/>
      <c r="WDD19" s="13"/>
      <c r="WDE19" s="13"/>
      <c r="WDF19" s="13"/>
      <c r="WDG19" s="13"/>
      <c r="WDH19" s="13"/>
      <c r="WDI19" s="13"/>
      <c r="WDJ19" s="13"/>
      <c r="WDK19" s="13"/>
      <c r="WDL19" s="13"/>
      <c r="WDM19" s="13"/>
      <c r="WDN19" s="13"/>
      <c r="WDO19" s="13"/>
      <c r="WDP19" s="13"/>
      <c r="WDQ19" s="13"/>
      <c r="WDR19" s="13"/>
      <c r="WDS19" s="13"/>
      <c r="WDT19" s="13"/>
      <c r="WDU19" s="13"/>
      <c r="WDV19" s="13"/>
      <c r="WDW19" s="13"/>
      <c r="WDX19" s="13"/>
      <c r="WDY19" s="13"/>
      <c r="WDZ19" s="13"/>
      <c r="WEA19" s="13"/>
      <c r="WEB19" s="13"/>
      <c r="WEC19" s="13"/>
      <c r="WED19" s="13"/>
      <c r="WEE19" s="13"/>
      <c r="WEF19" s="13"/>
      <c r="WEG19" s="13"/>
      <c r="WEH19" s="13"/>
      <c r="WEI19" s="13"/>
      <c r="WEJ19" s="13"/>
      <c r="WEK19" s="13"/>
      <c r="WEL19" s="13"/>
      <c r="WEM19" s="13"/>
      <c r="WEN19" s="13"/>
      <c r="WEO19" s="13"/>
      <c r="WEP19" s="13"/>
      <c r="WEQ19" s="13"/>
      <c r="WER19" s="13"/>
      <c r="WES19" s="13"/>
      <c r="WET19" s="13"/>
      <c r="WEU19" s="13"/>
      <c r="WEV19" s="13"/>
      <c r="WEW19" s="13"/>
      <c r="WEX19" s="13"/>
      <c r="WEY19" s="13"/>
      <c r="WEZ19" s="13"/>
      <c r="WFA19" s="13"/>
      <c r="WFB19" s="13"/>
      <c r="WFC19" s="13"/>
      <c r="WFD19" s="13"/>
      <c r="WFE19" s="13"/>
      <c r="WFF19" s="13"/>
      <c r="WFG19" s="13"/>
      <c r="WFH19" s="13"/>
      <c r="WFI19" s="13"/>
      <c r="WFJ19" s="13"/>
      <c r="WFK19" s="13"/>
      <c r="WFL19" s="13"/>
      <c r="WFM19" s="13"/>
      <c r="WFN19" s="13"/>
      <c r="WFO19" s="13"/>
      <c r="WFP19" s="13"/>
      <c r="WFQ19" s="13"/>
      <c r="WFR19" s="13"/>
      <c r="WFS19" s="13"/>
      <c r="WFT19" s="13"/>
      <c r="WFU19" s="13"/>
      <c r="WFV19" s="13"/>
      <c r="WFW19" s="13"/>
      <c r="WFX19" s="13"/>
      <c r="WFY19" s="13"/>
      <c r="WFZ19" s="13"/>
      <c r="WGA19" s="13"/>
      <c r="WGB19" s="13"/>
      <c r="WGC19" s="13"/>
      <c r="WGD19" s="13"/>
      <c r="WGE19" s="13"/>
      <c r="WGF19" s="13"/>
      <c r="WGG19" s="13"/>
      <c r="WGH19" s="13"/>
      <c r="WGI19" s="13"/>
      <c r="WGJ19" s="13"/>
      <c r="WGK19" s="13"/>
      <c r="WGL19" s="13"/>
      <c r="WGM19" s="13"/>
      <c r="WGN19" s="13"/>
      <c r="WGO19" s="13"/>
      <c r="WGP19" s="13"/>
      <c r="WGQ19" s="13"/>
      <c r="WGR19" s="13"/>
      <c r="WGS19" s="13"/>
      <c r="WGT19" s="13"/>
      <c r="WGU19" s="13"/>
      <c r="WGV19" s="13"/>
      <c r="WGW19" s="13"/>
      <c r="WGX19" s="13"/>
      <c r="WGY19" s="13"/>
      <c r="WGZ19" s="13"/>
      <c r="WHA19" s="13"/>
      <c r="WHB19" s="13"/>
      <c r="WHC19" s="13"/>
      <c r="WHD19" s="13"/>
      <c r="WHE19" s="13"/>
      <c r="WHF19" s="13"/>
      <c r="WHG19" s="13"/>
      <c r="WHH19" s="13"/>
      <c r="WHI19" s="13"/>
      <c r="WHJ19" s="13"/>
      <c r="WHK19" s="13"/>
      <c r="WHL19" s="13"/>
      <c r="WHM19" s="13"/>
      <c r="WHN19" s="13"/>
      <c r="WHO19" s="13"/>
      <c r="WHP19" s="13"/>
      <c r="WHQ19" s="13"/>
      <c r="WHR19" s="13"/>
      <c r="WHS19" s="13"/>
      <c r="WHT19" s="13"/>
      <c r="WHU19" s="13"/>
      <c r="WHV19" s="13"/>
      <c r="WHW19" s="13"/>
      <c r="WHX19" s="13"/>
      <c r="WHY19" s="13"/>
      <c r="WHZ19" s="13"/>
      <c r="WIA19" s="13"/>
      <c r="WIB19" s="13"/>
      <c r="WIC19" s="13"/>
      <c r="WID19" s="13"/>
      <c r="WIE19" s="13"/>
      <c r="WIF19" s="13"/>
      <c r="WIG19" s="13"/>
      <c r="WIH19" s="13"/>
      <c r="WII19" s="13"/>
      <c r="WIJ19" s="13"/>
      <c r="WIK19" s="13"/>
      <c r="WIL19" s="13"/>
      <c r="WIM19" s="13"/>
      <c r="WIN19" s="13"/>
      <c r="WIO19" s="13"/>
      <c r="WIP19" s="13"/>
      <c r="WIQ19" s="13"/>
      <c r="WIR19" s="13"/>
      <c r="WIS19" s="13"/>
      <c r="WIT19" s="13"/>
      <c r="WIU19" s="13"/>
      <c r="WIV19" s="13"/>
      <c r="WIW19" s="13"/>
      <c r="WIX19" s="13"/>
      <c r="WIY19" s="13"/>
      <c r="WIZ19" s="13"/>
      <c r="WJA19" s="13"/>
      <c r="WJB19" s="13"/>
      <c r="WJC19" s="13"/>
      <c r="WJD19" s="13"/>
      <c r="WJE19" s="13"/>
      <c r="WJF19" s="13"/>
      <c r="WJG19" s="13"/>
      <c r="WJH19" s="13"/>
      <c r="WJI19" s="13"/>
      <c r="WJJ19" s="13"/>
      <c r="WJK19" s="13"/>
      <c r="WJL19" s="13"/>
      <c r="WJM19" s="13"/>
      <c r="WJN19" s="13"/>
      <c r="WJO19" s="13"/>
      <c r="WJP19" s="13"/>
      <c r="WJQ19" s="13"/>
      <c r="WJR19" s="13"/>
      <c r="WJS19" s="13"/>
      <c r="WJT19" s="13"/>
      <c r="WJU19" s="13"/>
      <c r="WJV19" s="13"/>
      <c r="WJW19" s="13"/>
      <c r="WJX19" s="13"/>
      <c r="WJY19" s="13"/>
      <c r="WJZ19" s="13"/>
      <c r="WKA19" s="13"/>
      <c r="WKB19" s="13"/>
      <c r="WKC19" s="13"/>
      <c r="WKD19" s="13"/>
      <c r="WKE19" s="13"/>
      <c r="WKF19" s="13"/>
      <c r="WKG19" s="13"/>
      <c r="WKH19" s="13"/>
      <c r="WKI19" s="13"/>
      <c r="WKJ19" s="13"/>
      <c r="WKK19" s="13"/>
      <c r="WKL19" s="13"/>
      <c r="WKM19" s="13"/>
      <c r="WKN19" s="13"/>
      <c r="WKO19" s="13"/>
      <c r="WKP19" s="13"/>
      <c r="WKQ19" s="13"/>
      <c r="WKR19" s="13"/>
      <c r="WKS19" s="13"/>
      <c r="WKT19" s="13"/>
      <c r="WKU19" s="13"/>
      <c r="WKV19" s="13"/>
      <c r="WKW19" s="13"/>
      <c r="WKX19" s="13"/>
      <c r="WKY19" s="13"/>
      <c r="WKZ19" s="13"/>
      <c r="WLA19" s="13"/>
      <c r="WLB19" s="13"/>
      <c r="WLC19" s="13"/>
      <c r="WLD19" s="13"/>
      <c r="WLE19" s="13"/>
      <c r="WLF19" s="13"/>
      <c r="WLG19" s="13"/>
      <c r="WLH19" s="13"/>
      <c r="WLI19" s="13"/>
      <c r="WLJ19" s="13"/>
      <c r="WLK19" s="13"/>
      <c r="WLL19" s="13"/>
      <c r="WLM19" s="13"/>
      <c r="WLN19" s="13"/>
      <c r="WLO19" s="13"/>
      <c r="WLP19" s="13"/>
      <c r="WLQ19" s="13"/>
      <c r="WLR19" s="13"/>
      <c r="WLS19" s="13"/>
      <c r="WLT19" s="13"/>
      <c r="WLU19" s="13"/>
      <c r="WLV19" s="13"/>
      <c r="WLW19" s="13"/>
      <c r="WLX19" s="13"/>
      <c r="WLY19" s="13"/>
      <c r="WLZ19" s="13"/>
      <c r="WMA19" s="13"/>
      <c r="WMB19" s="13"/>
      <c r="WMC19" s="13"/>
      <c r="WMD19" s="13"/>
      <c r="WME19" s="13"/>
      <c r="WMF19" s="13"/>
      <c r="WMG19" s="13"/>
      <c r="WMH19" s="13"/>
      <c r="WMI19" s="13"/>
      <c r="WMJ19" s="13"/>
      <c r="WMK19" s="13"/>
      <c r="WML19" s="13"/>
      <c r="WMM19" s="13"/>
      <c r="WMN19" s="13"/>
      <c r="WMO19" s="13"/>
      <c r="WMP19" s="13"/>
      <c r="WMQ19" s="13"/>
      <c r="WMR19" s="13"/>
      <c r="WMS19" s="13"/>
      <c r="WMT19" s="13"/>
      <c r="WMU19" s="13"/>
      <c r="WMV19" s="13"/>
      <c r="WMW19" s="13"/>
      <c r="WMX19" s="13"/>
      <c r="WMY19" s="13"/>
      <c r="WMZ19" s="13"/>
      <c r="WNA19" s="13"/>
      <c r="WNB19" s="13"/>
      <c r="WNC19" s="13"/>
      <c r="WND19" s="13"/>
      <c r="WNE19" s="13"/>
      <c r="WNF19" s="13"/>
      <c r="WNG19" s="13"/>
      <c r="WNH19" s="13"/>
      <c r="WNI19" s="13"/>
      <c r="WNJ19" s="13"/>
      <c r="WNK19" s="13"/>
      <c r="WNL19" s="13"/>
      <c r="WNM19" s="13"/>
      <c r="WNN19" s="13"/>
      <c r="WNO19" s="13"/>
      <c r="WNP19" s="13"/>
      <c r="WNQ19" s="13"/>
      <c r="WNR19" s="13"/>
      <c r="WNS19" s="13"/>
      <c r="WNT19" s="13"/>
      <c r="WNU19" s="13"/>
      <c r="WNV19" s="13"/>
      <c r="WNW19" s="13"/>
      <c r="WNX19" s="13"/>
      <c r="WNY19" s="13"/>
      <c r="WNZ19" s="13"/>
      <c r="WOA19" s="13"/>
      <c r="WOB19" s="13"/>
      <c r="WOC19" s="13"/>
      <c r="WOD19" s="13"/>
      <c r="WOE19" s="13"/>
      <c r="WOF19" s="13"/>
      <c r="WOG19" s="13"/>
      <c r="WOH19" s="13"/>
      <c r="WOI19" s="13"/>
      <c r="WOJ19" s="13"/>
      <c r="WOK19" s="13"/>
      <c r="WOL19" s="13"/>
      <c r="WOM19" s="13"/>
      <c r="WON19" s="13"/>
      <c r="WOO19" s="13"/>
      <c r="WOP19" s="13"/>
      <c r="WOQ19" s="13"/>
      <c r="WOR19" s="13"/>
      <c r="WOS19" s="13"/>
      <c r="WOT19" s="13"/>
      <c r="WOU19" s="13"/>
      <c r="WOV19" s="13"/>
      <c r="WOW19" s="13"/>
      <c r="WOX19" s="13"/>
      <c r="WOY19" s="13"/>
      <c r="WOZ19" s="13"/>
      <c r="WPA19" s="13"/>
      <c r="WPB19" s="13"/>
      <c r="WPC19" s="13"/>
      <c r="WPD19" s="13"/>
      <c r="WPE19" s="13"/>
      <c r="WPF19" s="13"/>
      <c r="WPG19" s="13"/>
      <c r="WPH19" s="13"/>
      <c r="WPI19" s="13"/>
      <c r="WPJ19" s="13"/>
      <c r="WPK19" s="13"/>
      <c r="WPL19" s="13"/>
      <c r="WPM19" s="13"/>
      <c r="WPN19" s="13"/>
      <c r="WPO19" s="13"/>
      <c r="WPP19" s="13"/>
      <c r="WPQ19" s="13"/>
      <c r="WPR19" s="13"/>
      <c r="WPS19" s="13"/>
      <c r="WPT19" s="13"/>
      <c r="WPU19" s="13"/>
      <c r="WPV19" s="13"/>
      <c r="WPW19" s="13"/>
      <c r="WPX19" s="13"/>
      <c r="WPY19" s="13"/>
      <c r="WPZ19" s="13"/>
      <c r="WQA19" s="13"/>
      <c r="WQB19" s="13"/>
      <c r="WQC19" s="13"/>
      <c r="WQD19" s="13"/>
      <c r="WQE19" s="13"/>
      <c r="WQF19" s="13"/>
      <c r="WQG19" s="13"/>
      <c r="WQH19" s="13"/>
      <c r="WQI19" s="13"/>
      <c r="WQJ19" s="13"/>
      <c r="WQK19" s="13"/>
      <c r="WQL19" s="13"/>
      <c r="WQM19" s="13"/>
      <c r="WQN19" s="13"/>
      <c r="WQO19" s="13"/>
      <c r="WQP19" s="13"/>
      <c r="WQQ19" s="13"/>
      <c r="WQR19" s="13"/>
      <c r="WQS19" s="13"/>
      <c r="WQT19" s="13"/>
      <c r="WQU19" s="13"/>
      <c r="WQV19" s="13"/>
      <c r="WQW19" s="13"/>
      <c r="WQX19" s="13"/>
      <c r="WQY19" s="13"/>
      <c r="WQZ19" s="13"/>
      <c r="WRA19" s="13"/>
      <c r="WRB19" s="13"/>
      <c r="WRC19" s="13"/>
      <c r="WRD19" s="13"/>
      <c r="WRE19" s="13"/>
      <c r="WRF19" s="13"/>
      <c r="WRG19" s="13"/>
      <c r="WRH19" s="13"/>
      <c r="WRI19" s="13"/>
      <c r="WRJ19" s="13"/>
      <c r="WRK19" s="13"/>
      <c r="WRL19" s="13"/>
      <c r="WRM19" s="13"/>
      <c r="WRN19" s="13"/>
      <c r="WRO19" s="13"/>
      <c r="WRP19" s="13"/>
      <c r="WRQ19" s="13"/>
      <c r="WRR19" s="13"/>
      <c r="WRS19" s="13"/>
      <c r="WRT19" s="13"/>
      <c r="WRU19" s="13"/>
      <c r="WRV19" s="13"/>
      <c r="WRW19" s="13"/>
      <c r="WRX19" s="13"/>
      <c r="WRY19" s="13"/>
      <c r="WRZ19" s="13"/>
      <c r="WSA19" s="13"/>
      <c r="WSB19" s="13"/>
      <c r="WSC19" s="13"/>
      <c r="WSD19" s="13"/>
      <c r="WSE19" s="13"/>
      <c r="WSF19" s="13"/>
      <c r="WSG19" s="13"/>
      <c r="WSH19" s="13"/>
      <c r="WSI19" s="13"/>
      <c r="WSJ19" s="13"/>
      <c r="WSK19" s="13"/>
      <c r="WSL19" s="13"/>
      <c r="WSM19" s="13"/>
      <c r="WSN19" s="13"/>
      <c r="WSO19" s="13"/>
      <c r="WSP19" s="13"/>
      <c r="WSQ19" s="13"/>
      <c r="WSR19" s="13"/>
      <c r="WSS19" s="13"/>
      <c r="WST19" s="13"/>
      <c r="WSU19" s="13"/>
      <c r="WSV19" s="13"/>
      <c r="WSW19" s="13"/>
      <c r="WSX19" s="13"/>
      <c r="WSY19" s="13"/>
      <c r="WSZ19" s="13"/>
      <c r="WTA19" s="13"/>
      <c r="WTB19" s="13"/>
      <c r="WTC19" s="13"/>
      <c r="WTD19" s="13"/>
      <c r="WTE19" s="13"/>
      <c r="WTF19" s="13"/>
      <c r="WTG19" s="13"/>
      <c r="WTH19" s="13"/>
      <c r="WTI19" s="13"/>
      <c r="WTJ19" s="13"/>
      <c r="WTK19" s="13"/>
      <c r="WTL19" s="13"/>
      <c r="WTM19" s="13"/>
      <c r="WTN19" s="13"/>
      <c r="WTO19" s="13"/>
      <c r="WTP19" s="13"/>
      <c r="WTQ19" s="13"/>
      <c r="WTR19" s="13"/>
      <c r="WTS19" s="13"/>
      <c r="WTT19" s="13"/>
      <c r="WTU19" s="13"/>
      <c r="WTV19" s="13"/>
      <c r="WTW19" s="13"/>
      <c r="WTX19" s="13"/>
      <c r="WTY19" s="13"/>
      <c r="WTZ19" s="13"/>
      <c r="WUA19" s="13"/>
      <c r="WUB19" s="13"/>
      <c r="WUC19" s="13"/>
      <c r="WUD19" s="13"/>
      <c r="WUE19" s="13"/>
      <c r="WUF19" s="13"/>
      <c r="WUG19" s="13"/>
      <c r="WUH19" s="13"/>
      <c r="WUI19" s="13"/>
      <c r="WUJ19" s="13"/>
      <c r="WUK19" s="13"/>
      <c r="WUL19" s="13"/>
      <c r="WUM19" s="13"/>
      <c r="WUN19" s="13"/>
      <c r="WUO19" s="13"/>
      <c r="WUP19" s="13"/>
      <c r="WUQ19" s="13"/>
      <c r="WUR19" s="13"/>
      <c r="WUS19" s="13"/>
      <c r="WUT19" s="13"/>
      <c r="WUU19" s="13"/>
      <c r="WUV19" s="13"/>
      <c r="WUW19" s="13"/>
      <c r="WUX19" s="13"/>
      <c r="WUY19" s="13"/>
      <c r="WUZ19" s="13"/>
      <c r="WVA19" s="13"/>
      <c r="WVB19" s="13"/>
      <c r="WVC19" s="13"/>
      <c r="WVD19" s="13"/>
      <c r="WVE19" s="13"/>
      <c r="WVF19" s="13"/>
      <c r="WVG19" s="13"/>
      <c r="WVH19" s="13"/>
      <c r="WVI19" s="13"/>
      <c r="WVJ19" s="13"/>
      <c r="WVK19" s="13"/>
      <c r="WVL19" s="13"/>
      <c r="WVM19" s="13"/>
      <c r="WVN19" s="13"/>
      <c r="WVO19" s="13"/>
      <c r="WVP19" s="13"/>
      <c r="WVQ19" s="13"/>
      <c r="WVR19" s="13"/>
      <c r="WVS19" s="13"/>
      <c r="WVT19" s="13"/>
      <c r="WVU19" s="13"/>
      <c r="WVV19" s="13"/>
      <c r="WVW19" s="13"/>
      <c r="WVX19" s="13"/>
      <c r="WVY19" s="13"/>
      <c r="WVZ19" s="13"/>
      <c r="WWA19" s="13"/>
      <c r="WWB19" s="13"/>
      <c r="WWC19" s="13"/>
      <c r="WWD19" s="13"/>
      <c r="WWE19" s="13"/>
      <c r="WWF19" s="13"/>
      <c r="WWG19" s="13"/>
      <c r="WWH19" s="13"/>
      <c r="WWI19" s="13"/>
      <c r="WWJ19" s="13"/>
      <c r="WWK19" s="13"/>
      <c r="WWL19" s="13"/>
      <c r="WWM19" s="13"/>
      <c r="WWN19" s="13"/>
      <c r="WWO19" s="13"/>
      <c r="WWP19" s="13"/>
      <c r="WWQ19" s="13"/>
      <c r="WWR19" s="13"/>
      <c r="WWS19" s="13"/>
      <c r="WWT19" s="13"/>
      <c r="WWU19" s="13"/>
      <c r="WWV19" s="13"/>
      <c r="WWW19" s="13"/>
      <c r="WWX19" s="13"/>
      <c r="WWY19" s="13"/>
      <c r="WWZ19" s="13"/>
      <c r="WXA19" s="13"/>
      <c r="WXB19" s="13"/>
      <c r="WXC19" s="13"/>
      <c r="WXD19" s="13"/>
      <c r="WXE19" s="13"/>
      <c r="WXF19" s="13"/>
      <c r="WXG19" s="13"/>
      <c r="WXH19" s="13"/>
      <c r="WXI19" s="13"/>
      <c r="WXJ19" s="13"/>
      <c r="WXK19" s="13"/>
      <c r="WXL19" s="13"/>
      <c r="WXM19" s="13"/>
      <c r="WXN19" s="13"/>
      <c r="WXO19" s="13"/>
      <c r="WXP19" s="13"/>
      <c r="WXQ19" s="13"/>
      <c r="WXR19" s="13"/>
      <c r="WXS19" s="13"/>
      <c r="WXT19" s="13"/>
      <c r="WXU19" s="13"/>
      <c r="WXV19" s="13"/>
      <c r="WXW19" s="13"/>
      <c r="WXX19" s="13"/>
      <c r="WXY19" s="13"/>
      <c r="WXZ19" s="13"/>
      <c r="WYA19" s="13"/>
      <c r="WYB19" s="13"/>
      <c r="WYC19" s="13"/>
      <c r="WYD19" s="13"/>
      <c r="WYE19" s="13"/>
      <c r="WYF19" s="13"/>
      <c r="WYG19" s="13"/>
      <c r="WYH19" s="13"/>
      <c r="WYI19" s="13"/>
      <c r="WYJ19" s="13"/>
      <c r="WYK19" s="13"/>
      <c r="WYL19" s="13"/>
      <c r="WYM19" s="13"/>
      <c r="WYN19" s="13"/>
      <c r="WYO19" s="13"/>
      <c r="WYP19" s="13"/>
      <c r="WYQ19" s="13"/>
      <c r="WYR19" s="13"/>
      <c r="WYS19" s="13"/>
      <c r="WYT19" s="13"/>
      <c r="WYU19" s="13"/>
      <c r="WYV19" s="13"/>
      <c r="WYW19" s="13"/>
      <c r="WYX19" s="13"/>
      <c r="WYY19" s="13"/>
      <c r="WYZ19" s="13"/>
      <c r="WZA19" s="13"/>
      <c r="WZB19" s="13"/>
      <c r="WZC19" s="13"/>
      <c r="WZD19" s="13"/>
      <c r="WZE19" s="13"/>
      <c r="WZF19" s="13"/>
      <c r="WZG19" s="13"/>
      <c r="WZH19" s="13"/>
      <c r="WZI19" s="13"/>
      <c r="WZJ19" s="13"/>
      <c r="WZK19" s="13"/>
      <c r="WZL19" s="13"/>
      <c r="WZM19" s="13"/>
      <c r="WZN19" s="13"/>
      <c r="WZO19" s="13"/>
      <c r="WZP19" s="13"/>
      <c r="WZQ19" s="13"/>
      <c r="WZR19" s="13"/>
      <c r="WZS19" s="13"/>
      <c r="WZT19" s="13"/>
      <c r="WZU19" s="13"/>
      <c r="WZV19" s="13"/>
      <c r="WZW19" s="13"/>
      <c r="WZX19" s="13"/>
      <c r="WZY19" s="13"/>
      <c r="WZZ19" s="13"/>
      <c r="XAA19" s="13"/>
      <c r="XAB19" s="13"/>
      <c r="XAC19" s="13"/>
      <c r="XAD19" s="13"/>
      <c r="XAE19" s="13"/>
      <c r="XAF19" s="13"/>
      <c r="XAG19" s="13"/>
      <c r="XAH19" s="13"/>
      <c r="XAI19" s="13"/>
      <c r="XAJ19" s="13"/>
      <c r="XAK19" s="13"/>
      <c r="XAL19" s="13"/>
      <c r="XAM19" s="13"/>
      <c r="XAN19" s="13"/>
      <c r="XAO19" s="13"/>
      <c r="XAP19" s="13"/>
      <c r="XAQ19" s="13"/>
      <c r="XAR19" s="13"/>
      <c r="XAS19" s="13"/>
      <c r="XAT19" s="13"/>
      <c r="XAU19" s="13"/>
      <c r="XAV19" s="13"/>
      <c r="XAW19" s="13"/>
      <c r="XAX19" s="13"/>
      <c r="XAY19" s="13"/>
      <c r="XAZ19" s="13"/>
      <c r="XBA19" s="13"/>
      <c r="XBB19" s="13"/>
      <c r="XBC19" s="13"/>
      <c r="XBD19" s="13"/>
      <c r="XBE19" s="13"/>
      <c r="XBF19" s="13"/>
      <c r="XBG19" s="13"/>
      <c r="XBH19" s="13"/>
      <c r="XBI19" s="13"/>
      <c r="XBJ19" s="13"/>
      <c r="XBK19" s="13"/>
      <c r="XBL19" s="13"/>
      <c r="XBM19" s="13"/>
      <c r="XBN19" s="13"/>
      <c r="XBO19" s="13"/>
      <c r="XBP19" s="13"/>
      <c r="XBQ19" s="13"/>
      <c r="XBR19" s="13"/>
      <c r="XBS19" s="13"/>
      <c r="XBT19" s="13"/>
      <c r="XBU19" s="13"/>
      <c r="XBV19" s="13"/>
      <c r="XBW19" s="13"/>
      <c r="XBX19" s="13"/>
      <c r="XBY19" s="13"/>
      <c r="XBZ19" s="13"/>
      <c r="XCA19" s="13"/>
      <c r="XCB19" s="13"/>
      <c r="XCC19" s="13"/>
      <c r="XCD19" s="13"/>
      <c r="XCE19" s="13"/>
      <c r="XCF19" s="13"/>
      <c r="XCG19" s="13"/>
      <c r="XCH19" s="13"/>
      <c r="XCI19" s="13"/>
      <c r="XCJ19" s="13"/>
      <c r="XCK19" s="13"/>
      <c r="XCL19" s="13"/>
      <c r="XCM19" s="13"/>
      <c r="XCN19" s="13"/>
      <c r="XCO19" s="13"/>
      <c r="XCP19" s="13"/>
      <c r="XCQ19" s="13"/>
      <c r="XCR19" s="13"/>
      <c r="XCS19" s="13"/>
      <c r="XCT19" s="13"/>
      <c r="XCU19" s="13"/>
      <c r="XCV19" s="13"/>
      <c r="XCW19" s="13"/>
      <c r="XCX19" s="13"/>
      <c r="XCY19" s="13"/>
      <c r="XCZ19" s="13"/>
      <c r="XDA19" s="13"/>
      <c r="XDB19" s="13"/>
      <c r="XDC19" s="13"/>
      <c r="XDD19" s="13"/>
      <c r="XDE19" s="13"/>
      <c r="XDF19" s="13"/>
      <c r="XDG19" s="13"/>
      <c r="XDH19" s="13"/>
      <c r="XDI19" s="13"/>
      <c r="XDJ19" s="13"/>
      <c r="XDK19" s="13"/>
      <c r="XDL19" s="13"/>
      <c r="XDM19" s="13"/>
      <c r="XDN19" s="13"/>
      <c r="XDO19" s="13"/>
      <c r="XDP19" s="13"/>
      <c r="XDQ19" s="13"/>
      <c r="XDR19" s="13"/>
      <c r="XDS19" s="13"/>
      <c r="XDT19" s="13"/>
      <c r="XDU19" s="13"/>
      <c r="XDV19" s="13"/>
      <c r="XDW19" s="13"/>
    </row>
    <row r="20" spans="1:16351" s="11" customFormat="1" ht="29" x14ac:dyDescent="0.35">
      <c r="A20" s="13"/>
      <c r="B20" s="13"/>
      <c r="C20" s="25"/>
      <c r="D20" s="10"/>
      <c r="E20" s="13"/>
      <c r="F20" s="27" t="s">
        <v>28</v>
      </c>
      <c r="G20" s="26" t="s">
        <v>29</v>
      </c>
      <c r="J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  <c r="BBJ20" s="13"/>
      <c r="BBK20" s="13"/>
      <c r="BBL20" s="13"/>
      <c r="BBM20" s="13"/>
      <c r="BBN20" s="13"/>
      <c r="BBO20" s="13"/>
      <c r="BBP20" s="13"/>
      <c r="BBQ20" s="13"/>
      <c r="BBR20" s="13"/>
      <c r="BBS20" s="13"/>
      <c r="BBT20" s="13"/>
      <c r="BBU20" s="13"/>
      <c r="BBV20" s="13"/>
      <c r="BBW20" s="13"/>
      <c r="BBX20" s="13"/>
      <c r="BBY20" s="13"/>
      <c r="BBZ20" s="13"/>
      <c r="BCA20" s="13"/>
      <c r="BCB20" s="13"/>
      <c r="BCC20" s="13"/>
      <c r="BCD20" s="13"/>
      <c r="BCE20" s="13"/>
      <c r="BCF20" s="13"/>
      <c r="BCG20" s="13"/>
      <c r="BCH20" s="13"/>
      <c r="BCI20" s="13"/>
      <c r="BCJ20" s="13"/>
      <c r="BCK20" s="13"/>
      <c r="BCL20" s="13"/>
      <c r="BCM20" s="13"/>
      <c r="BCN20" s="13"/>
      <c r="BCO20" s="13"/>
      <c r="BCP20" s="13"/>
      <c r="BCQ20" s="13"/>
      <c r="BCR20" s="13"/>
      <c r="BCS20" s="13"/>
      <c r="BCT20" s="13"/>
      <c r="BCU20" s="13"/>
      <c r="BCV20" s="13"/>
      <c r="BCW20" s="13"/>
      <c r="BCX20" s="13"/>
      <c r="BCY20" s="13"/>
      <c r="BCZ20" s="13"/>
      <c r="BDA20" s="13"/>
      <c r="BDB20" s="13"/>
      <c r="BDC20" s="13"/>
      <c r="BDD20" s="13"/>
      <c r="BDE20" s="13"/>
      <c r="BDF20" s="13"/>
      <c r="BDG20" s="13"/>
      <c r="BDH20" s="13"/>
      <c r="BDI20" s="13"/>
      <c r="BDJ20" s="13"/>
      <c r="BDK20" s="13"/>
      <c r="BDL20" s="13"/>
      <c r="BDM20" s="13"/>
      <c r="BDN20" s="13"/>
      <c r="BDO20" s="13"/>
      <c r="BDP20" s="13"/>
      <c r="BDQ20" s="13"/>
      <c r="BDR20" s="13"/>
      <c r="BDS20" s="13"/>
      <c r="BDT20" s="13"/>
      <c r="BDU20" s="13"/>
      <c r="BDV20" s="13"/>
      <c r="BDW20" s="13"/>
      <c r="BDX20" s="13"/>
      <c r="BDY20" s="13"/>
      <c r="BDZ20" s="13"/>
      <c r="BEA20" s="13"/>
      <c r="BEB20" s="13"/>
      <c r="BEC20" s="13"/>
      <c r="BED20" s="13"/>
      <c r="BEE20" s="13"/>
      <c r="BEF20" s="13"/>
      <c r="BEG20" s="13"/>
      <c r="BEH20" s="13"/>
      <c r="BEI20" s="13"/>
      <c r="BEJ20" s="13"/>
      <c r="BEK20" s="13"/>
      <c r="BEL20" s="13"/>
      <c r="BEM20" s="13"/>
      <c r="BEN20" s="13"/>
      <c r="BEO20" s="13"/>
      <c r="BEP20" s="13"/>
      <c r="BEQ20" s="13"/>
      <c r="BER20" s="13"/>
      <c r="BES20" s="13"/>
      <c r="BET20" s="13"/>
      <c r="BEU20" s="13"/>
      <c r="BEV20" s="13"/>
      <c r="BEW20" s="13"/>
      <c r="BEX20" s="13"/>
      <c r="BEY20" s="13"/>
      <c r="BEZ20" s="13"/>
      <c r="BFA20" s="13"/>
      <c r="BFB20" s="13"/>
      <c r="BFC20" s="13"/>
      <c r="BFD20" s="13"/>
      <c r="BFE20" s="13"/>
      <c r="BFF20" s="13"/>
      <c r="BFG20" s="13"/>
      <c r="BFH20" s="13"/>
      <c r="BFI20" s="13"/>
      <c r="BFJ20" s="13"/>
      <c r="BFK20" s="13"/>
      <c r="BFL20" s="13"/>
      <c r="BFM20" s="13"/>
      <c r="BFN20" s="13"/>
      <c r="BFO20" s="13"/>
      <c r="BFP20" s="13"/>
      <c r="BFQ20" s="13"/>
      <c r="BFR20" s="13"/>
      <c r="BFS20" s="13"/>
      <c r="BFT20" s="13"/>
      <c r="BFU20" s="13"/>
      <c r="BFV20" s="13"/>
      <c r="BFW20" s="13"/>
      <c r="BFX20" s="13"/>
      <c r="BFY20" s="13"/>
      <c r="BFZ20" s="13"/>
      <c r="BGA20" s="13"/>
      <c r="BGB20" s="13"/>
      <c r="BGC20" s="13"/>
      <c r="BGD20" s="13"/>
      <c r="BGE20" s="13"/>
      <c r="BGF20" s="13"/>
      <c r="BGG20" s="13"/>
      <c r="BGH20" s="13"/>
      <c r="BGI20" s="13"/>
      <c r="BGJ20" s="13"/>
      <c r="BGK20" s="13"/>
      <c r="BGL20" s="13"/>
      <c r="BGM20" s="13"/>
      <c r="BGN20" s="13"/>
      <c r="BGO20" s="13"/>
      <c r="BGP20" s="13"/>
      <c r="BGQ20" s="13"/>
      <c r="BGR20" s="13"/>
      <c r="BGS20" s="13"/>
      <c r="BGT20" s="13"/>
      <c r="BGU20" s="13"/>
      <c r="BGV20" s="13"/>
      <c r="BGW20" s="13"/>
      <c r="BGX20" s="13"/>
      <c r="BGY20" s="13"/>
      <c r="BGZ20" s="13"/>
      <c r="BHA20" s="13"/>
      <c r="BHB20" s="13"/>
      <c r="BHC20" s="13"/>
      <c r="BHD20" s="13"/>
      <c r="BHE20" s="13"/>
      <c r="BHF20" s="13"/>
      <c r="BHG20" s="13"/>
      <c r="BHH20" s="13"/>
      <c r="BHI20" s="13"/>
      <c r="BHJ20" s="13"/>
      <c r="BHK20" s="13"/>
      <c r="BHL20" s="13"/>
      <c r="BHM20" s="13"/>
      <c r="BHN20" s="13"/>
      <c r="BHO20" s="13"/>
      <c r="BHP20" s="13"/>
      <c r="BHQ20" s="13"/>
      <c r="BHR20" s="13"/>
      <c r="BHS20" s="13"/>
      <c r="BHT20" s="13"/>
      <c r="BHU20" s="13"/>
      <c r="BHV20" s="13"/>
      <c r="BHW20" s="13"/>
      <c r="BHX20" s="13"/>
      <c r="BHY20" s="13"/>
      <c r="BHZ20" s="13"/>
      <c r="BIA20" s="13"/>
      <c r="BIB20" s="13"/>
      <c r="BIC20" s="13"/>
      <c r="BID20" s="13"/>
      <c r="BIE20" s="13"/>
      <c r="BIF20" s="13"/>
      <c r="BIG20" s="13"/>
      <c r="BIH20" s="13"/>
      <c r="BII20" s="13"/>
      <c r="BIJ20" s="13"/>
      <c r="BIK20" s="13"/>
      <c r="BIL20" s="13"/>
      <c r="BIM20" s="13"/>
      <c r="BIN20" s="13"/>
      <c r="BIO20" s="13"/>
      <c r="BIP20" s="13"/>
      <c r="BIQ20" s="13"/>
      <c r="BIR20" s="13"/>
      <c r="BIS20" s="13"/>
      <c r="BIT20" s="13"/>
      <c r="BIU20" s="13"/>
      <c r="BIV20" s="13"/>
      <c r="BIW20" s="13"/>
      <c r="BIX20" s="13"/>
      <c r="BIY20" s="13"/>
      <c r="BIZ20" s="13"/>
      <c r="BJA20" s="13"/>
      <c r="BJB20" s="13"/>
      <c r="BJC20" s="13"/>
      <c r="BJD20" s="13"/>
      <c r="BJE20" s="13"/>
      <c r="BJF20" s="13"/>
      <c r="BJG20" s="13"/>
      <c r="BJH20" s="13"/>
      <c r="BJI20" s="13"/>
      <c r="BJJ20" s="13"/>
      <c r="BJK20" s="13"/>
      <c r="BJL20" s="13"/>
      <c r="BJM20" s="13"/>
      <c r="BJN20" s="13"/>
      <c r="BJO20" s="13"/>
      <c r="BJP20" s="13"/>
      <c r="BJQ20" s="13"/>
      <c r="BJR20" s="13"/>
      <c r="BJS20" s="13"/>
      <c r="BJT20" s="13"/>
      <c r="BJU20" s="13"/>
      <c r="BJV20" s="13"/>
      <c r="BJW20" s="13"/>
      <c r="BJX20" s="13"/>
      <c r="BJY20" s="13"/>
      <c r="BJZ20" s="13"/>
      <c r="BKA20" s="13"/>
      <c r="BKB20" s="13"/>
      <c r="BKC20" s="13"/>
      <c r="BKD20" s="13"/>
      <c r="BKE20" s="13"/>
      <c r="BKF20" s="13"/>
      <c r="BKG20" s="13"/>
      <c r="BKH20" s="13"/>
      <c r="BKI20" s="13"/>
      <c r="BKJ20" s="13"/>
      <c r="BKK20" s="13"/>
      <c r="BKL20" s="13"/>
      <c r="BKM20" s="13"/>
      <c r="BKN20" s="13"/>
      <c r="BKO20" s="13"/>
      <c r="BKP20" s="13"/>
      <c r="BKQ20" s="13"/>
      <c r="BKR20" s="13"/>
      <c r="BKS20" s="13"/>
      <c r="BKT20" s="13"/>
      <c r="BKU20" s="13"/>
      <c r="BKV20" s="13"/>
      <c r="BKW20" s="13"/>
      <c r="BKX20" s="13"/>
      <c r="BKY20" s="13"/>
      <c r="BKZ20" s="13"/>
      <c r="BLA20" s="13"/>
      <c r="BLB20" s="13"/>
      <c r="BLC20" s="13"/>
      <c r="BLD20" s="13"/>
      <c r="BLE20" s="13"/>
      <c r="BLF20" s="13"/>
      <c r="BLG20" s="13"/>
      <c r="BLH20" s="13"/>
      <c r="BLI20" s="13"/>
      <c r="BLJ20" s="13"/>
      <c r="BLK20" s="13"/>
      <c r="BLL20" s="13"/>
      <c r="BLM20" s="13"/>
      <c r="BLN20" s="13"/>
      <c r="BLO20" s="13"/>
      <c r="BLP20" s="13"/>
      <c r="BLQ20" s="13"/>
      <c r="BLR20" s="13"/>
      <c r="BLS20" s="13"/>
      <c r="BLT20" s="13"/>
      <c r="BLU20" s="13"/>
      <c r="BLV20" s="13"/>
      <c r="BLW20" s="13"/>
      <c r="BLX20" s="13"/>
      <c r="BLY20" s="13"/>
      <c r="BLZ20" s="13"/>
      <c r="BMA20" s="13"/>
      <c r="BMB20" s="13"/>
      <c r="BMC20" s="13"/>
      <c r="BMD20" s="13"/>
      <c r="BME20" s="13"/>
      <c r="BMF20" s="13"/>
      <c r="BMG20" s="13"/>
      <c r="BMH20" s="13"/>
      <c r="BMI20" s="13"/>
      <c r="BMJ20" s="13"/>
      <c r="BMK20" s="13"/>
      <c r="BML20" s="13"/>
      <c r="BMM20" s="13"/>
      <c r="BMN20" s="13"/>
      <c r="BMO20" s="13"/>
      <c r="BMP20" s="13"/>
      <c r="BMQ20" s="13"/>
      <c r="BMR20" s="13"/>
      <c r="BMS20" s="13"/>
      <c r="BMT20" s="13"/>
      <c r="BMU20" s="13"/>
      <c r="BMV20" s="13"/>
      <c r="BMW20" s="13"/>
      <c r="BMX20" s="13"/>
      <c r="BMY20" s="13"/>
      <c r="BMZ20" s="13"/>
      <c r="BNA20" s="13"/>
      <c r="BNB20" s="13"/>
      <c r="BNC20" s="13"/>
      <c r="BND20" s="13"/>
      <c r="BNE20" s="13"/>
      <c r="BNF20" s="13"/>
      <c r="BNG20" s="13"/>
      <c r="BNH20" s="13"/>
      <c r="BNI20" s="13"/>
      <c r="BNJ20" s="13"/>
      <c r="BNK20" s="13"/>
      <c r="BNL20" s="13"/>
      <c r="BNM20" s="13"/>
      <c r="BNN20" s="13"/>
      <c r="BNO20" s="13"/>
      <c r="BNP20" s="13"/>
      <c r="BNQ20" s="13"/>
      <c r="BNR20" s="13"/>
      <c r="BNS20" s="13"/>
      <c r="BNT20" s="13"/>
      <c r="BNU20" s="13"/>
      <c r="BNV20" s="13"/>
      <c r="BNW20" s="13"/>
      <c r="BNX20" s="13"/>
      <c r="BNY20" s="13"/>
      <c r="BNZ20" s="13"/>
      <c r="BOA20" s="13"/>
      <c r="BOB20" s="13"/>
      <c r="BOC20" s="13"/>
      <c r="BOD20" s="13"/>
      <c r="BOE20" s="13"/>
      <c r="BOF20" s="13"/>
      <c r="BOG20" s="13"/>
      <c r="BOH20" s="13"/>
      <c r="BOI20" s="13"/>
      <c r="BOJ20" s="13"/>
      <c r="BOK20" s="13"/>
      <c r="BOL20" s="13"/>
      <c r="BOM20" s="13"/>
      <c r="BON20" s="13"/>
      <c r="BOO20" s="13"/>
      <c r="BOP20" s="13"/>
      <c r="BOQ20" s="13"/>
      <c r="BOR20" s="13"/>
      <c r="BOS20" s="13"/>
      <c r="BOT20" s="13"/>
      <c r="BOU20" s="13"/>
      <c r="BOV20" s="13"/>
      <c r="BOW20" s="13"/>
      <c r="BOX20" s="13"/>
      <c r="BOY20" s="13"/>
      <c r="BOZ20" s="13"/>
      <c r="BPA20" s="13"/>
      <c r="BPB20" s="13"/>
      <c r="BPC20" s="13"/>
      <c r="BPD20" s="13"/>
      <c r="BPE20" s="13"/>
      <c r="BPF20" s="13"/>
      <c r="BPG20" s="13"/>
      <c r="BPH20" s="13"/>
      <c r="BPI20" s="13"/>
      <c r="BPJ20" s="13"/>
      <c r="BPK20" s="13"/>
      <c r="BPL20" s="13"/>
      <c r="BPM20" s="13"/>
      <c r="BPN20" s="13"/>
      <c r="BPO20" s="13"/>
      <c r="BPP20" s="13"/>
      <c r="BPQ20" s="13"/>
      <c r="BPR20" s="13"/>
      <c r="BPS20" s="13"/>
      <c r="BPT20" s="13"/>
      <c r="BPU20" s="13"/>
      <c r="BPV20" s="13"/>
      <c r="BPW20" s="13"/>
      <c r="BPX20" s="13"/>
      <c r="BPY20" s="13"/>
      <c r="BPZ20" s="13"/>
      <c r="BQA20" s="13"/>
      <c r="BQB20" s="13"/>
      <c r="BQC20" s="13"/>
      <c r="BQD20" s="13"/>
      <c r="BQE20" s="13"/>
      <c r="BQF20" s="13"/>
      <c r="BQG20" s="13"/>
      <c r="BQH20" s="13"/>
      <c r="BQI20" s="13"/>
      <c r="BQJ20" s="13"/>
      <c r="BQK20" s="13"/>
      <c r="BQL20" s="13"/>
      <c r="BQM20" s="13"/>
      <c r="BQN20" s="13"/>
      <c r="BQO20" s="13"/>
      <c r="BQP20" s="13"/>
      <c r="BQQ20" s="13"/>
      <c r="BQR20" s="13"/>
      <c r="BQS20" s="13"/>
      <c r="BQT20" s="13"/>
      <c r="BQU20" s="13"/>
      <c r="BQV20" s="13"/>
      <c r="BQW20" s="13"/>
      <c r="BQX20" s="13"/>
      <c r="BQY20" s="13"/>
      <c r="BQZ20" s="13"/>
      <c r="BRA20" s="13"/>
      <c r="BRB20" s="13"/>
      <c r="BRC20" s="13"/>
      <c r="BRD20" s="13"/>
      <c r="BRE20" s="13"/>
      <c r="BRF20" s="13"/>
      <c r="BRG20" s="13"/>
      <c r="BRH20" s="13"/>
      <c r="BRI20" s="13"/>
      <c r="BRJ20" s="13"/>
      <c r="BRK20" s="13"/>
      <c r="BRL20" s="13"/>
      <c r="BRM20" s="13"/>
      <c r="BRN20" s="13"/>
      <c r="BRO20" s="13"/>
      <c r="BRP20" s="13"/>
      <c r="BRQ20" s="13"/>
      <c r="BRR20" s="13"/>
      <c r="BRS20" s="13"/>
      <c r="BRT20" s="13"/>
      <c r="BRU20" s="13"/>
      <c r="BRV20" s="13"/>
      <c r="BRW20" s="13"/>
      <c r="BRX20" s="13"/>
      <c r="BRY20" s="13"/>
      <c r="BRZ20" s="13"/>
      <c r="BSA20" s="13"/>
      <c r="BSB20" s="13"/>
      <c r="BSC20" s="13"/>
      <c r="BSD20" s="13"/>
      <c r="BSE20" s="13"/>
      <c r="BSF20" s="13"/>
      <c r="BSG20" s="13"/>
      <c r="BSH20" s="13"/>
      <c r="BSI20" s="13"/>
      <c r="BSJ20" s="13"/>
      <c r="BSK20" s="13"/>
      <c r="BSL20" s="13"/>
      <c r="BSM20" s="13"/>
      <c r="BSN20" s="13"/>
      <c r="BSO20" s="13"/>
      <c r="BSP20" s="13"/>
      <c r="BSQ20" s="13"/>
      <c r="BSR20" s="13"/>
      <c r="BSS20" s="13"/>
      <c r="BST20" s="13"/>
      <c r="BSU20" s="13"/>
      <c r="BSV20" s="13"/>
      <c r="BSW20" s="13"/>
      <c r="BSX20" s="13"/>
      <c r="BSY20" s="13"/>
      <c r="BSZ20" s="13"/>
      <c r="BTA20" s="13"/>
      <c r="BTB20" s="13"/>
      <c r="BTC20" s="13"/>
      <c r="BTD20" s="13"/>
      <c r="BTE20" s="13"/>
      <c r="BTF20" s="13"/>
      <c r="BTG20" s="13"/>
      <c r="BTH20" s="13"/>
      <c r="BTI20" s="13"/>
      <c r="BTJ20" s="13"/>
      <c r="BTK20" s="13"/>
      <c r="BTL20" s="13"/>
      <c r="BTM20" s="13"/>
      <c r="BTN20" s="13"/>
      <c r="BTO20" s="13"/>
      <c r="BTP20" s="13"/>
      <c r="BTQ20" s="13"/>
      <c r="BTR20" s="13"/>
      <c r="BTS20" s="13"/>
      <c r="BTT20" s="13"/>
      <c r="BTU20" s="13"/>
      <c r="BTV20" s="13"/>
      <c r="BTW20" s="13"/>
      <c r="BTX20" s="13"/>
      <c r="BTY20" s="13"/>
      <c r="BTZ20" s="13"/>
      <c r="BUA20" s="13"/>
      <c r="BUB20" s="13"/>
      <c r="BUC20" s="13"/>
      <c r="BUD20" s="13"/>
      <c r="BUE20" s="13"/>
      <c r="BUF20" s="13"/>
      <c r="BUG20" s="13"/>
      <c r="BUH20" s="13"/>
      <c r="BUI20" s="13"/>
      <c r="BUJ20" s="13"/>
      <c r="BUK20" s="13"/>
      <c r="BUL20" s="13"/>
      <c r="BUM20" s="13"/>
      <c r="BUN20" s="13"/>
      <c r="BUO20" s="13"/>
      <c r="BUP20" s="13"/>
      <c r="BUQ20" s="13"/>
      <c r="BUR20" s="13"/>
      <c r="BUS20" s="13"/>
      <c r="BUT20" s="13"/>
      <c r="BUU20" s="13"/>
      <c r="BUV20" s="13"/>
      <c r="BUW20" s="13"/>
      <c r="BUX20" s="13"/>
      <c r="BUY20" s="13"/>
      <c r="BUZ20" s="13"/>
      <c r="BVA20" s="13"/>
      <c r="BVB20" s="13"/>
      <c r="BVC20" s="13"/>
      <c r="BVD20" s="13"/>
      <c r="BVE20" s="13"/>
      <c r="BVF20" s="13"/>
      <c r="BVG20" s="13"/>
      <c r="BVH20" s="13"/>
      <c r="BVI20" s="13"/>
      <c r="BVJ20" s="13"/>
      <c r="BVK20" s="13"/>
      <c r="BVL20" s="13"/>
      <c r="BVM20" s="13"/>
      <c r="BVN20" s="13"/>
      <c r="BVO20" s="13"/>
      <c r="BVP20" s="13"/>
      <c r="BVQ20" s="13"/>
      <c r="BVR20" s="13"/>
      <c r="BVS20" s="13"/>
      <c r="BVT20" s="13"/>
      <c r="BVU20" s="13"/>
      <c r="BVV20" s="13"/>
      <c r="BVW20" s="13"/>
      <c r="BVX20" s="13"/>
      <c r="BVY20" s="13"/>
      <c r="BVZ20" s="13"/>
      <c r="BWA20" s="13"/>
      <c r="BWB20" s="13"/>
      <c r="BWC20" s="13"/>
      <c r="BWD20" s="13"/>
      <c r="BWE20" s="13"/>
      <c r="BWF20" s="13"/>
      <c r="BWG20" s="13"/>
      <c r="BWH20" s="13"/>
      <c r="BWI20" s="13"/>
      <c r="BWJ20" s="13"/>
      <c r="BWK20" s="13"/>
      <c r="BWL20" s="13"/>
      <c r="BWM20" s="13"/>
      <c r="BWN20" s="13"/>
      <c r="BWO20" s="13"/>
      <c r="BWP20" s="13"/>
      <c r="BWQ20" s="13"/>
      <c r="BWR20" s="13"/>
      <c r="BWS20" s="13"/>
      <c r="BWT20" s="13"/>
      <c r="BWU20" s="13"/>
      <c r="BWV20" s="13"/>
      <c r="BWW20" s="13"/>
      <c r="BWX20" s="13"/>
      <c r="BWY20" s="13"/>
      <c r="BWZ20" s="13"/>
      <c r="BXA20" s="13"/>
      <c r="BXB20" s="13"/>
      <c r="BXC20" s="13"/>
      <c r="BXD20" s="13"/>
      <c r="BXE20" s="13"/>
      <c r="BXF20" s="13"/>
      <c r="BXG20" s="13"/>
      <c r="BXH20" s="13"/>
      <c r="BXI20" s="13"/>
      <c r="BXJ20" s="13"/>
      <c r="BXK20" s="13"/>
      <c r="BXL20" s="13"/>
      <c r="BXM20" s="13"/>
      <c r="BXN20" s="13"/>
      <c r="BXO20" s="13"/>
      <c r="BXP20" s="13"/>
      <c r="BXQ20" s="13"/>
      <c r="BXR20" s="13"/>
      <c r="BXS20" s="13"/>
      <c r="BXT20" s="13"/>
      <c r="BXU20" s="13"/>
      <c r="BXV20" s="13"/>
      <c r="BXW20" s="13"/>
      <c r="BXX20" s="13"/>
      <c r="BXY20" s="13"/>
      <c r="BXZ20" s="13"/>
      <c r="BYA20" s="13"/>
      <c r="BYB20" s="13"/>
      <c r="BYC20" s="13"/>
      <c r="BYD20" s="13"/>
      <c r="BYE20" s="13"/>
      <c r="BYF20" s="13"/>
      <c r="BYG20" s="13"/>
      <c r="BYH20" s="13"/>
      <c r="BYI20" s="13"/>
      <c r="BYJ20" s="13"/>
      <c r="BYK20" s="13"/>
      <c r="BYL20" s="13"/>
      <c r="BYM20" s="13"/>
      <c r="BYN20" s="13"/>
      <c r="BYO20" s="13"/>
      <c r="BYP20" s="13"/>
      <c r="BYQ20" s="13"/>
      <c r="BYR20" s="13"/>
      <c r="BYS20" s="13"/>
      <c r="BYT20" s="13"/>
      <c r="BYU20" s="13"/>
      <c r="BYV20" s="13"/>
      <c r="BYW20" s="13"/>
      <c r="BYX20" s="13"/>
      <c r="BYY20" s="13"/>
      <c r="BYZ20" s="13"/>
      <c r="BZA20" s="13"/>
      <c r="BZB20" s="13"/>
      <c r="BZC20" s="13"/>
      <c r="BZD20" s="13"/>
      <c r="BZE20" s="13"/>
      <c r="BZF20" s="13"/>
      <c r="BZG20" s="13"/>
      <c r="BZH20" s="13"/>
      <c r="BZI20" s="13"/>
      <c r="BZJ20" s="13"/>
      <c r="BZK20" s="13"/>
      <c r="BZL20" s="13"/>
      <c r="BZM20" s="13"/>
      <c r="BZN20" s="13"/>
      <c r="BZO20" s="13"/>
      <c r="BZP20" s="13"/>
      <c r="BZQ20" s="13"/>
      <c r="BZR20" s="13"/>
      <c r="BZS20" s="13"/>
      <c r="BZT20" s="13"/>
      <c r="BZU20" s="13"/>
      <c r="BZV20" s="13"/>
      <c r="BZW20" s="13"/>
      <c r="BZX20" s="13"/>
      <c r="BZY20" s="13"/>
      <c r="BZZ20" s="13"/>
      <c r="CAA20" s="13"/>
      <c r="CAB20" s="13"/>
      <c r="CAC20" s="13"/>
      <c r="CAD20" s="13"/>
      <c r="CAE20" s="13"/>
      <c r="CAF20" s="13"/>
      <c r="CAG20" s="13"/>
      <c r="CAH20" s="13"/>
      <c r="CAI20" s="13"/>
      <c r="CAJ20" s="13"/>
      <c r="CAK20" s="13"/>
      <c r="CAL20" s="13"/>
      <c r="CAM20" s="13"/>
      <c r="CAN20" s="13"/>
      <c r="CAO20" s="13"/>
      <c r="CAP20" s="13"/>
      <c r="CAQ20" s="13"/>
      <c r="CAR20" s="13"/>
      <c r="CAS20" s="13"/>
      <c r="CAT20" s="13"/>
      <c r="CAU20" s="13"/>
      <c r="CAV20" s="13"/>
      <c r="CAW20" s="13"/>
      <c r="CAX20" s="13"/>
      <c r="CAY20" s="13"/>
      <c r="CAZ20" s="13"/>
      <c r="CBA20" s="13"/>
      <c r="CBB20" s="13"/>
      <c r="CBC20" s="13"/>
      <c r="CBD20" s="13"/>
      <c r="CBE20" s="13"/>
      <c r="CBF20" s="13"/>
      <c r="CBG20" s="13"/>
      <c r="CBH20" s="13"/>
      <c r="CBI20" s="13"/>
      <c r="CBJ20" s="13"/>
      <c r="CBK20" s="13"/>
      <c r="CBL20" s="13"/>
      <c r="CBM20" s="13"/>
      <c r="CBN20" s="13"/>
      <c r="CBO20" s="13"/>
      <c r="CBP20" s="13"/>
      <c r="CBQ20" s="13"/>
      <c r="CBR20" s="13"/>
      <c r="CBS20" s="13"/>
      <c r="CBT20" s="13"/>
      <c r="CBU20" s="13"/>
      <c r="CBV20" s="13"/>
      <c r="CBW20" s="13"/>
      <c r="CBX20" s="13"/>
      <c r="CBY20" s="13"/>
      <c r="CBZ20" s="13"/>
      <c r="CCA20" s="13"/>
      <c r="CCB20" s="13"/>
      <c r="CCC20" s="13"/>
      <c r="CCD20" s="13"/>
      <c r="CCE20" s="13"/>
      <c r="CCF20" s="13"/>
      <c r="CCG20" s="13"/>
      <c r="CCH20" s="13"/>
      <c r="CCI20" s="13"/>
      <c r="CCJ20" s="13"/>
      <c r="CCK20" s="13"/>
      <c r="CCL20" s="13"/>
      <c r="CCM20" s="13"/>
      <c r="CCN20" s="13"/>
      <c r="CCO20" s="13"/>
      <c r="CCP20" s="13"/>
      <c r="CCQ20" s="13"/>
      <c r="CCR20" s="13"/>
      <c r="CCS20" s="13"/>
      <c r="CCT20" s="13"/>
      <c r="CCU20" s="13"/>
      <c r="CCV20" s="13"/>
      <c r="CCW20" s="13"/>
      <c r="CCX20" s="13"/>
      <c r="CCY20" s="13"/>
      <c r="CCZ20" s="13"/>
      <c r="CDA20" s="13"/>
      <c r="CDB20" s="13"/>
      <c r="CDC20" s="13"/>
      <c r="CDD20" s="13"/>
      <c r="CDE20" s="13"/>
      <c r="CDF20" s="13"/>
      <c r="CDG20" s="13"/>
      <c r="CDH20" s="13"/>
      <c r="CDI20" s="13"/>
      <c r="CDJ20" s="13"/>
      <c r="CDK20" s="13"/>
      <c r="CDL20" s="13"/>
      <c r="CDM20" s="13"/>
      <c r="CDN20" s="13"/>
      <c r="CDO20" s="13"/>
      <c r="CDP20" s="13"/>
      <c r="CDQ20" s="13"/>
      <c r="CDR20" s="13"/>
      <c r="CDS20" s="13"/>
      <c r="CDT20" s="13"/>
      <c r="CDU20" s="13"/>
      <c r="CDV20" s="13"/>
      <c r="CDW20" s="13"/>
      <c r="CDX20" s="13"/>
      <c r="CDY20" s="13"/>
      <c r="CDZ20" s="13"/>
      <c r="CEA20" s="13"/>
      <c r="CEB20" s="13"/>
      <c r="CEC20" s="13"/>
      <c r="CED20" s="13"/>
      <c r="CEE20" s="13"/>
      <c r="CEF20" s="13"/>
      <c r="CEG20" s="13"/>
      <c r="CEH20" s="13"/>
      <c r="CEI20" s="13"/>
      <c r="CEJ20" s="13"/>
      <c r="CEK20" s="13"/>
      <c r="CEL20" s="13"/>
      <c r="CEM20" s="13"/>
      <c r="CEN20" s="13"/>
      <c r="CEO20" s="13"/>
      <c r="CEP20" s="13"/>
      <c r="CEQ20" s="13"/>
      <c r="CER20" s="13"/>
      <c r="CES20" s="13"/>
      <c r="CET20" s="13"/>
      <c r="CEU20" s="13"/>
      <c r="CEV20" s="13"/>
      <c r="CEW20" s="13"/>
      <c r="CEX20" s="13"/>
      <c r="CEY20" s="13"/>
      <c r="CEZ20" s="13"/>
      <c r="CFA20" s="13"/>
      <c r="CFB20" s="13"/>
      <c r="CFC20" s="13"/>
      <c r="CFD20" s="13"/>
      <c r="CFE20" s="13"/>
      <c r="CFF20" s="13"/>
      <c r="CFG20" s="13"/>
      <c r="CFH20" s="13"/>
      <c r="CFI20" s="13"/>
      <c r="CFJ20" s="13"/>
      <c r="CFK20" s="13"/>
      <c r="CFL20" s="13"/>
      <c r="CFM20" s="13"/>
      <c r="CFN20" s="13"/>
      <c r="CFO20" s="13"/>
      <c r="CFP20" s="13"/>
      <c r="CFQ20" s="13"/>
      <c r="CFR20" s="13"/>
      <c r="CFS20" s="13"/>
      <c r="CFT20" s="13"/>
      <c r="CFU20" s="13"/>
      <c r="CFV20" s="13"/>
      <c r="CFW20" s="13"/>
      <c r="CFX20" s="13"/>
      <c r="CFY20" s="13"/>
      <c r="CFZ20" s="13"/>
      <c r="CGA20" s="13"/>
      <c r="CGB20" s="13"/>
      <c r="CGC20" s="13"/>
      <c r="CGD20" s="13"/>
      <c r="CGE20" s="13"/>
      <c r="CGF20" s="13"/>
      <c r="CGG20" s="13"/>
      <c r="CGH20" s="13"/>
      <c r="CGI20" s="13"/>
      <c r="CGJ20" s="13"/>
      <c r="CGK20" s="13"/>
      <c r="CGL20" s="13"/>
      <c r="CGM20" s="13"/>
      <c r="CGN20" s="13"/>
      <c r="CGO20" s="13"/>
      <c r="CGP20" s="13"/>
      <c r="CGQ20" s="13"/>
      <c r="CGR20" s="13"/>
      <c r="CGS20" s="13"/>
      <c r="CGT20" s="13"/>
      <c r="CGU20" s="13"/>
      <c r="CGV20" s="13"/>
      <c r="CGW20" s="13"/>
      <c r="CGX20" s="13"/>
      <c r="CGY20" s="13"/>
      <c r="CGZ20" s="13"/>
      <c r="CHA20" s="13"/>
      <c r="CHB20" s="13"/>
      <c r="CHC20" s="13"/>
      <c r="CHD20" s="13"/>
      <c r="CHE20" s="13"/>
      <c r="CHF20" s="13"/>
      <c r="CHG20" s="13"/>
      <c r="CHH20" s="13"/>
      <c r="CHI20" s="13"/>
      <c r="CHJ20" s="13"/>
      <c r="CHK20" s="13"/>
      <c r="CHL20" s="13"/>
      <c r="CHM20" s="13"/>
      <c r="CHN20" s="13"/>
      <c r="CHO20" s="13"/>
      <c r="CHP20" s="13"/>
      <c r="CHQ20" s="13"/>
      <c r="CHR20" s="13"/>
      <c r="CHS20" s="13"/>
      <c r="CHT20" s="13"/>
      <c r="CHU20" s="13"/>
      <c r="CHV20" s="13"/>
      <c r="CHW20" s="13"/>
      <c r="CHX20" s="13"/>
      <c r="CHY20" s="13"/>
      <c r="CHZ20" s="13"/>
      <c r="CIA20" s="13"/>
      <c r="CIB20" s="13"/>
      <c r="CIC20" s="13"/>
      <c r="CID20" s="13"/>
      <c r="CIE20" s="13"/>
      <c r="CIF20" s="13"/>
      <c r="CIG20" s="13"/>
      <c r="CIH20" s="13"/>
      <c r="CII20" s="13"/>
      <c r="CIJ20" s="13"/>
      <c r="CIK20" s="13"/>
      <c r="CIL20" s="13"/>
      <c r="CIM20" s="13"/>
      <c r="CIN20" s="13"/>
      <c r="CIO20" s="13"/>
      <c r="CIP20" s="13"/>
      <c r="CIQ20" s="13"/>
      <c r="CIR20" s="13"/>
      <c r="CIS20" s="13"/>
      <c r="CIT20" s="13"/>
      <c r="CIU20" s="13"/>
      <c r="CIV20" s="13"/>
      <c r="CIW20" s="13"/>
      <c r="CIX20" s="13"/>
      <c r="CIY20" s="13"/>
      <c r="CIZ20" s="13"/>
      <c r="CJA20" s="13"/>
      <c r="CJB20" s="13"/>
      <c r="CJC20" s="13"/>
      <c r="CJD20" s="13"/>
      <c r="CJE20" s="13"/>
      <c r="CJF20" s="13"/>
      <c r="CJG20" s="13"/>
      <c r="CJH20" s="13"/>
      <c r="CJI20" s="13"/>
      <c r="CJJ20" s="13"/>
      <c r="CJK20" s="13"/>
      <c r="CJL20" s="13"/>
      <c r="CJM20" s="13"/>
      <c r="CJN20" s="13"/>
      <c r="CJO20" s="13"/>
      <c r="CJP20" s="13"/>
      <c r="CJQ20" s="13"/>
      <c r="CJR20" s="13"/>
      <c r="CJS20" s="13"/>
      <c r="CJT20" s="13"/>
      <c r="CJU20" s="13"/>
      <c r="CJV20" s="13"/>
      <c r="CJW20" s="13"/>
      <c r="CJX20" s="13"/>
      <c r="CJY20" s="13"/>
      <c r="CJZ20" s="13"/>
      <c r="CKA20" s="13"/>
      <c r="CKB20" s="13"/>
      <c r="CKC20" s="13"/>
      <c r="CKD20" s="13"/>
      <c r="CKE20" s="13"/>
      <c r="CKF20" s="13"/>
      <c r="CKG20" s="13"/>
      <c r="CKH20" s="13"/>
      <c r="CKI20" s="13"/>
      <c r="CKJ20" s="13"/>
      <c r="CKK20" s="13"/>
      <c r="CKL20" s="13"/>
      <c r="CKM20" s="13"/>
      <c r="CKN20" s="13"/>
      <c r="CKO20" s="13"/>
      <c r="CKP20" s="13"/>
      <c r="CKQ20" s="13"/>
      <c r="CKR20" s="13"/>
      <c r="CKS20" s="13"/>
      <c r="CKT20" s="13"/>
      <c r="CKU20" s="13"/>
      <c r="CKV20" s="13"/>
      <c r="CKW20" s="13"/>
      <c r="CKX20" s="13"/>
      <c r="CKY20" s="13"/>
      <c r="CKZ20" s="13"/>
      <c r="CLA20" s="13"/>
      <c r="CLB20" s="13"/>
      <c r="CLC20" s="13"/>
      <c r="CLD20" s="13"/>
      <c r="CLE20" s="13"/>
      <c r="CLF20" s="13"/>
      <c r="CLG20" s="13"/>
      <c r="CLH20" s="13"/>
      <c r="CLI20" s="13"/>
      <c r="CLJ20" s="13"/>
      <c r="CLK20" s="13"/>
      <c r="CLL20" s="13"/>
      <c r="CLM20" s="13"/>
      <c r="CLN20" s="13"/>
      <c r="CLO20" s="13"/>
      <c r="CLP20" s="13"/>
      <c r="CLQ20" s="13"/>
      <c r="CLR20" s="13"/>
      <c r="CLS20" s="13"/>
      <c r="CLT20" s="13"/>
      <c r="CLU20" s="13"/>
      <c r="CLV20" s="13"/>
      <c r="CLW20" s="13"/>
      <c r="CLX20" s="13"/>
      <c r="CLY20" s="13"/>
      <c r="CLZ20" s="13"/>
      <c r="CMA20" s="13"/>
      <c r="CMB20" s="13"/>
      <c r="CMC20" s="13"/>
      <c r="CMD20" s="13"/>
      <c r="CME20" s="13"/>
      <c r="CMF20" s="13"/>
      <c r="CMG20" s="13"/>
      <c r="CMH20" s="13"/>
      <c r="CMI20" s="13"/>
      <c r="CMJ20" s="13"/>
      <c r="CMK20" s="13"/>
      <c r="CML20" s="13"/>
      <c r="CMM20" s="13"/>
      <c r="CMN20" s="13"/>
      <c r="CMO20" s="13"/>
      <c r="CMP20" s="13"/>
      <c r="CMQ20" s="13"/>
      <c r="CMR20" s="13"/>
      <c r="CMS20" s="13"/>
      <c r="CMT20" s="13"/>
      <c r="CMU20" s="13"/>
      <c r="CMV20" s="13"/>
      <c r="CMW20" s="13"/>
      <c r="CMX20" s="13"/>
      <c r="CMY20" s="13"/>
      <c r="CMZ20" s="13"/>
      <c r="CNA20" s="13"/>
      <c r="CNB20" s="13"/>
      <c r="CNC20" s="13"/>
      <c r="CND20" s="13"/>
      <c r="CNE20" s="13"/>
      <c r="CNF20" s="13"/>
      <c r="CNG20" s="13"/>
      <c r="CNH20" s="13"/>
      <c r="CNI20" s="13"/>
      <c r="CNJ20" s="13"/>
      <c r="CNK20" s="13"/>
      <c r="CNL20" s="13"/>
      <c r="CNM20" s="13"/>
      <c r="CNN20" s="13"/>
      <c r="CNO20" s="13"/>
      <c r="CNP20" s="13"/>
      <c r="CNQ20" s="13"/>
      <c r="CNR20" s="13"/>
      <c r="CNS20" s="13"/>
      <c r="CNT20" s="13"/>
      <c r="CNU20" s="13"/>
      <c r="CNV20" s="13"/>
      <c r="CNW20" s="13"/>
      <c r="CNX20" s="13"/>
      <c r="CNY20" s="13"/>
      <c r="CNZ20" s="13"/>
      <c r="COA20" s="13"/>
      <c r="COB20" s="13"/>
      <c r="COC20" s="13"/>
      <c r="COD20" s="13"/>
      <c r="COE20" s="13"/>
      <c r="COF20" s="13"/>
      <c r="COG20" s="13"/>
      <c r="COH20" s="13"/>
      <c r="COI20" s="13"/>
      <c r="COJ20" s="13"/>
      <c r="COK20" s="13"/>
      <c r="COL20" s="13"/>
      <c r="COM20" s="13"/>
      <c r="CON20" s="13"/>
      <c r="COO20" s="13"/>
      <c r="COP20" s="13"/>
      <c r="COQ20" s="13"/>
      <c r="COR20" s="13"/>
      <c r="COS20" s="13"/>
      <c r="COT20" s="13"/>
      <c r="COU20" s="13"/>
      <c r="COV20" s="13"/>
      <c r="COW20" s="13"/>
      <c r="COX20" s="13"/>
      <c r="COY20" s="13"/>
      <c r="COZ20" s="13"/>
      <c r="CPA20" s="13"/>
      <c r="CPB20" s="13"/>
      <c r="CPC20" s="13"/>
      <c r="CPD20" s="13"/>
      <c r="CPE20" s="13"/>
      <c r="CPF20" s="13"/>
      <c r="CPG20" s="13"/>
      <c r="CPH20" s="13"/>
      <c r="CPI20" s="13"/>
      <c r="CPJ20" s="13"/>
      <c r="CPK20" s="13"/>
      <c r="CPL20" s="13"/>
      <c r="CPM20" s="13"/>
      <c r="CPN20" s="13"/>
      <c r="CPO20" s="13"/>
      <c r="CPP20" s="13"/>
      <c r="CPQ20" s="13"/>
      <c r="CPR20" s="13"/>
      <c r="CPS20" s="13"/>
      <c r="CPT20" s="13"/>
      <c r="CPU20" s="13"/>
      <c r="CPV20" s="13"/>
      <c r="CPW20" s="13"/>
      <c r="CPX20" s="13"/>
      <c r="CPY20" s="13"/>
      <c r="CPZ20" s="13"/>
      <c r="CQA20" s="13"/>
      <c r="CQB20" s="13"/>
      <c r="CQC20" s="13"/>
      <c r="CQD20" s="13"/>
      <c r="CQE20" s="13"/>
      <c r="CQF20" s="13"/>
      <c r="CQG20" s="13"/>
      <c r="CQH20" s="13"/>
      <c r="CQI20" s="13"/>
      <c r="CQJ20" s="13"/>
      <c r="CQK20" s="13"/>
      <c r="CQL20" s="13"/>
      <c r="CQM20" s="13"/>
      <c r="CQN20" s="13"/>
      <c r="CQO20" s="13"/>
      <c r="CQP20" s="13"/>
      <c r="CQQ20" s="13"/>
      <c r="CQR20" s="13"/>
      <c r="CQS20" s="13"/>
      <c r="CQT20" s="13"/>
      <c r="CQU20" s="13"/>
      <c r="CQV20" s="13"/>
      <c r="CQW20" s="13"/>
      <c r="CQX20" s="13"/>
      <c r="CQY20" s="13"/>
      <c r="CQZ20" s="13"/>
      <c r="CRA20" s="13"/>
      <c r="CRB20" s="13"/>
      <c r="CRC20" s="13"/>
      <c r="CRD20" s="13"/>
      <c r="CRE20" s="13"/>
      <c r="CRF20" s="13"/>
      <c r="CRG20" s="13"/>
      <c r="CRH20" s="13"/>
      <c r="CRI20" s="13"/>
      <c r="CRJ20" s="13"/>
      <c r="CRK20" s="13"/>
      <c r="CRL20" s="13"/>
      <c r="CRM20" s="13"/>
      <c r="CRN20" s="13"/>
      <c r="CRO20" s="13"/>
      <c r="CRP20" s="13"/>
      <c r="CRQ20" s="13"/>
      <c r="CRR20" s="13"/>
      <c r="CRS20" s="13"/>
      <c r="CRT20" s="13"/>
      <c r="CRU20" s="13"/>
      <c r="CRV20" s="13"/>
      <c r="CRW20" s="13"/>
      <c r="CRX20" s="13"/>
      <c r="CRY20" s="13"/>
      <c r="CRZ20" s="13"/>
      <c r="CSA20" s="13"/>
      <c r="CSB20" s="13"/>
      <c r="CSC20" s="13"/>
      <c r="CSD20" s="13"/>
      <c r="CSE20" s="13"/>
      <c r="CSF20" s="13"/>
      <c r="CSG20" s="13"/>
      <c r="CSH20" s="13"/>
      <c r="CSI20" s="13"/>
      <c r="CSJ20" s="13"/>
      <c r="CSK20" s="13"/>
      <c r="CSL20" s="13"/>
      <c r="CSM20" s="13"/>
      <c r="CSN20" s="13"/>
      <c r="CSO20" s="13"/>
      <c r="CSP20" s="13"/>
      <c r="CSQ20" s="13"/>
      <c r="CSR20" s="13"/>
      <c r="CSS20" s="13"/>
      <c r="CST20" s="13"/>
      <c r="CSU20" s="13"/>
      <c r="CSV20" s="13"/>
      <c r="CSW20" s="13"/>
      <c r="CSX20" s="13"/>
      <c r="CSY20" s="13"/>
      <c r="CSZ20" s="13"/>
      <c r="CTA20" s="13"/>
      <c r="CTB20" s="13"/>
      <c r="CTC20" s="13"/>
      <c r="CTD20" s="13"/>
      <c r="CTE20" s="13"/>
      <c r="CTF20" s="13"/>
      <c r="CTG20" s="13"/>
      <c r="CTH20" s="13"/>
      <c r="CTI20" s="13"/>
      <c r="CTJ20" s="13"/>
      <c r="CTK20" s="13"/>
      <c r="CTL20" s="13"/>
      <c r="CTM20" s="13"/>
      <c r="CTN20" s="13"/>
      <c r="CTO20" s="13"/>
      <c r="CTP20" s="13"/>
      <c r="CTQ20" s="13"/>
      <c r="CTR20" s="13"/>
      <c r="CTS20" s="13"/>
      <c r="CTT20" s="13"/>
      <c r="CTU20" s="13"/>
      <c r="CTV20" s="13"/>
      <c r="CTW20" s="13"/>
      <c r="CTX20" s="13"/>
      <c r="CTY20" s="13"/>
      <c r="CTZ20" s="13"/>
      <c r="CUA20" s="13"/>
      <c r="CUB20" s="13"/>
      <c r="CUC20" s="13"/>
      <c r="CUD20" s="13"/>
      <c r="CUE20" s="13"/>
      <c r="CUF20" s="13"/>
      <c r="CUG20" s="13"/>
      <c r="CUH20" s="13"/>
      <c r="CUI20" s="13"/>
      <c r="CUJ20" s="13"/>
      <c r="CUK20" s="13"/>
      <c r="CUL20" s="13"/>
      <c r="CUM20" s="13"/>
      <c r="CUN20" s="13"/>
      <c r="CUO20" s="13"/>
      <c r="CUP20" s="13"/>
      <c r="CUQ20" s="13"/>
      <c r="CUR20" s="13"/>
      <c r="CUS20" s="13"/>
      <c r="CUT20" s="13"/>
      <c r="CUU20" s="13"/>
      <c r="CUV20" s="13"/>
      <c r="CUW20" s="13"/>
      <c r="CUX20" s="13"/>
      <c r="CUY20" s="13"/>
      <c r="CUZ20" s="13"/>
      <c r="CVA20" s="13"/>
      <c r="CVB20" s="13"/>
      <c r="CVC20" s="13"/>
      <c r="CVD20" s="13"/>
      <c r="CVE20" s="13"/>
      <c r="CVF20" s="13"/>
      <c r="CVG20" s="13"/>
      <c r="CVH20" s="13"/>
      <c r="CVI20" s="13"/>
      <c r="CVJ20" s="13"/>
      <c r="CVK20" s="13"/>
      <c r="CVL20" s="13"/>
      <c r="CVM20" s="13"/>
      <c r="CVN20" s="13"/>
      <c r="CVO20" s="13"/>
      <c r="CVP20" s="13"/>
      <c r="CVQ20" s="13"/>
      <c r="CVR20" s="13"/>
      <c r="CVS20" s="13"/>
      <c r="CVT20" s="13"/>
      <c r="CVU20" s="13"/>
      <c r="CVV20" s="13"/>
      <c r="CVW20" s="13"/>
      <c r="CVX20" s="13"/>
      <c r="CVY20" s="13"/>
      <c r="CVZ20" s="13"/>
      <c r="CWA20" s="13"/>
      <c r="CWB20" s="13"/>
      <c r="CWC20" s="13"/>
      <c r="CWD20" s="13"/>
      <c r="CWE20" s="13"/>
      <c r="CWF20" s="13"/>
      <c r="CWG20" s="13"/>
      <c r="CWH20" s="13"/>
      <c r="CWI20" s="13"/>
      <c r="CWJ20" s="13"/>
      <c r="CWK20" s="13"/>
      <c r="CWL20" s="13"/>
      <c r="CWM20" s="13"/>
      <c r="CWN20" s="13"/>
      <c r="CWO20" s="13"/>
      <c r="CWP20" s="13"/>
      <c r="CWQ20" s="13"/>
      <c r="CWR20" s="13"/>
      <c r="CWS20" s="13"/>
      <c r="CWT20" s="13"/>
      <c r="CWU20" s="13"/>
      <c r="CWV20" s="13"/>
      <c r="CWW20" s="13"/>
      <c r="CWX20" s="13"/>
      <c r="CWY20" s="13"/>
      <c r="CWZ20" s="13"/>
      <c r="CXA20" s="13"/>
      <c r="CXB20" s="13"/>
      <c r="CXC20" s="13"/>
      <c r="CXD20" s="13"/>
      <c r="CXE20" s="13"/>
      <c r="CXF20" s="13"/>
      <c r="CXG20" s="13"/>
      <c r="CXH20" s="13"/>
      <c r="CXI20" s="13"/>
      <c r="CXJ20" s="13"/>
      <c r="CXK20" s="13"/>
      <c r="CXL20" s="13"/>
      <c r="CXM20" s="13"/>
      <c r="CXN20" s="13"/>
      <c r="CXO20" s="13"/>
      <c r="CXP20" s="13"/>
      <c r="CXQ20" s="13"/>
      <c r="CXR20" s="13"/>
      <c r="CXS20" s="13"/>
      <c r="CXT20" s="13"/>
      <c r="CXU20" s="13"/>
      <c r="CXV20" s="13"/>
      <c r="CXW20" s="13"/>
      <c r="CXX20" s="13"/>
      <c r="CXY20" s="13"/>
      <c r="CXZ20" s="13"/>
      <c r="CYA20" s="13"/>
      <c r="CYB20" s="13"/>
      <c r="CYC20" s="13"/>
      <c r="CYD20" s="13"/>
      <c r="CYE20" s="13"/>
      <c r="CYF20" s="13"/>
      <c r="CYG20" s="13"/>
      <c r="CYH20" s="13"/>
      <c r="CYI20" s="13"/>
      <c r="CYJ20" s="13"/>
      <c r="CYK20" s="13"/>
      <c r="CYL20" s="13"/>
      <c r="CYM20" s="13"/>
      <c r="CYN20" s="13"/>
      <c r="CYO20" s="13"/>
      <c r="CYP20" s="13"/>
      <c r="CYQ20" s="13"/>
      <c r="CYR20" s="13"/>
      <c r="CYS20" s="13"/>
      <c r="CYT20" s="13"/>
      <c r="CYU20" s="13"/>
      <c r="CYV20" s="13"/>
      <c r="CYW20" s="13"/>
      <c r="CYX20" s="13"/>
      <c r="CYY20" s="13"/>
      <c r="CYZ20" s="13"/>
      <c r="CZA20" s="13"/>
      <c r="CZB20" s="13"/>
      <c r="CZC20" s="13"/>
      <c r="CZD20" s="13"/>
      <c r="CZE20" s="13"/>
      <c r="CZF20" s="13"/>
      <c r="CZG20" s="13"/>
      <c r="CZH20" s="13"/>
      <c r="CZI20" s="13"/>
      <c r="CZJ20" s="13"/>
      <c r="CZK20" s="13"/>
      <c r="CZL20" s="13"/>
      <c r="CZM20" s="13"/>
      <c r="CZN20" s="13"/>
      <c r="CZO20" s="13"/>
      <c r="CZP20" s="13"/>
      <c r="CZQ20" s="13"/>
      <c r="CZR20" s="13"/>
      <c r="CZS20" s="13"/>
      <c r="CZT20" s="13"/>
      <c r="CZU20" s="13"/>
      <c r="CZV20" s="13"/>
      <c r="CZW20" s="13"/>
      <c r="CZX20" s="13"/>
      <c r="CZY20" s="13"/>
      <c r="CZZ20" s="13"/>
      <c r="DAA20" s="13"/>
      <c r="DAB20" s="13"/>
      <c r="DAC20" s="13"/>
      <c r="DAD20" s="13"/>
      <c r="DAE20" s="13"/>
      <c r="DAF20" s="13"/>
      <c r="DAG20" s="13"/>
      <c r="DAH20" s="13"/>
      <c r="DAI20" s="13"/>
      <c r="DAJ20" s="13"/>
      <c r="DAK20" s="13"/>
      <c r="DAL20" s="13"/>
      <c r="DAM20" s="13"/>
      <c r="DAN20" s="13"/>
      <c r="DAO20" s="13"/>
      <c r="DAP20" s="13"/>
      <c r="DAQ20" s="13"/>
      <c r="DAR20" s="13"/>
      <c r="DAS20" s="13"/>
      <c r="DAT20" s="13"/>
      <c r="DAU20" s="13"/>
      <c r="DAV20" s="13"/>
      <c r="DAW20" s="13"/>
      <c r="DAX20" s="13"/>
      <c r="DAY20" s="13"/>
      <c r="DAZ20" s="13"/>
      <c r="DBA20" s="13"/>
      <c r="DBB20" s="13"/>
      <c r="DBC20" s="13"/>
      <c r="DBD20" s="13"/>
      <c r="DBE20" s="13"/>
      <c r="DBF20" s="13"/>
      <c r="DBG20" s="13"/>
      <c r="DBH20" s="13"/>
      <c r="DBI20" s="13"/>
      <c r="DBJ20" s="13"/>
      <c r="DBK20" s="13"/>
      <c r="DBL20" s="13"/>
      <c r="DBM20" s="13"/>
      <c r="DBN20" s="13"/>
      <c r="DBO20" s="13"/>
      <c r="DBP20" s="13"/>
      <c r="DBQ20" s="13"/>
      <c r="DBR20" s="13"/>
      <c r="DBS20" s="13"/>
      <c r="DBT20" s="13"/>
      <c r="DBU20" s="13"/>
      <c r="DBV20" s="13"/>
      <c r="DBW20" s="13"/>
      <c r="DBX20" s="13"/>
      <c r="DBY20" s="13"/>
      <c r="DBZ20" s="13"/>
      <c r="DCA20" s="13"/>
      <c r="DCB20" s="13"/>
      <c r="DCC20" s="13"/>
      <c r="DCD20" s="13"/>
      <c r="DCE20" s="13"/>
      <c r="DCF20" s="13"/>
      <c r="DCG20" s="13"/>
      <c r="DCH20" s="13"/>
      <c r="DCI20" s="13"/>
      <c r="DCJ20" s="13"/>
      <c r="DCK20" s="13"/>
      <c r="DCL20" s="13"/>
      <c r="DCM20" s="13"/>
      <c r="DCN20" s="13"/>
      <c r="DCO20" s="13"/>
      <c r="DCP20" s="13"/>
      <c r="DCQ20" s="13"/>
      <c r="DCR20" s="13"/>
      <c r="DCS20" s="13"/>
      <c r="DCT20" s="13"/>
      <c r="DCU20" s="13"/>
      <c r="DCV20" s="13"/>
      <c r="DCW20" s="13"/>
      <c r="DCX20" s="13"/>
      <c r="DCY20" s="13"/>
      <c r="DCZ20" s="13"/>
      <c r="DDA20" s="13"/>
      <c r="DDB20" s="13"/>
      <c r="DDC20" s="13"/>
      <c r="DDD20" s="13"/>
      <c r="DDE20" s="13"/>
      <c r="DDF20" s="13"/>
      <c r="DDG20" s="13"/>
      <c r="DDH20" s="13"/>
      <c r="DDI20" s="13"/>
      <c r="DDJ20" s="13"/>
      <c r="DDK20" s="13"/>
      <c r="DDL20" s="13"/>
      <c r="DDM20" s="13"/>
      <c r="DDN20" s="13"/>
      <c r="DDO20" s="13"/>
      <c r="DDP20" s="13"/>
      <c r="DDQ20" s="13"/>
      <c r="DDR20" s="13"/>
      <c r="DDS20" s="13"/>
      <c r="DDT20" s="13"/>
      <c r="DDU20" s="13"/>
      <c r="DDV20" s="13"/>
      <c r="DDW20" s="13"/>
      <c r="DDX20" s="13"/>
      <c r="DDY20" s="13"/>
      <c r="DDZ20" s="13"/>
      <c r="DEA20" s="13"/>
      <c r="DEB20" s="13"/>
      <c r="DEC20" s="13"/>
      <c r="DED20" s="13"/>
      <c r="DEE20" s="13"/>
      <c r="DEF20" s="13"/>
      <c r="DEG20" s="13"/>
      <c r="DEH20" s="13"/>
      <c r="DEI20" s="13"/>
      <c r="DEJ20" s="13"/>
      <c r="DEK20" s="13"/>
      <c r="DEL20" s="13"/>
      <c r="DEM20" s="13"/>
      <c r="DEN20" s="13"/>
      <c r="DEO20" s="13"/>
      <c r="DEP20" s="13"/>
      <c r="DEQ20" s="13"/>
      <c r="DER20" s="13"/>
      <c r="DES20" s="13"/>
      <c r="DET20" s="13"/>
      <c r="DEU20" s="13"/>
      <c r="DEV20" s="13"/>
      <c r="DEW20" s="13"/>
      <c r="DEX20" s="13"/>
      <c r="DEY20" s="13"/>
      <c r="DEZ20" s="13"/>
      <c r="DFA20" s="13"/>
      <c r="DFB20" s="13"/>
      <c r="DFC20" s="13"/>
      <c r="DFD20" s="13"/>
      <c r="DFE20" s="13"/>
      <c r="DFF20" s="13"/>
      <c r="DFG20" s="13"/>
      <c r="DFH20" s="13"/>
      <c r="DFI20" s="13"/>
      <c r="DFJ20" s="13"/>
      <c r="DFK20" s="13"/>
      <c r="DFL20" s="13"/>
      <c r="DFM20" s="13"/>
      <c r="DFN20" s="13"/>
      <c r="DFO20" s="13"/>
      <c r="DFP20" s="13"/>
      <c r="DFQ20" s="13"/>
      <c r="DFR20" s="13"/>
      <c r="DFS20" s="13"/>
      <c r="DFT20" s="13"/>
      <c r="DFU20" s="13"/>
      <c r="DFV20" s="13"/>
      <c r="DFW20" s="13"/>
      <c r="DFX20" s="13"/>
      <c r="DFY20" s="13"/>
      <c r="DFZ20" s="13"/>
      <c r="DGA20" s="13"/>
      <c r="DGB20" s="13"/>
      <c r="DGC20" s="13"/>
      <c r="DGD20" s="13"/>
      <c r="DGE20" s="13"/>
      <c r="DGF20" s="13"/>
      <c r="DGG20" s="13"/>
      <c r="DGH20" s="13"/>
      <c r="DGI20" s="13"/>
      <c r="DGJ20" s="13"/>
      <c r="DGK20" s="13"/>
      <c r="DGL20" s="13"/>
      <c r="DGM20" s="13"/>
      <c r="DGN20" s="13"/>
      <c r="DGO20" s="13"/>
      <c r="DGP20" s="13"/>
      <c r="DGQ20" s="13"/>
      <c r="DGR20" s="13"/>
      <c r="DGS20" s="13"/>
      <c r="DGT20" s="13"/>
      <c r="DGU20" s="13"/>
      <c r="DGV20" s="13"/>
      <c r="DGW20" s="13"/>
      <c r="DGX20" s="13"/>
      <c r="DGY20" s="13"/>
      <c r="DGZ20" s="13"/>
      <c r="DHA20" s="13"/>
      <c r="DHB20" s="13"/>
      <c r="DHC20" s="13"/>
      <c r="DHD20" s="13"/>
      <c r="DHE20" s="13"/>
      <c r="DHF20" s="13"/>
      <c r="DHG20" s="13"/>
      <c r="DHH20" s="13"/>
      <c r="DHI20" s="13"/>
      <c r="DHJ20" s="13"/>
      <c r="DHK20" s="13"/>
      <c r="DHL20" s="13"/>
      <c r="DHM20" s="13"/>
      <c r="DHN20" s="13"/>
      <c r="DHO20" s="13"/>
      <c r="DHP20" s="13"/>
      <c r="DHQ20" s="13"/>
      <c r="DHR20" s="13"/>
      <c r="DHS20" s="13"/>
      <c r="DHT20" s="13"/>
      <c r="DHU20" s="13"/>
      <c r="DHV20" s="13"/>
      <c r="DHW20" s="13"/>
      <c r="DHX20" s="13"/>
      <c r="DHY20" s="13"/>
      <c r="DHZ20" s="13"/>
      <c r="DIA20" s="13"/>
      <c r="DIB20" s="13"/>
      <c r="DIC20" s="13"/>
      <c r="DID20" s="13"/>
      <c r="DIE20" s="13"/>
      <c r="DIF20" s="13"/>
      <c r="DIG20" s="13"/>
      <c r="DIH20" s="13"/>
      <c r="DII20" s="13"/>
      <c r="DIJ20" s="13"/>
      <c r="DIK20" s="13"/>
      <c r="DIL20" s="13"/>
      <c r="DIM20" s="13"/>
      <c r="DIN20" s="13"/>
      <c r="DIO20" s="13"/>
      <c r="DIP20" s="13"/>
      <c r="DIQ20" s="13"/>
      <c r="DIR20" s="13"/>
      <c r="DIS20" s="13"/>
      <c r="DIT20" s="13"/>
      <c r="DIU20" s="13"/>
      <c r="DIV20" s="13"/>
      <c r="DIW20" s="13"/>
      <c r="DIX20" s="13"/>
      <c r="DIY20" s="13"/>
      <c r="DIZ20" s="13"/>
      <c r="DJA20" s="13"/>
      <c r="DJB20" s="13"/>
      <c r="DJC20" s="13"/>
      <c r="DJD20" s="13"/>
      <c r="DJE20" s="13"/>
      <c r="DJF20" s="13"/>
      <c r="DJG20" s="13"/>
      <c r="DJH20" s="13"/>
      <c r="DJI20" s="13"/>
      <c r="DJJ20" s="13"/>
      <c r="DJK20" s="13"/>
      <c r="DJL20" s="13"/>
      <c r="DJM20" s="13"/>
      <c r="DJN20" s="13"/>
      <c r="DJO20" s="13"/>
      <c r="DJP20" s="13"/>
      <c r="DJQ20" s="13"/>
      <c r="DJR20" s="13"/>
      <c r="DJS20" s="13"/>
      <c r="DJT20" s="13"/>
      <c r="DJU20" s="13"/>
      <c r="DJV20" s="13"/>
      <c r="DJW20" s="13"/>
      <c r="DJX20" s="13"/>
      <c r="DJY20" s="13"/>
      <c r="DJZ20" s="13"/>
      <c r="DKA20" s="13"/>
      <c r="DKB20" s="13"/>
      <c r="DKC20" s="13"/>
      <c r="DKD20" s="13"/>
      <c r="DKE20" s="13"/>
      <c r="DKF20" s="13"/>
      <c r="DKG20" s="13"/>
      <c r="DKH20" s="13"/>
      <c r="DKI20" s="13"/>
      <c r="DKJ20" s="13"/>
      <c r="DKK20" s="13"/>
      <c r="DKL20" s="13"/>
      <c r="DKM20" s="13"/>
      <c r="DKN20" s="13"/>
      <c r="DKO20" s="13"/>
      <c r="DKP20" s="13"/>
      <c r="DKQ20" s="13"/>
      <c r="DKR20" s="13"/>
      <c r="DKS20" s="13"/>
      <c r="DKT20" s="13"/>
      <c r="DKU20" s="13"/>
      <c r="DKV20" s="13"/>
      <c r="DKW20" s="13"/>
      <c r="DKX20" s="13"/>
      <c r="DKY20" s="13"/>
      <c r="DKZ20" s="13"/>
      <c r="DLA20" s="13"/>
      <c r="DLB20" s="13"/>
      <c r="DLC20" s="13"/>
      <c r="DLD20" s="13"/>
      <c r="DLE20" s="13"/>
      <c r="DLF20" s="13"/>
      <c r="DLG20" s="13"/>
      <c r="DLH20" s="13"/>
      <c r="DLI20" s="13"/>
      <c r="DLJ20" s="13"/>
      <c r="DLK20" s="13"/>
      <c r="DLL20" s="13"/>
      <c r="DLM20" s="13"/>
      <c r="DLN20" s="13"/>
      <c r="DLO20" s="13"/>
      <c r="DLP20" s="13"/>
      <c r="DLQ20" s="13"/>
      <c r="DLR20" s="13"/>
      <c r="DLS20" s="13"/>
      <c r="DLT20" s="13"/>
      <c r="DLU20" s="13"/>
      <c r="DLV20" s="13"/>
      <c r="DLW20" s="13"/>
      <c r="DLX20" s="13"/>
      <c r="DLY20" s="13"/>
      <c r="DLZ20" s="13"/>
      <c r="DMA20" s="13"/>
      <c r="DMB20" s="13"/>
      <c r="DMC20" s="13"/>
      <c r="DMD20" s="13"/>
      <c r="DME20" s="13"/>
      <c r="DMF20" s="13"/>
      <c r="DMG20" s="13"/>
      <c r="DMH20" s="13"/>
      <c r="DMI20" s="13"/>
      <c r="DMJ20" s="13"/>
      <c r="DMK20" s="13"/>
      <c r="DML20" s="13"/>
      <c r="DMM20" s="13"/>
      <c r="DMN20" s="13"/>
      <c r="DMO20" s="13"/>
      <c r="DMP20" s="13"/>
      <c r="DMQ20" s="13"/>
      <c r="DMR20" s="13"/>
      <c r="DMS20" s="13"/>
      <c r="DMT20" s="13"/>
      <c r="DMU20" s="13"/>
      <c r="DMV20" s="13"/>
      <c r="DMW20" s="13"/>
      <c r="DMX20" s="13"/>
      <c r="DMY20" s="13"/>
      <c r="DMZ20" s="13"/>
      <c r="DNA20" s="13"/>
      <c r="DNB20" s="13"/>
      <c r="DNC20" s="13"/>
      <c r="DND20" s="13"/>
      <c r="DNE20" s="13"/>
      <c r="DNF20" s="13"/>
      <c r="DNG20" s="13"/>
      <c r="DNH20" s="13"/>
      <c r="DNI20" s="13"/>
      <c r="DNJ20" s="13"/>
      <c r="DNK20" s="13"/>
      <c r="DNL20" s="13"/>
      <c r="DNM20" s="13"/>
      <c r="DNN20" s="13"/>
      <c r="DNO20" s="13"/>
      <c r="DNP20" s="13"/>
      <c r="DNQ20" s="13"/>
      <c r="DNR20" s="13"/>
      <c r="DNS20" s="13"/>
      <c r="DNT20" s="13"/>
      <c r="DNU20" s="13"/>
      <c r="DNV20" s="13"/>
      <c r="DNW20" s="13"/>
      <c r="DNX20" s="13"/>
      <c r="DNY20" s="13"/>
      <c r="DNZ20" s="13"/>
      <c r="DOA20" s="13"/>
      <c r="DOB20" s="13"/>
      <c r="DOC20" s="13"/>
      <c r="DOD20" s="13"/>
      <c r="DOE20" s="13"/>
      <c r="DOF20" s="13"/>
      <c r="DOG20" s="13"/>
      <c r="DOH20" s="13"/>
      <c r="DOI20" s="13"/>
      <c r="DOJ20" s="13"/>
      <c r="DOK20" s="13"/>
      <c r="DOL20" s="13"/>
      <c r="DOM20" s="13"/>
      <c r="DON20" s="13"/>
      <c r="DOO20" s="13"/>
      <c r="DOP20" s="13"/>
      <c r="DOQ20" s="13"/>
      <c r="DOR20" s="13"/>
      <c r="DOS20" s="13"/>
      <c r="DOT20" s="13"/>
      <c r="DOU20" s="13"/>
      <c r="DOV20" s="13"/>
      <c r="DOW20" s="13"/>
      <c r="DOX20" s="13"/>
      <c r="DOY20" s="13"/>
      <c r="DOZ20" s="13"/>
      <c r="DPA20" s="13"/>
      <c r="DPB20" s="13"/>
      <c r="DPC20" s="13"/>
      <c r="DPD20" s="13"/>
      <c r="DPE20" s="13"/>
      <c r="DPF20" s="13"/>
      <c r="DPG20" s="13"/>
      <c r="DPH20" s="13"/>
      <c r="DPI20" s="13"/>
      <c r="DPJ20" s="13"/>
      <c r="DPK20" s="13"/>
      <c r="DPL20" s="13"/>
      <c r="DPM20" s="13"/>
      <c r="DPN20" s="13"/>
      <c r="DPO20" s="13"/>
      <c r="DPP20" s="13"/>
      <c r="DPQ20" s="13"/>
      <c r="DPR20" s="13"/>
      <c r="DPS20" s="13"/>
      <c r="DPT20" s="13"/>
      <c r="DPU20" s="13"/>
      <c r="DPV20" s="13"/>
      <c r="DPW20" s="13"/>
      <c r="DPX20" s="13"/>
      <c r="DPY20" s="13"/>
      <c r="DPZ20" s="13"/>
      <c r="DQA20" s="13"/>
      <c r="DQB20" s="13"/>
      <c r="DQC20" s="13"/>
      <c r="DQD20" s="13"/>
      <c r="DQE20" s="13"/>
      <c r="DQF20" s="13"/>
      <c r="DQG20" s="13"/>
      <c r="DQH20" s="13"/>
      <c r="DQI20" s="13"/>
      <c r="DQJ20" s="13"/>
      <c r="DQK20" s="13"/>
      <c r="DQL20" s="13"/>
      <c r="DQM20" s="13"/>
      <c r="DQN20" s="13"/>
      <c r="DQO20" s="13"/>
      <c r="DQP20" s="13"/>
      <c r="DQQ20" s="13"/>
      <c r="DQR20" s="13"/>
      <c r="DQS20" s="13"/>
      <c r="DQT20" s="13"/>
      <c r="DQU20" s="13"/>
      <c r="DQV20" s="13"/>
      <c r="DQW20" s="13"/>
      <c r="DQX20" s="13"/>
      <c r="DQY20" s="13"/>
      <c r="DQZ20" s="13"/>
      <c r="DRA20" s="13"/>
      <c r="DRB20" s="13"/>
      <c r="DRC20" s="13"/>
      <c r="DRD20" s="13"/>
      <c r="DRE20" s="13"/>
      <c r="DRF20" s="13"/>
      <c r="DRG20" s="13"/>
      <c r="DRH20" s="13"/>
      <c r="DRI20" s="13"/>
      <c r="DRJ20" s="13"/>
      <c r="DRK20" s="13"/>
      <c r="DRL20" s="13"/>
      <c r="DRM20" s="13"/>
      <c r="DRN20" s="13"/>
      <c r="DRO20" s="13"/>
      <c r="DRP20" s="13"/>
      <c r="DRQ20" s="13"/>
      <c r="DRR20" s="13"/>
      <c r="DRS20" s="13"/>
      <c r="DRT20" s="13"/>
      <c r="DRU20" s="13"/>
      <c r="DRV20" s="13"/>
      <c r="DRW20" s="13"/>
      <c r="DRX20" s="13"/>
      <c r="DRY20" s="13"/>
      <c r="DRZ20" s="13"/>
      <c r="DSA20" s="13"/>
      <c r="DSB20" s="13"/>
      <c r="DSC20" s="13"/>
      <c r="DSD20" s="13"/>
      <c r="DSE20" s="13"/>
      <c r="DSF20" s="13"/>
      <c r="DSG20" s="13"/>
      <c r="DSH20" s="13"/>
      <c r="DSI20" s="13"/>
      <c r="DSJ20" s="13"/>
      <c r="DSK20" s="13"/>
      <c r="DSL20" s="13"/>
      <c r="DSM20" s="13"/>
      <c r="DSN20" s="13"/>
      <c r="DSO20" s="13"/>
      <c r="DSP20" s="13"/>
      <c r="DSQ20" s="13"/>
      <c r="DSR20" s="13"/>
      <c r="DSS20" s="13"/>
      <c r="DST20" s="13"/>
      <c r="DSU20" s="13"/>
      <c r="DSV20" s="13"/>
      <c r="DSW20" s="13"/>
      <c r="DSX20" s="13"/>
      <c r="DSY20" s="13"/>
      <c r="DSZ20" s="13"/>
      <c r="DTA20" s="13"/>
      <c r="DTB20" s="13"/>
      <c r="DTC20" s="13"/>
      <c r="DTD20" s="13"/>
      <c r="DTE20" s="13"/>
      <c r="DTF20" s="13"/>
      <c r="DTG20" s="13"/>
      <c r="DTH20" s="13"/>
      <c r="DTI20" s="13"/>
      <c r="DTJ20" s="13"/>
      <c r="DTK20" s="13"/>
      <c r="DTL20" s="13"/>
      <c r="DTM20" s="13"/>
      <c r="DTN20" s="13"/>
      <c r="DTO20" s="13"/>
      <c r="DTP20" s="13"/>
      <c r="DTQ20" s="13"/>
      <c r="DTR20" s="13"/>
      <c r="DTS20" s="13"/>
      <c r="DTT20" s="13"/>
      <c r="DTU20" s="13"/>
      <c r="DTV20" s="13"/>
      <c r="DTW20" s="13"/>
      <c r="DTX20" s="13"/>
      <c r="DTY20" s="13"/>
      <c r="DTZ20" s="13"/>
      <c r="DUA20" s="13"/>
      <c r="DUB20" s="13"/>
      <c r="DUC20" s="13"/>
      <c r="DUD20" s="13"/>
      <c r="DUE20" s="13"/>
      <c r="DUF20" s="13"/>
      <c r="DUG20" s="13"/>
      <c r="DUH20" s="13"/>
      <c r="DUI20" s="13"/>
      <c r="DUJ20" s="13"/>
      <c r="DUK20" s="13"/>
      <c r="DUL20" s="13"/>
      <c r="DUM20" s="13"/>
      <c r="DUN20" s="13"/>
      <c r="DUO20" s="13"/>
      <c r="DUP20" s="13"/>
      <c r="DUQ20" s="13"/>
      <c r="DUR20" s="13"/>
      <c r="DUS20" s="13"/>
      <c r="DUT20" s="13"/>
      <c r="DUU20" s="13"/>
      <c r="DUV20" s="13"/>
      <c r="DUW20" s="13"/>
      <c r="DUX20" s="13"/>
      <c r="DUY20" s="13"/>
      <c r="DUZ20" s="13"/>
      <c r="DVA20" s="13"/>
      <c r="DVB20" s="13"/>
      <c r="DVC20" s="13"/>
      <c r="DVD20" s="13"/>
      <c r="DVE20" s="13"/>
      <c r="DVF20" s="13"/>
      <c r="DVG20" s="13"/>
      <c r="DVH20" s="13"/>
      <c r="DVI20" s="13"/>
      <c r="DVJ20" s="13"/>
      <c r="DVK20" s="13"/>
      <c r="DVL20" s="13"/>
      <c r="DVM20" s="13"/>
      <c r="DVN20" s="13"/>
      <c r="DVO20" s="13"/>
      <c r="DVP20" s="13"/>
      <c r="DVQ20" s="13"/>
      <c r="DVR20" s="13"/>
      <c r="DVS20" s="13"/>
      <c r="DVT20" s="13"/>
      <c r="DVU20" s="13"/>
      <c r="DVV20" s="13"/>
      <c r="DVW20" s="13"/>
      <c r="DVX20" s="13"/>
      <c r="DVY20" s="13"/>
      <c r="DVZ20" s="13"/>
      <c r="DWA20" s="13"/>
      <c r="DWB20" s="13"/>
      <c r="DWC20" s="13"/>
      <c r="DWD20" s="13"/>
      <c r="DWE20" s="13"/>
      <c r="DWF20" s="13"/>
      <c r="DWG20" s="13"/>
      <c r="DWH20" s="13"/>
      <c r="DWI20" s="13"/>
      <c r="DWJ20" s="13"/>
      <c r="DWK20" s="13"/>
      <c r="DWL20" s="13"/>
      <c r="DWM20" s="13"/>
      <c r="DWN20" s="13"/>
      <c r="DWO20" s="13"/>
      <c r="DWP20" s="13"/>
      <c r="DWQ20" s="13"/>
      <c r="DWR20" s="13"/>
      <c r="DWS20" s="13"/>
      <c r="DWT20" s="13"/>
      <c r="DWU20" s="13"/>
      <c r="DWV20" s="13"/>
      <c r="DWW20" s="13"/>
      <c r="DWX20" s="13"/>
      <c r="DWY20" s="13"/>
      <c r="DWZ20" s="13"/>
      <c r="DXA20" s="13"/>
      <c r="DXB20" s="13"/>
      <c r="DXC20" s="13"/>
      <c r="DXD20" s="13"/>
      <c r="DXE20" s="13"/>
      <c r="DXF20" s="13"/>
      <c r="DXG20" s="13"/>
      <c r="DXH20" s="13"/>
      <c r="DXI20" s="13"/>
      <c r="DXJ20" s="13"/>
      <c r="DXK20" s="13"/>
      <c r="DXL20" s="13"/>
      <c r="DXM20" s="13"/>
      <c r="DXN20" s="13"/>
      <c r="DXO20" s="13"/>
      <c r="DXP20" s="13"/>
      <c r="DXQ20" s="13"/>
      <c r="DXR20" s="13"/>
      <c r="DXS20" s="13"/>
      <c r="DXT20" s="13"/>
      <c r="DXU20" s="13"/>
      <c r="DXV20" s="13"/>
      <c r="DXW20" s="13"/>
      <c r="DXX20" s="13"/>
      <c r="DXY20" s="13"/>
      <c r="DXZ20" s="13"/>
      <c r="DYA20" s="13"/>
      <c r="DYB20" s="13"/>
      <c r="DYC20" s="13"/>
      <c r="DYD20" s="13"/>
      <c r="DYE20" s="13"/>
      <c r="DYF20" s="13"/>
      <c r="DYG20" s="13"/>
      <c r="DYH20" s="13"/>
      <c r="DYI20" s="13"/>
      <c r="DYJ20" s="13"/>
      <c r="DYK20" s="13"/>
      <c r="DYL20" s="13"/>
      <c r="DYM20" s="13"/>
      <c r="DYN20" s="13"/>
      <c r="DYO20" s="13"/>
      <c r="DYP20" s="13"/>
      <c r="DYQ20" s="13"/>
      <c r="DYR20" s="13"/>
      <c r="DYS20" s="13"/>
      <c r="DYT20" s="13"/>
      <c r="DYU20" s="13"/>
      <c r="DYV20" s="13"/>
      <c r="DYW20" s="13"/>
      <c r="DYX20" s="13"/>
      <c r="DYY20" s="13"/>
      <c r="DYZ20" s="13"/>
      <c r="DZA20" s="13"/>
      <c r="DZB20" s="13"/>
      <c r="DZC20" s="13"/>
      <c r="DZD20" s="13"/>
      <c r="DZE20" s="13"/>
      <c r="DZF20" s="13"/>
      <c r="DZG20" s="13"/>
      <c r="DZH20" s="13"/>
      <c r="DZI20" s="13"/>
      <c r="DZJ20" s="13"/>
      <c r="DZK20" s="13"/>
      <c r="DZL20" s="13"/>
      <c r="DZM20" s="13"/>
      <c r="DZN20" s="13"/>
      <c r="DZO20" s="13"/>
      <c r="DZP20" s="13"/>
      <c r="DZQ20" s="13"/>
      <c r="DZR20" s="13"/>
      <c r="DZS20" s="13"/>
      <c r="DZT20" s="13"/>
      <c r="DZU20" s="13"/>
      <c r="DZV20" s="13"/>
      <c r="DZW20" s="13"/>
      <c r="DZX20" s="13"/>
      <c r="DZY20" s="13"/>
      <c r="DZZ20" s="13"/>
      <c r="EAA20" s="13"/>
      <c r="EAB20" s="13"/>
      <c r="EAC20" s="13"/>
      <c r="EAD20" s="13"/>
      <c r="EAE20" s="13"/>
      <c r="EAF20" s="13"/>
      <c r="EAG20" s="13"/>
      <c r="EAH20" s="13"/>
      <c r="EAI20" s="13"/>
      <c r="EAJ20" s="13"/>
      <c r="EAK20" s="13"/>
      <c r="EAL20" s="13"/>
      <c r="EAM20" s="13"/>
      <c r="EAN20" s="13"/>
      <c r="EAO20" s="13"/>
      <c r="EAP20" s="13"/>
      <c r="EAQ20" s="13"/>
      <c r="EAR20" s="13"/>
      <c r="EAS20" s="13"/>
      <c r="EAT20" s="13"/>
      <c r="EAU20" s="13"/>
      <c r="EAV20" s="13"/>
      <c r="EAW20" s="13"/>
      <c r="EAX20" s="13"/>
      <c r="EAY20" s="13"/>
      <c r="EAZ20" s="13"/>
      <c r="EBA20" s="13"/>
      <c r="EBB20" s="13"/>
      <c r="EBC20" s="13"/>
      <c r="EBD20" s="13"/>
      <c r="EBE20" s="13"/>
      <c r="EBF20" s="13"/>
      <c r="EBG20" s="13"/>
      <c r="EBH20" s="13"/>
      <c r="EBI20" s="13"/>
      <c r="EBJ20" s="13"/>
      <c r="EBK20" s="13"/>
      <c r="EBL20" s="13"/>
      <c r="EBM20" s="13"/>
      <c r="EBN20" s="13"/>
      <c r="EBO20" s="13"/>
      <c r="EBP20" s="13"/>
      <c r="EBQ20" s="13"/>
      <c r="EBR20" s="13"/>
      <c r="EBS20" s="13"/>
      <c r="EBT20" s="13"/>
      <c r="EBU20" s="13"/>
      <c r="EBV20" s="13"/>
      <c r="EBW20" s="13"/>
      <c r="EBX20" s="13"/>
      <c r="EBY20" s="13"/>
      <c r="EBZ20" s="13"/>
      <c r="ECA20" s="13"/>
      <c r="ECB20" s="13"/>
      <c r="ECC20" s="13"/>
      <c r="ECD20" s="13"/>
      <c r="ECE20" s="13"/>
      <c r="ECF20" s="13"/>
      <c r="ECG20" s="13"/>
      <c r="ECH20" s="13"/>
      <c r="ECI20" s="13"/>
      <c r="ECJ20" s="13"/>
      <c r="ECK20" s="13"/>
      <c r="ECL20" s="13"/>
      <c r="ECM20" s="13"/>
      <c r="ECN20" s="13"/>
      <c r="ECO20" s="13"/>
      <c r="ECP20" s="13"/>
      <c r="ECQ20" s="13"/>
      <c r="ECR20" s="13"/>
      <c r="ECS20" s="13"/>
      <c r="ECT20" s="13"/>
      <c r="ECU20" s="13"/>
      <c r="ECV20" s="13"/>
      <c r="ECW20" s="13"/>
      <c r="ECX20" s="13"/>
      <c r="ECY20" s="13"/>
      <c r="ECZ20" s="13"/>
      <c r="EDA20" s="13"/>
      <c r="EDB20" s="13"/>
      <c r="EDC20" s="13"/>
      <c r="EDD20" s="13"/>
      <c r="EDE20" s="13"/>
      <c r="EDF20" s="13"/>
      <c r="EDG20" s="13"/>
      <c r="EDH20" s="13"/>
      <c r="EDI20" s="13"/>
      <c r="EDJ20" s="13"/>
      <c r="EDK20" s="13"/>
      <c r="EDL20" s="13"/>
      <c r="EDM20" s="13"/>
      <c r="EDN20" s="13"/>
      <c r="EDO20" s="13"/>
      <c r="EDP20" s="13"/>
      <c r="EDQ20" s="13"/>
      <c r="EDR20" s="13"/>
      <c r="EDS20" s="13"/>
      <c r="EDT20" s="13"/>
      <c r="EDU20" s="13"/>
      <c r="EDV20" s="13"/>
      <c r="EDW20" s="13"/>
      <c r="EDX20" s="13"/>
      <c r="EDY20" s="13"/>
      <c r="EDZ20" s="13"/>
      <c r="EEA20" s="13"/>
      <c r="EEB20" s="13"/>
      <c r="EEC20" s="13"/>
      <c r="EED20" s="13"/>
      <c r="EEE20" s="13"/>
      <c r="EEF20" s="13"/>
      <c r="EEG20" s="13"/>
      <c r="EEH20" s="13"/>
      <c r="EEI20" s="13"/>
      <c r="EEJ20" s="13"/>
      <c r="EEK20" s="13"/>
      <c r="EEL20" s="13"/>
      <c r="EEM20" s="13"/>
      <c r="EEN20" s="13"/>
      <c r="EEO20" s="13"/>
      <c r="EEP20" s="13"/>
      <c r="EEQ20" s="13"/>
      <c r="EER20" s="13"/>
      <c r="EES20" s="13"/>
      <c r="EET20" s="13"/>
      <c r="EEU20" s="13"/>
      <c r="EEV20" s="13"/>
      <c r="EEW20" s="13"/>
      <c r="EEX20" s="13"/>
      <c r="EEY20" s="13"/>
      <c r="EEZ20" s="13"/>
      <c r="EFA20" s="13"/>
      <c r="EFB20" s="13"/>
      <c r="EFC20" s="13"/>
      <c r="EFD20" s="13"/>
      <c r="EFE20" s="13"/>
      <c r="EFF20" s="13"/>
      <c r="EFG20" s="13"/>
      <c r="EFH20" s="13"/>
      <c r="EFI20" s="13"/>
      <c r="EFJ20" s="13"/>
      <c r="EFK20" s="13"/>
      <c r="EFL20" s="13"/>
      <c r="EFM20" s="13"/>
      <c r="EFN20" s="13"/>
      <c r="EFO20" s="13"/>
      <c r="EFP20" s="13"/>
      <c r="EFQ20" s="13"/>
      <c r="EFR20" s="13"/>
      <c r="EFS20" s="13"/>
      <c r="EFT20" s="13"/>
      <c r="EFU20" s="13"/>
      <c r="EFV20" s="13"/>
      <c r="EFW20" s="13"/>
      <c r="EFX20" s="13"/>
      <c r="EFY20" s="13"/>
      <c r="EFZ20" s="13"/>
      <c r="EGA20" s="13"/>
      <c r="EGB20" s="13"/>
      <c r="EGC20" s="13"/>
      <c r="EGD20" s="13"/>
      <c r="EGE20" s="13"/>
      <c r="EGF20" s="13"/>
      <c r="EGG20" s="13"/>
      <c r="EGH20" s="13"/>
      <c r="EGI20" s="13"/>
      <c r="EGJ20" s="13"/>
      <c r="EGK20" s="13"/>
      <c r="EGL20" s="13"/>
      <c r="EGM20" s="13"/>
      <c r="EGN20" s="13"/>
      <c r="EGO20" s="13"/>
      <c r="EGP20" s="13"/>
      <c r="EGQ20" s="13"/>
      <c r="EGR20" s="13"/>
      <c r="EGS20" s="13"/>
      <c r="EGT20" s="13"/>
      <c r="EGU20" s="13"/>
      <c r="EGV20" s="13"/>
      <c r="EGW20" s="13"/>
      <c r="EGX20" s="13"/>
      <c r="EGY20" s="13"/>
      <c r="EGZ20" s="13"/>
      <c r="EHA20" s="13"/>
      <c r="EHB20" s="13"/>
      <c r="EHC20" s="13"/>
      <c r="EHD20" s="13"/>
      <c r="EHE20" s="13"/>
      <c r="EHF20" s="13"/>
      <c r="EHG20" s="13"/>
      <c r="EHH20" s="13"/>
      <c r="EHI20" s="13"/>
      <c r="EHJ20" s="13"/>
      <c r="EHK20" s="13"/>
      <c r="EHL20" s="13"/>
      <c r="EHM20" s="13"/>
      <c r="EHN20" s="13"/>
      <c r="EHO20" s="13"/>
      <c r="EHP20" s="13"/>
      <c r="EHQ20" s="13"/>
      <c r="EHR20" s="13"/>
      <c r="EHS20" s="13"/>
      <c r="EHT20" s="13"/>
      <c r="EHU20" s="13"/>
      <c r="EHV20" s="13"/>
      <c r="EHW20" s="13"/>
      <c r="EHX20" s="13"/>
      <c r="EHY20" s="13"/>
      <c r="EHZ20" s="13"/>
      <c r="EIA20" s="13"/>
      <c r="EIB20" s="13"/>
      <c r="EIC20" s="13"/>
      <c r="EID20" s="13"/>
      <c r="EIE20" s="13"/>
      <c r="EIF20" s="13"/>
      <c r="EIG20" s="13"/>
      <c r="EIH20" s="13"/>
      <c r="EII20" s="13"/>
      <c r="EIJ20" s="13"/>
      <c r="EIK20" s="13"/>
      <c r="EIL20" s="13"/>
      <c r="EIM20" s="13"/>
      <c r="EIN20" s="13"/>
      <c r="EIO20" s="13"/>
      <c r="EIP20" s="13"/>
      <c r="EIQ20" s="13"/>
      <c r="EIR20" s="13"/>
      <c r="EIS20" s="13"/>
      <c r="EIT20" s="13"/>
      <c r="EIU20" s="13"/>
      <c r="EIV20" s="13"/>
      <c r="EIW20" s="13"/>
      <c r="EIX20" s="13"/>
      <c r="EIY20" s="13"/>
      <c r="EIZ20" s="13"/>
      <c r="EJA20" s="13"/>
      <c r="EJB20" s="13"/>
      <c r="EJC20" s="13"/>
      <c r="EJD20" s="13"/>
      <c r="EJE20" s="13"/>
      <c r="EJF20" s="13"/>
      <c r="EJG20" s="13"/>
      <c r="EJH20" s="13"/>
      <c r="EJI20" s="13"/>
      <c r="EJJ20" s="13"/>
      <c r="EJK20" s="13"/>
      <c r="EJL20" s="13"/>
      <c r="EJM20" s="13"/>
      <c r="EJN20" s="13"/>
      <c r="EJO20" s="13"/>
      <c r="EJP20" s="13"/>
      <c r="EJQ20" s="13"/>
      <c r="EJR20" s="13"/>
      <c r="EJS20" s="13"/>
      <c r="EJT20" s="13"/>
      <c r="EJU20" s="13"/>
      <c r="EJV20" s="13"/>
      <c r="EJW20" s="13"/>
      <c r="EJX20" s="13"/>
      <c r="EJY20" s="13"/>
      <c r="EJZ20" s="13"/>
      <c r="EKA20" s="13"/>
      <c r="EKB20" s="13"/>
      <c r="EKC20" s="13"/>
      <c r="EKD20" s="13"/>
      <c r="EKE20" s="13"/>
      <c r="EKF20" s="13"/>
      <c r="EKG20" s="13"/>
      <c r="EKH20" s="13"/>
      <c r="EKI20" s="13"/>
      <c r="EKJ20" s="13"/>
      <c r="EKK20" s="13"/>
      <c r="EKL20" s="13"/>
      <c r="EKM20" s="13"/>
      <c r="EKN20" s="13"/>
      <c r="EKO20" s="13"/>
      <c r="EKP20" s="13"/>
      <c r="EKQ20" s="13"/>
      <c r="EKR20" s="13"/>
      <c r="EKS20" s="13"/>
      <c r="EKT20" s="13"/>
      <c r="EKU20" s="13"/>
      <c r="EKV20" s="13"/>
      <c r="EKW20" s="13"/>
      <c r="EKX20" s="13"/>
      <c r="EKY20" s="13"/>
      <c r="EKZ20" s="13"/>
      <c r="ELA20" s="13"/>
      <c r="ELB20" s="13"/>
      <c r="ELC20" s="13"/>
      <c r="ELD20" s="13"/>
      <c r="ELE20" s="13"/>
      <c r="ELF20" s="13"/>
      <c r="ELG20" s="13"/>
      <c r="ELH20" s="13"/>
      <c r="ELI20" s="13"/>
      <c r="ELJ20" s="13"/>
      <c r="ELK20" s="13"/>
      <c r="ELL20" s="13"/>
      <c r="ELM20" s="13"/>
      <c r="ELN20" s="13"/>
      <c r="ELO20" s="13"/>
      <c r="ELP20" s="13"/>
      <c r="ELQ20" s="13"/>
      <c r="ELR20" s="13"/>
      <c r="ELS20" s="13"/>
      <c r="ELT20" s="13"/>
      <c r="ELU20" s="13"/>
      <c r="ELV20" s="13"/>
      <c r="ELW20" s="13"/>
      <c r="ELX20" s="13"/>
      <c r="ELY20" s="13"/>
      <c r="ELZ20" s="13"/>
      <c r="EMA20" s="13"/>
      <c r="EMB20" s="13"/>
      <c r="EMC20" s="13"/>
      <c r="EMD20" s="13"/>
      <c r="EME20" s="13"/>
      <c r="EMF20" s="13"/>
      <c r="EMG20" s="13"/>
      <c r="EMH20" s="13"/>
      <c r="EMI20" s="13"/>
      <c r="EMJ20" s="13"/>
      <c r="EMK20" s="13"/>
      <c r="EML20" s="13"/>
      <c r="EMM20" s="13"/>
      <c r="EMN20" s="13"/>
      <c r="EMO20" s="13"/>
      <c r="EMP20" s="13"/>
      <c r="EMQ20" s="13"/>
      <c r="EMR20" s="13"/>
      <c r="EMS20" s="13"/>
      <c r="EMT20" s="13"/>
      <c r="EMU20" s="13"/>
      <c r="EMV20" s="13"/>
      <c r="EMW20" s="13"/>
      <c r="EMX20" s="13"/>
      <c r="EMY20" s="13"/>
      <c r="EMZ20" s="13"/>
      <c r="ENA20" s="13"/>
      <c r="ENB20" s="13"/>
      <c r="ENC20" s="13"/>
      <c r="END20" s="13"/>
      <c r="ENE20" s="13"/>
      <c r="ENF20" s="13"/>
      <c r="ENG20" s="13"/>
      <c r="ENH20" s="13"/>
      <c r="ENI20" s="13"/>
      <c r="ENJ20" s="13"/>
      <c r="ENK20" s="13"/>
      <c r="ENL20" s="13"/>
      <c r="ENM20" s="13"/>
      <c r="ENN20" s="13"/>
      <c r="ENO20" s="13"/>
      <c r="ENP20" s="13"/>
      <c r="ENQ20" s="13"/>
      <c r="ENR20" s="13"/>
      <c r="ENS20" s="13"/>
      <c r="ENT20" s="13"/>
      <c r="ENU20" s="13"/>
      <c r="ENV20" s="13"/>
      <c r="ENW20" s="13"/>
      <c r="ENX20" s="13"/>
      <c r="ENY20" s="13"/>
      <c r="ENZ20" s="13"/>
      <c r="EOA20" s="13"/>
      <c r="EOB20" s="13"/>
      <c r="EOC20" s="13"/>
      <c r="EOD20" s="13"/>
      <c r="EOE20" s="13"/>
      <c r="EOF20" s="13"/>
      <c r="EOG20" s="13"/>
      <c r="EOH20" s="13"/>
      <c r="EOI20" s="13"/>
      <c r="EOJ20" s="13"/>
      <c r="EOK20" s="13"/>
      <c r="EOL20" s="13"/>
      <c r="EOM20" s="13"/>
      <c r="EON20" s="13"/>
      <c r="EOO20" s="13"/>
      <c r="EOP20" s="13"/>
      <c r="EOQ20" s="13"/>
      <c r="EOR20" s="13"/>
      <c r="EOS20" s="13"/>
      <c r="EOT20" s="13"/>
      <c r="EOU20" s="13"/>
      <c r="EOV20" s="13"/>
      <c r="EOW20" s="13"/>
      <c r="EOX20" s="13"/>
      <c r="EOY20" s="13"/>
      <c r="EOZ20" s="13"/>
      <c r="EPA20" s="13"/>
      <c r="EPB20" s="13"/>
      <c r="EPC20" s="13"/>
      <c r="EPD20" s="13"/>
      <c r="EPE20" s="13"/>
      <c r="EPF20" s="13"/>
      <c r="EPG20" s="13"/>
      <c r="EPH20" s="13"/>
      <c r="EPI20" s="13"/>
      <c r="EPJ20" s="13"/>
      <c r="EPK20" s="13"/>
      <c r="EPL20" s="13"/>
      <c r="EPM20" s="13"/>
      <c r="EPN20" s="13"/>
      <c r="EPO20" s="13"/>
      <c r="EPP20" s="13"/>
      <c r="EPQ20" s="13"/>
      <c r="EPR20" s="13"/>
      <c r="EPS20" s="13"/>
      <c r="EPT20" s="13"/>
      <c r="EPU20" s="13"/>
      <c r="EPV20" s="13"/>
      <c r="EPW20" s="13"/>
      <c r="EPX20" s="13"/>
      <c r="EPY20" s="13"/>
      <c r="EPZ20" s="13"/>
      <c r="EQA20" s="13"/>
      <c r="EQB20" s="13"/>
      <c r="EQC20" s="13"/>
      <c r="EQD20" s="13"/>
      <c r="EQE20" s="13"/>
      <c r="EQF20" s="13"/>
      <c r="EQG20" s="13"/>
      <c r="EQH20" s="13"/>
      <c r="EQI20" s="13"/>
      <c r="EQJ20" s="13"/>
      <c r="EQK20" s="13"/>
      <c r="EQL20" s="13"/>
      <c r="EQM20" s="13"/>
      <c r="EQN20" s="13"/>
      <c r="EQO20" s="13"/>
      <c r="EQP20" s="13"/>
      <c r="EQQ20" s="13"/>
      <c r="EQR20" s="13"/>
      <c r="EQS20" s="13"/>
      <c r="EQT20" s="13"/>
      <c r="EQU20" s="13"/>
      <c r="EQV20" s="13"/>
      <c r="EQW20" s="13"/>
      <c r="EQX20" s="13"/>
      <c r="EQY20" s="13"/>
      <c r="EQZ20" s="13"/>
      <c r="ERA20" s="13"/>
      <c r="ERB20" s="13"/>
      <c r="ERC20" s="13"/>
      <c r="ERD20" s="13"/>
      <c r="ERE20" s="13"/>
      <c r="ERF20" s="13"/>
      <c r="ERG20" s="13"/>
      <c r="ERH20" s="13"/>
      <c r="ERI20" s="13"/>
      <c r="ERJ20" s="13"/>
      <c r="ERK20" s="13"/>
      <c r="ERL20" s="13"/>
      <c r="ERM20" s="13"/>
      <c r="ERN20" s="13"/>
      <c r="ERO20" s="13"/>
      <c r="ERP20" s="13"/>
      <c r="ERQ20" s="13"/>
      <c r="ERR20" s="13"/>
      <c r="ERS20" s="13"/>
      <c r="ERT20" s="13"/>
      <c r="ERU20" s="13"/>
      <c r="ERV20" s="13"/>
      <c r="ERW20" s="13"/>
      <c r="ERX20" s="13"/>
      <c r="ERY20" s="13"/>
      <c r="ERZ20" s="13"/>
      <c r="ESA20" s="13"/>
      <c r="ESB20" s="13"/>
      <c r="ESC20" s="13"/>
      <c r="ESD20" s="13"/>
      <c r="ESE20" s="13"/>
      <c r="ESF20" s="13"/>
      <c r="ESG20" s="13"/>
      <c r="ESH20" s="13"/>
      <c r="ESI20" s="13"/>
      <c r="ESJ20" s="13"/>
      <c r="ESK20" s="13"/>
      <c r="ESL20" s="13"/>
      <c r="ESM20" s="13"/>
      <c r="ESN20" s="13"/>
      <c r="ESO20" s="13"/>
      <c r="ESP20" s="13"/>
      <c r="ESQ20" s="13"/>
      <c r="ESR20" s="13"/>
      <c r="ESS20" s="13"/>
      <c r="EST20" s="13"/>
      <c r="ESU20" s="13"/>
      <c r="ESV20" s="13"/>
      <c r="ESW20" s="13"/>
      <c r="ESX20" s="13"/>
      <c r="ESY20" s="13"/>
      <c r="ESZ20" s="13"/>
      <c r="ETA20" s="13"/>
      <c r="ETB20" s="13"/>
      <c r="ETC20" s="13"/>
      <c r="ETD20" s="13"/>
      <c r="ETE20" s="13"/>
      <c r="ETF20" s="13"/>
      <c r="ETG20" s="13"/>
      <c r="ETH20" s="13"/>
      <c r="ETI20" s="13"/>
      <c r="ETJ20" s="13"/>
      <c r="ETK20" s="13"/>
      <c r="ETL20" s="13"/>
      <c r="ETM20" s="13"/>
      <c r="ETN20" s="13"/>
      <c r="ETO20" s="13"/>
      <c r="ETP20" s="13"/>
      <c r="ETQ20" s="13"/>
      <c r="ETR20" s="13"/>
      <c r="ETS20" s="13"/>
      <c r="ETT20" s="13"/>
      <c r="ETU20" s="13"/>
      <c r="ETV20" s="13"/>
      <c r="ETW20" s="13"/>
      <c r="ETX20" s="13"/>
      <c r="ETY20" s="13"/>
      <c r="ETZ20" s="13"/>
      <c r="EUA20" s="13"/>
      <c r="EUB20" s="13"/>
      <c r="EUC20" s="13"/>
      <c r="EUD20" s="13"/>
      <c r="EUE20" s="13"/>
      <c r="EUF20" s="13"/>
      <c r="EUG20" s="13"/>
      <c r="EUH20" s="13"/>
      <c r="EUI20" s="13"/>
      <c r="EUJ20" s="13"/>
      <c r="EUK20" s="13"/>
      <c r="EUL20" s="13"/>
      <c r="EUM20" s="13"/>
      <c r="EUN20" s="13"/>
      <c r="EUO20" s="13"/>
      <c r="EUP20" s="13"/>
      <c r="EUQ20" s="13"/>
      <c r="EUR20" s="13"/>
      <c r="EUS20" s="13"/>
      <c r="EUT20" s="13"/>
      <c r="EUU20" s="13"/>
      <c r="EUV20" s="13"/>
      <c r="EUW20" s="13"/>
      <c r="EUX20" s="13"/>
      <c r="EUY20" s="13"/>
      <c r="EUZ20" s="13"/>
      <c r="EVA20" s="13"/>
      <c r="EVB20" s="13"/>
      <c r="EVC20" s="13"/>
      <c r="EVD20" s="13"/>
      <c r="EVE20" s="13"/>
      <c r="EVF20" s="13"/>
      <c r="EVG20" s="13"/>
      <c r="EVH20" s="13"/>
      <c r="EVI20" s="13"/>
      <c r="EVJ20" s="13"/>
      <c r="EVK20" s="13"/>
      <c r="EVL20" s="13"/>
      <c r="EVM20" s="13"/>
      <c r="EVN20" s="13"/>
      <c r="EVO20" s="13"/>
      <c r="EVP20" s="13"/>
      <c r="EVQ20" s="13"/>
      <c r="EVR20" s="13"/>
      <c r="EVS20" s="13"/>
      <c r="EVT20" s="13"/>
      <c r="EVU20" s="13"/>
      <c r="EVV20" s="13"/>
      <c r="EVW20" s="13"/>
      <c r="EVX20" s="13"/>
      <c r="EVY20" s="13"/>
      <c r="EVZ20" s="13"/>
      <c r="EWA20" s="13"/>
      <c r="EWB20" s="13"/>
      <c r="EWC20" s="13"/>
      <c r="EWD20" s="13"/>
      <c r="EWE20" s="13"/>
      <c r="EWF20" s="13"/>
      <c r="EWG20" s="13"/>
      <c r="EWH20" s="13"/>
      <c r="EWI20" s="13"/>
      <c r="EWJ20" s="13"/>
      <c r="EWK20" s="13"/>
      <c r="EWL20" s="13"/>
      <c r="EWM20" s="13"/>
      <c r="EWN20" s="13"/>
      <c r="EWO20" s="13"/>
      <c r="EWP20" s="13"/>
      <c r="EWQ20" s="13"/>
      <c r="EWR20" s="13"/>
      <c r="EWS20" s="13"/>
      <c r="EWT20" s="13"/>
      <c r="EWU20" s="13"/>
      <c r="EWV20" s="13"/>
      <c r="EWW20" s="13"/>
      <c r="EWX20" s="13"/>
      <c r="EWY20" s="13"/>
      <c r="EWZ20" s="13"/>
      <c r="EXA20" s="13"/>
      <c r="EXB20" s="13"/>
      <c r="EXC20" s="13"/>
      <c r="EXD20" s="13"/>
      <c r="EXE20" s="13"/>
      <c r="EXF20" s="13"/>
      <c r="EXG20" s="13"/>
      <c r="EXH20" s="13"/>
      <c r="EXI20" s="13"/>
      <c r="EXJ20" s="13"/>
      <c r="EXK20" s="13"/>
      <c r="EXL20" s="13"/>
      <c r="EXM20" s="13"/>
      <c r="EXN20" s="13"/>
      <c r="EXO20" s="13"/>
      <c r="EXP20" s="13"/>
      <c r="EXQ20" s="13"/>
      <c r="EXR20" s="13"/>
      <c r="EXS20" s="13"/>
      <c r="EXT20" s="13"/>
      <c r="EXU20" s="13"/>
      <c r="EXV20" s="13"/>
      <c r="EXW20" s="13"/>
      <c r="EXX20" s="13"/>
      <c r="EXY20" s="13"/>
      <c r="EXZ20" s="13"/>
      <c r="EYA20" s="13"/>
      <c r="EYB20" s="13"/>
      <c r="EYC20" s="13"/>
      <c r="EYD20" s="13"/>
      <c r="EYE20" s="13"/>
      <c r="EYF20" s="13"/>
      <c r="EYG20" s="13"/>
      <c r="EYH20" s="13"/>
      <c r="EYI20" s="13"/>
      <c r="EYJ20" s="13"/>
      <c r="EYK20" s="13"/>
      <c r="EYL20" s="13"/>
      <c r="EYM20" s="13"/>
      <c r="EYN20" s="13"/>
      <c r="EYO20" s="13"/>
      <c r="EYP20" s="13"/>
      <c r="EYQ20" s="13"/>
      <c r="EYR20" s="13"/>
      <c r="EYS20" s="13"/>
      <c r="EYT20" s="13"/>
      <c r="EYU20" s="13"/>
      <c r="EYV20" s="13"/>
      <c r="EYW20" s="13"/>
      <c r="EYX20" s="13"/>
      <c r="EYY20" s="13"/>
      <c r="EYZ20" s="13"/>
      <c r="EZA20" s="13"/>
      <c r="EZB20" s="13"/>
      <c r="EZC20" s="13"/>
      <c r="EZD20" s="13"/>
      <c r="EZE20" s="13"/>
      <c r="EZF20" s="13"/>
      <c r="EZG20" s="13"/>
      <c r="EZH20" s="13"/>
      <c r="EZI20" s="13"/>
      <c r="EZJ20" s="13"/>
      <c r="EZK20" s="13"/>
      <c r="EZL20" s="13"/>
      <c r="EZM20" s="13"/>
      <c r="EZN20" s="13"/>
      <c r="EZO20" s="13"/>
      <c r="EZP20" s="13"/>
      <c r="EZQ20" s="13"/>
      <c r="EZR20" s="13"/>
      <c r="EZS20" s="13"/>
      <c r="EZT20" s="13"/>
      <c r="EZU20" s="13"/>
      <c r="EZV20" s="13"/>
      <c r="EZW20" s="13"/>
      <c r="EZX20" s="13"/>
      <c r="EZY20" s="13"/>
      <c r="EZZ20" s="13"/>
      <c r="FAA20" s="13"/>
      <c r="FAB20" s="13"/>
      <c r="FAC20" s="13"/>
      <c r="FAD20" s="13"/>
      <c r="FAE20" s="13"/>
      <c r="FAF20" s="13"/>
      <c r="FAG20" s="13"/>
      <c r="FAH20" s="13"/>
      <c r="FAI20" s="13"/>
      <c r="FAJ20" s="13"/>
      <c r="FAK20" s="13"/>
      <c r="FAL20" s="13"/>
      <c r="FAM20" s="13"/>
      <c r="FAN20" s="13"/>
      <c r="FAO20" s="13"/>
      <c r="FAP20" s="13"/>
      <c r="FAQ20" s="13"/>
      <c r="FAR20" s="13"/>
      <c r="FAS20" s="13"/>
      <c r="FAT20" s="13"/>
      <c r="FAU20" s="13"/>
      <c r="FAV20" s="13"/>
      <c r="FAW20" s="13"/>
      <c r="FAX20" s="13"/>
      <c r="FAY20" s="13"/>
      <c r="FAZ20" s="13"/>
      <c r="FBA20" s="13"/>
      <c r="FBB20" s="13"/>
      <c r="FBC20" s="13"/>
      <c r="FBD20" s="13"/>
      <c r="FBE20" s="13"/>
      <c r="FBF20" s="13"/>
      <c r="FBG20" s="13"/>
      <c r="FBH20" s="13"/>
      <c r="FBI20" s="13"/>
      <c r="FBJ20" s="13"/>
      <c r="FBK20" s="13"/>
      <c r="FBL20" s="13"/>
      <c r="FBM20" s="13"/>
      <c r="FBN20" s="13"/>
      <c r="FBO20" s="13"/>
      <c r="FBP20" s="13"/>
      <c r="FBQ20" s="13"/>
      <c r="FBR20" s="13"/>
      <c r="FBS20" s="13"/>
      <c r="FBT20" s="13"/>
      <c r="FBU20" s="13"/>
      <c r="FBV20" s="13"/>
      <c r="FBW20" s="13"/>
      <c r="FBX20" s="13"/>
      <c r="FBY20" s="13"/>
      <c r="FBZ20" s="13"/>
      <c r="FCA20" s="13"/>
      <c r="FCB20" s="13"/>
      <c r="FCC20" s="13"/>
      <c r="FCD20" s="13"/>
      <c r="FCE20" s="13"/>
      <c r="FCF20" s="13"/>
      <c r="FCG20" s="13"/>
      <c r="FCH20" s="13"/>
      <c r="FCI20" s="13"/>
      <c r="FCJ20" s="13"/>
      <c r="FCK20" s="13"/>
      <c r="FCL20" s="13"/>
      <c r="FCM20" s="13"/>
      <c r="FCN20" s="13"/>
      <c r="FCO20" s="13"/>
      <c r="FCP20" s="13"/>
      <c r="FCQ20" s="13"/>
      <c r="FCR20" s="13"/>
      <c r="FCS20" s="13"/>
      <c r="FCT20" s="13"/>
      <c r="FCU20" s="13"/>
      <c r="FCV20" s="13"/>
      <c r="FCW20" s="13"/>
      <c r="FCX20" s="13"/>
      <c r="FCY20" s="13"/>
      <c r="FCZ20" s="13"/>
      <c r="FDA20" s="13"/>
      <c r="FDB20" s="13"/>
      <c r="FDC20" s="13"/>
      <c r="FDD20" s="13"/>
      <c r="FDE20" s="13"/>
      <c r="FDF20" s="13"/>
      <c r="FDG20" s="13"/>
      <c r="FDH20" s="13"/>
      <c r="FDI20" s="13"/>
      <c r="FDJ20" s="13"/>
      <c r="FDK20" s="13"/>
      <c r="FDL20" s="13"/>
      <c r="FDM20" s="13"/>
      <c r="FDN20" s="13"/>
      <c r="FDO20" s="13"/>
      <c r="FDP20" s="13"/>
      <c r="FDQ20" s="13"/>
      <c r="FDR20" s="13"/>
      <c r="FDS20" s="13"/>
      <c r="FDT20" s="13"/>
      <c r="FDU20" s="13"/>
      <c r="FDV20" s="13"/>
      <c r="FDW20" s="13"/>
      <c r="FDX20" s="13"/>
      <c r="FDY20" s="13"/>
      <c r="FDZ20" s="13"/>
      <c r="FEA20" s="13"/>
      <c r="FEB20" s="13"/>
      <c r="FEC20" s="13"/>
      <c r="FED20" s="13"/>
      <c r="FEE20" s="13"/>
      <c r="FEF20" s="13"/>
      <c r="FEG20" s="13"/>
      <c r="FEH20" s="13"/>
      <c r="FEI20" s="13"/>
      <c r="FEJ20" s="13"/>
      <c r="FEK20" s="13"/>
      <c r="FEL20" s="13"/>
      <c r="FEM20" s="13"/>
      <c r="FEN20" s="13"/>
      <c r="FEO20" s="13"/>
      <c r="FEP20" s="13"/>
      <c r="FEQ20" s="13"/>
      <c r="FER20" s="13"/>
      <c r="FES20" s="13"/>
      <c r="FET20" s="13"/>
      <c r="FEU20" s="13"/>
      <c r="FEV20" s="13"/>
      <c r="FEW20" s="13"/>
      <c r="FEX20" s="13"/>
      <c r="FEY20" s="13"/>
      <c r="FEZ20" s="13"/>
      <c r="FFA20" s="13"/>
      <c r="FFB20" s="13"/>
      <c r="FFC20" s="13"/>
      <c r="FFD20" s="13"/>
      <c r="FFE20" s="13"/>
      <c r="FFF20" s="13"/>
      <c r="FFG20" s="13"/>
      <c r="FFH20" s="13"/>
      <c r="FFI20" s="13"/>
      <c r="FFJ20" s="13"/>
      <c r="FFK20" s="13"/>
      <c r="FFL20" s="13"/>
      <c r="FFM20" s="13"/>
      <c r="FFN20" s="13"/>
      <c r="FFO20" s="13"/>
      <c r="FFP20" s="13"/>
      <c r="FFQ20" s="13"/>
      <c r="FFR20" s="13"/>
      <c r="FFS20" s="13"/>
      <c r="FFT20" s="13"/>
      <c r="FFU20" s="13"/>
      <c r="FFV20" s="13"/>
      <c r="FFW20" s="13"/>
      <c r="FFX20" s="13"/>
      <c r="FFY20" s="13"/>
      <c r="FFZ20" s="13"/>
      <c r="FGA20" s="13"/>
      <c r="FGB20" s="13"/>
      <c r="FGC20" s="13"/>
      <c r="FGD20" s="13"/>
      <c r="FGE20" s="13"/>
      <c r="FGF20" s="13"/>
      <c r="FGG20" s="13"/>
      <c r="FGH20" s="13"/>
      <c r="FGI20" s="13"/>
      <c r="FGJ20" s="13"/>
      <c r="FGK20" s="13"/>
      <c r="FGL20" s="13"/>
      <c r="FGM20" s="13"/>
      <c r="FGN20" s="13"/>
      <c r="FGO20" s="13"/>
      <c r="FGP20" s="13"/>
      <c r="FGQ20" s="13"/>
      <c r="FGR20" s="13"/>
      <c r="FGS20" s="13"/>
      <c r="FGT20" s="13"/>
      <c r="FGU20" s="13"/>
      <c r="FGV20" s="13"/>
      <c r="FGW20" s="13"/>
      <c r="FGX20" s="13"/>
      <c r="FGY20" s="13"/>
      <c r="FGZ20" s="13"/>
      <c r="FHA20" s="13"/>
      <c r="FHB20" s="13"/>
      <c r="FHC20" s="13"/>
      <c r="FHD20" s="13"/>
      <c r="FHE20" s="13"/>
      <c r="FHF20" s="13"/>
      <c r="FHG20" s="13"/>
      <c r="FHH20" s="13"/>
      <c r="FHI20" s="13"/>
      <c r="FHJ20" s="13"/>
      <c r="FHK20" s="13"/>
      <c r="FHL20" s="13"/>
      <c r="FHM20" s="13"/>
      <c r="FHN20" s="13"/>
      <c r="FHO20" s="13"/>
      <c r="FHP20" s="13"/>
      <c r="FHQ20" s="13"/>
      <c r="FHR20" s="13"/>
      <c r="FHS20" s="13"/>
      <c r="FHT20" s="13"/>
      <c r="FHU20" s="13"/>
      <c r="FHV20" s="13"/>
      <c r="FHW20" s="13"/>
      <c r="FHX20" s="13"/>
      <c r="FHY20" s="13"/>
      <c r="FHZ20" s="13"/>
      <c r="FIA20" s="13"/>
      <c r="FIB20" s="13"/>
      <c r="FIC20" s="13"/>
      <c r="FID20" s="13"/>
      <c r="FIE20" s="13"/>
      <c r="FIF20" s="13"/>
      <c r="FIG20" s="13"/>
      <c r="FIH20" s="13"/>
      <c r="FII20" s="13"/>
      <c r="FIJ20" s="13"/>
      <c r="FIK20" s="13"/>
      <c r="FIL20" s="13"/>
      <c r="FIM20" s="13"/>
      <c r="FIN20" s="13"/>
      <c r="FIO20" s="13"/>
      <c r="FIP20" s="13"/>
      <c r="FIQ20" s="13"/>
      <c r="FIR20" s="13"/>
      <c r="FIS20" s="13"/>
      <c r="FIT20" s="13"/>
      <c r="FIU20" s="13"/>
      <c r="FIV20" s="13"/>
      <c r="FIW20" s="13"/>
      <c r="FIX20" s="13"/>
      <c r="FIY20" s="13"/>
      <c r="FIZ20" s="13"/>
      <c r="FJA20" s="13"/>
      <c r="FJB20" s="13"/>
      <c r="FJC20" s="13"/>
      <c r="FJD20" s="13"/>
      <c r="FJE20" s="13"/>
      <c r="FJF20" s="13"/>
      <c r="FJG20" s="13"/>
      <c r="FJH20" s="13"/>
      <c r="FJI20" s="13"/>
      <c r="FJJ20" s="13"/>
      <c r="FJK20" s="13"/>
      <c r="FJL20" s="13"/>
      <c r="FJM20" s="13"/>
      <c r="FJN20" s="13"/>
      <c r="FJO20" s="13"/>
      <c r="FJP20" s="13"/>
      <c r="FJQ20" s="13"/>
      <c r="FJR20" s="13"/>
      <c r="FJS20" s="13"/>
      <c r="FJT20" s="13"/>
      <c r="FJU20" s="13"/>
      <c r="FJV20" s="13"/>
      <c r="FJW20" s="13"/>
      <c r="FJX20" s="13"/>
      <c r="FJY20" s="13"/>
      <c r="FJZ20" s="13"/>
      <c r="FKA20" s="13"/>
      <c r="FKB20" s="13"/>
      <c r="FKC20" s="13"/>
      <c r="FKD20" s="13"/>
      <c r="FKE20" s="13"/>
      <c r="FKF20" s="13"/>
      <c r="FKG20" s="13"/>
      <c r="FKH20" s="13"/>
      <c r="FKI20" s="13"/>
      <c r="FKJ20" s="13"/>
      <c r="FKK20" s="13"/>
      <c r="FKL20" s="13"/>
      <c r="FKM20" s="13"/>
      <c r="FKN20" s="13"/>
      <c r="FKO20" s="13"/>
      <c r="FKP20" s="13"/>
      <c r="FKQ20" s="13"/>
      <c r="FKR20" s="13"/>
      <c r="FKS20" s="13"/>
      <c r="FKT20" s="13"/>
      <c r="FKU20" s="13"/>
      <c r="FKV20" s="13"/>
      <c r="FKW20" s="13"/>
      <c r="FKX20" s="13"/>
      <c r="FKY20" s="13"/>
      <c r="FKZ20" s="13"/>
      <c r="FLA20" s="13"/>
      <c r="FLB20" s="13"/>
      <c r="FLC20" s="13"/>
      <c r="FLD20" s="13"/>
      <c r="FLE20" s="13"/>
      <c r="FLF20" s="13"/>
      <c r="FLG20" s="13"/>
      <c r="FLH20" s="13"/>
      <c r="FLI20" s="13"/>
      <c r="FLJ20" s="13"/>
      <c r="FLK20" s="13"/>
      <c r="FLL20" s="13"/>
      <c r="FLM20" s="13"/>
      <c r="FLN20" s="13"/>
      <c r="FLO20" s="13"/>
      <c r="FLP20" s="13"/>
      <c r="FLQ20" s="13"/>
      <c r="FLR20" s="13"/>
      <c r="FLS20" s="13"/>
      <c r="FLT20" s="13"/>
      <c r="FLU20" s="13"/>
      <c r="FLV20" s="13"/>
      <c r="FLW20" s="13"/>
      <c r="FLX20" s="13"/>
      <c r="FLY20" s="13"/>
      <c r="FLZ20" s="13"/>
      <c r="FMA20" s="13"/>
      <c r="FMB20" s="13"/>
      <c r="FMC20" s="13"/>
      <c r="FMD20" s="13"/>
      <c r="FME20" s="13"/>
      <c r="FMF20" s="13"/>
      <c r="FMG20" s="13"/>
      <c r="FMH20" s="13"/>
      <c r="FMI20" s="13"/>
      <c r="FMJ20" s="13"/>
      <c r="FMK20" s="13"/>
      <c r="FML20" s="13"/>
      <c r="FMM20" s="13"/>
      <c r="FMN20" s="13"/>
      <c r="FMO20" s="13"/>
      <c r="FMP20" s="13"/>
      <c r="FMQ20" s="13"/>
      <c r="FMR20" s="13"/>
      <c r="FMS20" s="13"/>
      <c r="FMT20" s="13"/>
      <c r="FMU20" s="13"/>
      <c r="FMV20" s="13"/>
      <c r="FMW20" s="13"/>
      <c r="FMX20" s="13"/>
      <c r="FMY20" s="13"/>
      <c r="FMZ20" s="13"/>
      <c r="FNA20" s="13"/>
      <c r="FNB20" s="13"/>
      <c r="FNC20" s="13"/>
      <c r="FND20" s="13"/>
      <c r="FNE20" s="13"/>
      <c r="FNF20" s="13"/>
      <c r="FNG20" s="13"/>
      <c r="FNH20" s="13"/>
      <c r="FNI20" s="13"/>
      <c r="FNJ20" s="13"/>
      <c r="FNK20" s="13"/>
      <c r="FNL20" s="13"/>
      <c r="FNM20" s="13"/>
      <c r="FNN20" s="13"/>
      <c r="FNO20" s="13"/>
      <c r="FNP20" s="13"/>
      <c r="FNQ20" s="13"/>
      <c r="FNR20" s="13"/>
      <c r="FNS20" s="13"/>
      <c r="FNT20" s="13"/>
      <c r="FNU20" s="13"/>
      <c r="FNV20" s="13"/>
      <c r="FNW20" s="13"/>
      <c r="FNX20" s="13"/>
      <c r="FNY20" s="13"/>
      <c r="FNZ20" s="13"/>
      <c r="FOA20" s="13"/>
      <c r="FOB20" s="13"/>
      <c r="FOC20" s="13"/>
      <c r="FOD20" s="13"/>
      <c r="FOE20" s="13"/>
      <c r="FOF20" s="13"/>
      <c r="FOG20" s="13"/>
      <c r="FOH20" s="13"/>
      <c r="FOI20" s="13"/>
      <c r="FOJ20" s="13"/>
      <c r="FOK20" s="13"/>
      <c r="FOL20" s="13"/>
      <c r="FOM20" s="13"/>
      <c r="FON20" s="13"/>
      <c r="FOO20" s="13"/>
      <c r="FOP20" s="13"/>
      <c r="FOQ20" s="13"/>
      <c r="FOR20" s="13"/>
      <c r="FOS20" s="13"/>
      <c r="FOT20" s="13"/>
      <c r="FOU20" s="13"/>
      <c r="FOV20" s="13"/>
      <c r="FOW20" s="13"/>
      <c r="FOX20" s="13"/>
      <c r="FOY20" s="13"/>
      <c r="FOZ20" s="13"/>
      <c r="FPA20" s="13"/>
      <c r="FPB20" s="13"/>
      <c r="FPC20" s="13"/>
      <c r="FPD20" s="13"/>
      <c r="FPE20" s="13"/>
      <c r="FPF20" s="13"/>
      <c r="FPG20" s="13"/>
      <c r="FPH20" s="13"/>
      <c r="FPI20" s="13"/>
      <c r="FPJ20" s="13"/>
      <c r="FPK20" s="13"/>
      <c r="FPL20" s="13"/>
      <c r="FPM20" s="13"/>
      <c r="FPN20" s="13"/>
      <c r="FPO20" s="13"/>
      <c r="FPP20" s="13"/>
      <c r="FPQ20" s="13"/>
      <c r="FPR20" s="13"/>
      <c r="FPS20" s="13"/>
      <c r="FPT20" s="13"/>
      <c r="FPU20" s="13"/>
      <c r="FPV20" s="13"/>
      <c r="FPW20" s="13"/>
      <c r="FPX20" s="13"/>
      <c r="FPY20" s="13"/>
      <c r="FPZ20" s="13"/>
      <c r="FQA20" s="13"/>
      <c r="FQB20" s="13"/>
      <c r="FQC20" s="13"/>
      <c r="FQD20" s="13"/>
      <c r="FQE20" s="13"/>
      <c r="FQF20" s="13"/>
      <c r="FQG20" s="13"/>
      <c r="FQH20" s="13"/>
      <c r="FQI20" s="13"/>
      <c r="FQJ20" s="13"/>
      <c r="FQK20" s="13"/>
      <c r="FQL20" s="13"/>
      <c r="FQM20" s="13"/>
      <c r="FQN20" s="13"/>
      <c r="FQO20" s="13"/>
      <c r="FQP20" s="13"/>
      <c r="FQQ20" s="13"/>
      <c r="FQR20" s="13"/>
      <c r="FQS20" s="13"/>
      <c r="FQT20" s="13"/>
      <c r="FQU20" s="13"/>
      <c r="FQV20" s="13"/>
      <c r="FQW20" s="13"/>
      <c r="FQX20" s="13"/>
      <c r="FQY20" s="13"/>
      <c r="FQZ20" s="13"/>
      <c r="FRA20" s="13"/>
      <c r="FRB20" s="13"/>
      <c r="FRC20" s="13"/>
      <c r="FRD20" s="13"/>
      <c r="FRE20" s="13"/>
      <c r="FRF20" s="13"/>
      <c r="FRG20" s="13"/>
      <c r="FRH20" s="13"/>
      <c r="FRI20" s="13"/>
      <c r="FRJ20" s="13"/>
      <c r="FRK20" s="13"/>
      <c r="FRL20" s="13"/>
      <c r="FRM20" s="13"/>
      <c r="FRN20" s="13"/>
      <c r="FRO20" s="13"/>
      <c r="FRP20" s="13"/>
      <c r="FRQ20" s="13"/>
      <c r="FRR20" s="13"/>
      <c r="FRS20" s="13"/>
      <c r="FRT20" s="13"/>
      <c r="FRU20" s="13"/>
      <c r="FRV20" s="13"/>
      <c r="FRW20" s="13"/>
      <c r="FRX20" s="13"/>
      <c r="FRY20" s="13"/>
      <c r="FRZ20" s="13"/>
      <c r="FSA20" s="13"/>
      <c r="FSB20" s="13"/>
      <c r="FSC20" s="13"/>
      <c r="FSD20" s="13"/>
      <c r="FSE20" s="13"/>
      <c r="FSF20" s="13"/>
      <c r="FSG20" s="13"/>
      <c r="FSH20" s="13"/>
      <c r="FSI20" s="13"/>
      <c r="FSJ20" s="13"/>
      <c r="FSK20" s="13"/>
      <c r="FSL20" s="13"/>
      <c r="FSM20" s="13"/>
      <c r="FSN20" s="13"/>
      <c r="FSO20" s="13"/>
      <c r="FSP20" s="13"/>
      <c r="FSQ20" s="13"/>
      <c r="FSR20" s="13"/>
      <c r="FSS20" s="13"/>
      <c r="FST20" s="13"/>
      <c r="FSU20" s="13"/>
      <c r="FSV20" s="13"/>
      <c r="FSW20" s="13"/>
      <c r="FSX20" s="13"/>
      <c r="FSY20" s="13"/>
      <c r="FSZ20" s="13"/>
      <c r="FTA20" s="13"/>
      <c r="FTB20" s="13"/>
      <c r="FTC20" s="13"/>
      <c r="FTD20" s="13"/>
      <c r="FTE20" s="13"/>
      <c r="FTF20" s="13"/>
      <c r="FTG20" s="13"/>
      <c r="FTH20" s="13"/>
      <c r="FTI20" s="13"/>
      <c r="FTJ20" s="13"/>
      <c r="FTK20" s="13"/>
      <c r="FTL20" s="13"/>
      <c r="FTM20" s="13"/>
      <c r="FTN20" s="13"/>
      <c r="FTO20" s="13"/>
      <c r="FTP20" s="13"/>
      <c r="FTQ20" s="13"/>
      <c r="FTR20" s="13"/>
      <c r="FTS20" s="13"/>
      <c r="FTT20" s="13"/>
      <c r="FTU20" s="13"/>
      <c r="FTV20" s="13"/>
      <c r="FTW20" s="13"/>
      <c r="FTX20" s="13"/>
      <c r="FTY20" s="13"/>
      <c r="FTZ20" s="13"/>
      <c r="FUA20" s="13"/>
      <c r="FUB20" s="13"/>
      <c r="FUC20" s="13"/>
      <c r="FUD20" s="13"/>
      <c r="FUE20" s="13"/>
      <c r="FUF20" s="13"/>
      <c r="FUG20" s="13"/>
      <c r="FUH20" s="13"/>
      <c r="FUI20" s="13"/>
      <c r="FUJ20" s="13"/>
      <c r="FUK20" s="13"/>
      <c r="FUL20" s="13"/>
      <c r="FUM20" s="13"/>
      <c r="FUN20" s="13"/>
      <c r="FUO20" s="13"/>
      <c r="FUP20" s="13"/>
      <c r="FUQ20" s="13"/>
      <c r="FUR20" s="13"/>
      <c r="FUS20" s="13"/>
      <c r="FUT20" s="13"/>
      <c r="FUU20" s="13"/>
      <c r="FUV20" s="13"/>
      <c r="FUW20" s="13"/>
      <c r="FUX20" s="13"/>
      <c r="FUY20" s="13"/>
      <c r="FUZ20" s="13"/>
      <c r="FVA20" s="13"/>
      <c r="FVB20" s="13"/>
      <c r="FVC20" s="13"/>
      <c r="FVD20" s="13"/>
      <c r="FVE20" s="13"/>
      <c r="FVF20" s="13"/>
      <c r="FVG20" s="13"/>
      <c r="FVH20" s="13"/>
      <c r="FVI20" s="13"/>
      <c r="FVJ20" s="13"/>
      <c r="FVK20" s="13"/>
      <c r="FVL20" s="13"/>
      <c r="FVM20" s="13"/>
      <c r="FVN20" s="13"/>
      <c r="FVO20" s="13"/>
      <c r="FVP20" s="13"/>
      <c r="FVQ20" s="13"/>
      <c r="FVR20" s="13"/>
      <c r="FVS20" s="13"/>
      <c r="FVT20" s="13"/>
      <c r="FVU20" s="13"/>
      <c r="FVV20" s="13"/>
      <c r="FVW20" s="13"/>
      <c r="FVX20" s="13"/>
      <c r="FVY20" s="13"/>
      <c r="FVZ20" s="13"/>
      <c r="FWA20" s="13"/>
      <c r="FWB20" s="13"/>
      <c r="FWC20" s="13"/>
      <c r="FWD20" s="13"/>
      <c r="FWE20" s="13"/>
      <c r="FWF20" s="13"/>
      <c r="FWG20" s="13"/>
      <c r="FWH20" s="13"/>
      <c r="FWI20" s="13"/>
      <c r="FWJ20" s="13"/>
      <c r="FWK20" s="13"/>
      <c r="FWL20" s="13"/>
      <c r="FWM20" s="13"/>
      <c r="FWN20" s="13"/>
      <c r="FWO20" s="13"/>
      <c r="FWP20" s="13"/>
      <c r="FWQ20" s="13"/>
      <c r="FWR20" s="13"/>
      <c r="FWS20" s="13"/>
      <c r="FWT20" s="13"/>
      <c r="FWU20" s="13"/>
      <c r="FWV20" s="13"/>
      <c r="FWW20" s="13"/>
      <c r="FWX20" s="13"/>
      <c r="FWY20" s="13"/>
      <c r="FWZ20" s="13"/>
      <c r="FXA20" s="13"/>
      <c r="FXB20" s="13"/>
      <c r="FXC20" s="13"/>
      <c r="FXD20" s="13"/>
      <c r="FXE20" s="13"/>
      <c r="FXF20" s="13"/>
      <c r="FXG20" s="13"/>
      <c r="FXH20" s="13"/>
      <c r="FXI20" s="13"/>
      <c r="FXJ20" s="13"/>
      <c r="FXK20" s="13"/>
      <c r="FXL20" s="13"/>
      <c r="FXM20" s="13"/>
      <c r="FXN20" s="13"/>
      <c r="FXO20" s="13"/>
      <c r="FXP20" s="13"/>
      <c r="FXQ20" s="13"/>
      <c r="FXR20" s="13"/>
      <c r="FXS20" s="13"/>
      <c r="FXT20" s="13"/>
      <c r="FXU20" s="13"/>
      <c r="FXV20" s="13"/>
      <c r="FXW20" s="13"/>
      <c r="FXX20" s="13"/>
      <c r="FXY20" s="13"/>
      <c r="FXZ20" s="13"/>
      <c r="FYA20" s="13"/>
      <c r="FYB20" s="13"/>
      <c r="FYC20" s="13"/>
      <c r="FYD20" s="13"/>
      <c r="FYE20" s="13"/>
      <c r="FYF20" s="13"/>
      <c r="FYG20" s="13"/>
      <c r="FYH20" s="13"/>
      <c r="FYI20" s="13"/>
      <c r="FYJ20" s="13"/>
      <c r="FYK20" s="13"/>
      <c r="FYL20" s="13"/>
      <c r="FYM20" s="13"/>
      <c r="FYN20" s="13"/>
      <c r="FYO20" s="13"/>
      <c r="FYP20" s="13"/>
      <c r="FYQ20" s="13"/>
      <c r="FYR20" s="13"/>
      <c r="FYS20" s="13"/>
      <c r="FYT20" s="13"/>
      <c r="FYU20" s="13"/>
      <c r="FYV20" s="13"/>
      <c r="FYW20" s="13"/>
      <c r="FYX20" s="13"/>
      <c r="FYY20" s="13"/>
      <c r="FYZ20" s="13"/>
      <c r="FZA20" s="13"/>
      <c r="FZB20" s="13"/>
      <c r="FZC20" s="13"/>
      <c r="FZD20" s="13"/>
      <c r="FZE20" s="13"/>
      <c r="FZF20" s="13"/>
      <c r="FZG20" s="13"/>
      <c r="FZH20" s="13"/>
      <c r="FZI20" s="13"/>
      <c r="FZJ20" s="13"/>
      <c r="FZK20" s="13"/>
      <c r="FZL20" s="13"/>
      <c r="FZM20" s="13"/>
      <c r="FZN20" s="13"/>
      <c r="FZO20" s="13"/>
      <c r="FZP20" s="13"/>
      <c r="FZQ20" s="13"/>
      <c r="FZR20" s="13"/>
      <c r="FZS20" s="13"/>
      <c r="FZT20" s="13"/>
      <c r="FZU20" s="13"/>
      <c r="FZV20" s="13"/>
      <c r="FZW20" s="13"/>
      <c r="FZX20" s="13"/>
      <c r="FZY20" s="13"/>
      <c r="FZZ20" s="13"/>
      <c r="GAA20" s="13"/>
      <c r="GAB20" s="13"/>
      <c r="GAC20" s="13"/>
      <c r="GAD20" s="13"/>
      <c r="GAE20" s="13"/>
      <c r="GAF20" s="13"/>
      <c r="GAG20" s="13"/>
      <c r="GAH20" s="13"/>
      <c r="GAI20" s="13"/>
      <c r="GAJ20" s="13"/>
      <c r="GAK20" s="13"/>
      <c r="GAL20" s="13"/>
      <c r="GAM20" s="13"/>
      <c r="GAN20" s="13"/>
      <c r="GAO20" s="13"/>
      <c r="GAP20" s="13"/>
      <c r="GAQ20" s="13"/>
      <c r="GAR20" s="13"/>
      <c r="GAS20" s="13"/>
      <c r="GAT20" s="13"/>
      <c r="GAU20" s="13"/>
      <c r="GAV20" s="13"/>
      <c r="GAW20" s="13"/>
      <c r="GAX20" s="13"/>
      <c r="GAY20" s="13"/>
      <c r="GAZ20" s="13"/>
      <c r="GBA20" s="13"/>
      <c r="GBB20" s="13"/>
      <c r="GBC20" s="13"/>
      <c r="GBD20" s="13"/>
      <c r="GBE20" s="13"/>
      <c r="GBF20" s="13"/>
      <c r="GBG20" s="13"/>
      <c r="GBH20" s="13"/>
      <c r="GBI20" s="13"/>
      <c r="GBJ20" s="13"/>
      <c r="GBK20" s="13"/>
      <c r="GBL20" s="13"/>
      <c r="GBM20" s="13"/>
      <c r="GBN20" s="13"/>
      <c r="GBO20" s="13"/>
      <c r="GBP20" s="13"/>
      <c r="GBQ20" s="13"/>
      <c r="GBR20" s="13"/>
      <c r="GBS20" s="13"/>
      <c r="GBT20" s="13"/>
      <c r="GBU20" s="13"/>
      <c r="GBV20" s="13"/>
      <c r="GBW20" s="13"/>
      <c r="GBX20" s="13"/>
      <c r="GBY20" s="13"/>
      <c r="GBZ20" s="13"/>
      <c r="GCA20" s="13"/>
      <c r="GCB20" s="13"/>
      <c r="GCC20" s="13"/>
      <c r="GCD20" s="13"/>
      <c r="GCE20" s="13"/>
      <c r="GCF20" s="13"/>
      <c r="GCG20" s="13"/>
      <c r="GCH20" s="13"/>
      <c r="GCI20" s="13"/>
      <c r="GCJ20" s="13"/>
      <c r="GCK20" s="13"/>
      <c r="GCL20" s="13"/>
      <c r="GCM20" s="13"/>
      <c r="GCN20" s="13"/>
      <c r="GCO20" s="13"/>
      <c r="GCP20" s="13"/>
      <c r="GCQ20" s="13"/>
      <c r="GCR20" s="13"/>
      <c r="GCS20" s="13"/>
      <c r="GCT20" s="13"/>
      <c r="GCU20" s="13"/>
      <c r="GCV20" s="13"/>
      <c r="GCW20" s="13"/>
      <c r="GCX20" s="13"/>
      <c r="GCY20" s="13"/>
      <c r="GCZ20" s="13"/>
      <c r="GDA20" s="13"/>
      <c r="GDB20" s="13"/>
      <c r="GDC20" s="13"/>
      <c r="GDD20" s="13"/>
      <c r="GDE20" s="13"/>
      <c r="GDF20" s="13"/>
      <c r="GDG20" s="13"/>
      <c r="GDH20" s="13"/>
      <c r="GDI20" s="13"/>
      <c r="GDJ20" s="13"/>
      <c r="GDK20" s="13"/>
      <c r="GDL20" s="13"/>
      <c r="GDM20" s="13"/>
      <c r="GDN20" s="13"/>
      <c r="GDO20" s="13"/>
      <c r="GDP20" s="13"/>
      <c r="GDQ20" s="13"/>
      <c r="GDR20" s="13"/>
      <c r="GDS20" s="13"/>
      <c r="GDT20" s="13"/>
      <c r="GDU20" s="13"/>
      <c r="GDV20" s="13"/>
      <c r="GDW20" s="13"/>
      <c r="GDX20" s="13"/>
      <c r="GDY20" s="13"/>
      <c r="GDZ20" s="13"/>
      <c r="GEA20" s="13"/>
      <c r="GEB20" s="13"/>
      <c r="GEC20" s="13"/>
      <c r="GED20" s="13"/>
      <c r="GEE20" s="13"/>
      <c r="GEF20" s="13"/>
      <c r="GEG20" s="13"/>
      <c r="GEH20" s="13"/>
      <c r="GEI20" s="13"/>
      <c r="GEJ20" s="13"/>
      <c r="GEK20" s="13"/>
      <c r="GEL20" s="13"/>
      <c r="GEM20" s="13"/>
      <c r="GEN20" s="13"/>
      <c r="GEO20" s="13"/>
      <c r="GEP20" s="13"/>
      <c r="GEQ20" s="13"/>
      <c r="GER20" s="13"/>
      <c r="GES20" s="13"/>
      <c r="GET20" s="13"/>
      <c r="GEU20" s="13"/>
      <c r="GEV20" s="13"/>
      <c r="GEW20" s="13"/>
      <c r="GEX20" s="13"/>
      <c r="GEY20" s="13"/>
      <c r="GEZ20" s="13"/>
      <c r="GFA20" s="13"/>
      <c r="GFB20" s="13"/>
      <c r="GFC20" s="13"/>
      <c r="GFD20" s="13"/>
      <c r="GFE20" s="13"/>
      <c r="GFF20" s="13"/>
      <c r="GFG20" s="13"/>
      <c r="GFH20" s="13"/>
      <c r="GFI20" s="13"/>
      <c r="GFJ20" s="13"/>
      <c r="GFK20" s="13"/>
      <c r="GFL20" s="13"/>
      <c r="GFM20" s="13"/>
      <c r="GFN20" s="13"/>
      <c r="GFO20" s="13"/>
      <c r="GFP20" s="13"/>
      <c r="GFQ20" s="13"/>
      <c r="GFR20" s="13"/>
      <c r="GFS20" s="13"/>
      <c r="GFT20" s="13"/>
      <c r="GFU20" s="13"/>
      <c r="GFV20" s="13"/>
      <c r="GFW20" s="13"/>
      <c r="GFX20" s="13"/>
      <c r="GFY20" s="13"/>
      <c r="GFZ20" s="13"/>
      <c r="GGA20" s="13"/>
      <c r="GGB20" s="13"/>
      <c r="GGC20" s="13"/>
      <c r="GGD20" s="13"/>
      <c r="GGE20" s="13"/>
      <c r="GGF20" s="13"/>
      <c r="GGG20" s="13"/>
      <c r="GGH20" s="13"/>
      <c r="GGI20" s="13"/>
      <c r="GGJ20" s="13"/>
      <c r="GGK20" s="13"/>
      <c r="GGL20" s="13"/>
      <c r="GGM20" s="13"/>
      <c r="GGN20" s="13"/>
      <c r="GGO20" s="13"/>
      <c r="GGP20" s="13"/>
      <c r="GGQ20" s="13"/>
      <c r="GGR20" s="13"/>
      <c r="GGS20" s="13"/>
      <c r="GGT20" s="13"/>
      <c r="GGU20" s="13"/>
      <c r="GGV20" s="13"/>
      <c r="GGW20" s="13"/>
      <c r="GGX20" s="13"/>
      <c r="GGY20" s="13"/>
      <c r="GGZ20" s="13"/>
      <c r="GHA20" s="13"/>
      <c r="GHB20" s="13"/>
      <c r="GHC20" s="13"/>
      <c r="GHD20" s="13"/>
      <c r="GHE20" s="13"/>
      <c r="GHF20" s="13"/>
      <c r="GHG20" s="13"/>
      <c r="GHH20" s="13"/>
      <c r="GHI20" s="13"/>
      <c r="GHJ20" s="13"/>
      <c r="GHK20" s="13"/>
      <c r="GHL20" s="13"/>
      <c r="GHM20" s="13"/>
      <c r="GHN20" s="13"/>
      <c r="GHO20" s="13"/>
      <c r="GHP20" s="13"/>
      <c r="GHQ20" s="13"/>
      <c r="GHR20" s="13"/>
      <c r="GHS20" s="13"/>
      <c r="GHT20" s="13"/>
      <c r="GHU20" s="13"/>
      <c r="GHV20" s="13"/>
      <c r="GHW20" s="13"/>
      <c r="GHX20" s="13"/>
      <c r="GHY20" s="13"/>
      <c r="GHZ20" s="13"/>
      <c r="GIA20" s="13"/>
      <c r="GIB20" s="13"/>
      <c r="GIC20" s="13"/>
      <c r="GID20" s="13"/>
      <c r="GIE20" s="13"/>
      <c r="GIF20" s="13"/>
      <c r="GIG20" s="13"/>
      <c r="GIH20" s="13"/>
      <c r="GII20" s="13"/>
      <c r="GIJ20" s="13"/>
      <c r="GIK20" s="13"/>
      <c r="GIL20" s="13"/>
      <c r="GIM20" s="13"/>
      <c r="GIN20" s="13"/>
      <c r="GIO20" s="13"/>
      <c r="GIP20" s="13"/>
      <c r="GIQ20" s="13"/>
      <c r="GIR20" s="13"/>
      <c r="GIS20" s="13"/>
      <c r="GIT20" s="13"/>
      <c r="GIU20" s="13"/>
      <c r="GIV20" s="13"/>
      <c r="GIW20" s="13"/>
      <c r="GIX20" s="13"/>
      <c r="GIY20" s="13"/>
      <c r="GIZ20" s="13"/>
      <c r="GJA20" s="13"/>
      <c r="GJB20" s="13"/>
      <c r="GJC20" s="13"/>
      <c r="GJD20" s="13"/>
      <c r="GJE20" s="13"/>
      <c r="GJF20" s="13"/>
      <c r="GJG20" s="13"/>
      <c r="GJH20" s="13"/>
      <c r="GJI20" s="13"/>
      <c r="GJJ20" s="13"/>
      <c r="GJK20" s="13"/>
      <c r="GJL20" s="13"/>
      <c r="GJM20" s="13"/>
      <c r="GJN20" s="13"/>
      <c r="GJO20" s="13"/>
      <c r="GJP20" s="13"/>
      <c r="GJQ20" s="13"/>
      <c r="GJR20" s="13"/>
      <c r="GJS20" s="13"/>
      <c r="GJT20" s="13"/>
      <c r="GJU20" s="13"/>
      <c r="GJV20" s="13"/>
      <c r="GJW20" s="13"/>
      <c r="GJX20" s="13"/>
      <c r="GJY20" s="13"/>
      <c r="GJZ20" s="13"/>
      <c r="GKA20" s="13"/>
      <c r="GKB20" s="13"/>
      <c r="GKC20" s="13"/>
      <c r="GKD20" s="13"/>
      <c r="GKE20" s="13"/>
      <c r="GKF20" s="13"/>
      <c r="GKG20" s="13"/>
      <c r="GKH20" s="13"/>
      <c r="GKI20" s="13"/>
      <c r="GKJ20" s="13"/>
      <c r="GKK20" s="13"/>
      <c r="GKL20" s="13"/>
      <c r="GKM20" s="13"/>
      <c r="GKN20" s="13"/>
      <c r="GKO20" s="13"/>
      <c r="GKP20" s="13"/>
      <c r="GKQ20" s="13"/>
      <c r="GKR20" s="13"/>
      <c r="GKS20" s="13"/>
      <c r="GKT20" s="13"/>
      <c r="GKU20" s="13"/>
      <c r="GKV20" s="13"/>
      <c r="GKW20" s="13"/>
      <c r="GKX20" s="13"/>
      <c r="GKY20" s="13"/>
      <c r="GKZ20" s="13"/>
      <c r="GLA20" s="13"/>
      <c r="GLB20" s="13"/>
      <c r="GLC20" s="13"/>
      <c r="GLD20" s="13"/>
      <c r="GLE20" s="13"/>
      <c r="GLF20" s="13"/>
      <c r="GLG20" s="13"/>
      <c r="GLH20" s="13"/>
      <c r="GLI20" s="13"/>
      <c r="GLJ20" s="13"/>
      <c r="GLK20" s="13"/>
      <c r="GLL20" s="13"/>
      <c r="GLM20" s="13"/>
      <c r="GLN20" s="13"/>
      <c r="GLO20" s="13"/>
      <c r="GLP20" s="13"/>
      <c r="GLQ20" s="13"/>
      <c r="GLR20" s="13"/>
      <c r="GLS20" s="13"/>
      <c r="GLT20" s="13"/>
      <c r="GLU20" s="13"/>
      <c r="GLV20" s="13"/>
      <c r="GLW20" s="13"/>
      <c r="GLX20" s="13"/>
      <c r="GLY20" s="13"/>
      <c r="GLZ20" s="13"/>
      <c r="GMA20" s="13"/>
      <c r="GMB20" s="13"/>
      <c r="GMC20" s="13"/>
      <c r="GMD20" s="13"/>
      <c r="GME20" s="13"/>
      <c r="GMF20" s="13"/>
      <c r="GMG20" s="13"/>
      <c r="GMH20" s="13"/>
      <c r="GMI20" s="13"/>
      <c r="GMJ20" s="13"/>
      <c r="GMK20" s="13"/>
      <c r="GML20" s="13"/>
      <c r="GMM20" s="13"/>
      <c r="GMN20" s="13"/>
      <c r="GMO20" s="13"/>
      <c r="GMP20" s="13"/>
      <c r="GMQ20" s="13"/>
      <c r="GMR20" s="13"/>
      <c r="GMS20" s="13"/>
      <c r="GMT20" s="13"/>
      <c r="GMU20" s="13"/>
      <c r="GMV20" s="13"/>
      <c r="GMW20" s="13"/>
      <c r="GMX20" s="13"/>
      <c r="GMY20" s="13"/>
      <c r="GMZ20" s="13"/>
      <c r="GNA20" s="13"/>
      <c r="GNB20" s="13"/>
      <c r="GNC20" s="13"/>
      <c r="GND20" s="13"/>
      <c r="GNE20" s="13"/>
      <c r="GNF20" s="13"/>
      <c r="GNG20" s="13"/>
      <c r="GNH20" s="13"/>
      <c r="GNI20" s="13"/>
      <c r="GNJ20" s="13"/>
      <c r="GNK20" s="13"/>
      <c r="GNL20" s="13"/>
      <c r="GNM20" s="13"/>
      <c r="GNN20" s="13"/>
      <c r="GNO20" s="13"/>
      <c r="GNP20" s="13"/>
      <c r="GNQ20" s="13"/>
      <c r="GNR20" s="13"/>
      <c r="GNS20" s="13"/>
      <c r="GNT20" s="13"/>
      <c r="GNU20" s="13"/>
      <c r="GNV20" s="13"/>
      <c r="GNW20" s="13"/>
      <c r="GNX20" s="13"/>
      <c r="GNY20" s="13"/>
      <c r="GNZ20" s="13"/>
      <c r="GOA20" s="13"/>
      <c r="GOB20" s="13"/>
      <c r="GOC20" s="13"/>
      <c r="GOD20" s="13"/>
      <c r="GOE20" s="13"/>
      <c r="GOF20" s="13"/>
      <c r="GOG20" s="13"/>
      <c r="GOH20" s="13"/>
      <c r="GOI20" s="13"/>
      <c r="GOJ20" s="13"/>
      <c r="GOK20" s="13"/>
      <c r="GOL20" s="13"/>
      <c r="GOM20" s="13"/>
      <c r="GON20" s="13"/>
      <c r="GOO20" s="13"/>
      <c r="GOP20" s="13"/>
      <c r="GOQ20" s="13"/>
      <c r="GOR20" s="13"/>
      <c r="GOS20" s="13"/>
      <c r="GOT20" s="13"/>
      <c r="GOU20" s="13"/>
      <c r="GOV20" s="13"/>
      <c r="GOW20" s="13"/>
      <c r="GOX20" s="13"/>
      <c r="GOY20" s="13"/>
      <c r="GOZ20" s="13"/>
      <c r="GPA20" s="13"/>
      <c r="GPB20" s="13"/>
      <c r="GPC20" s="13"/>
      <c r="GPD20" s="13"/>
      <c r="GPE20" s="13"/>
      <c r="GPF20" s="13"/>
      <c r="GPG20" s="13"/>
      <c r="GPH20" s="13"/>
      <c r="GPI20" s="13"/>
      <c r="GPJ20" s="13"/>
      <c r="GPK20" s="13"/>
      <c r="GPL20" s="13"/>
      <c r="GPM20" s="13"/>
      <c r="GPN20" s="13"/>
      <c r="GPO20" s="13"/>
      <c r="GPP20" s="13"/>
      <c r="GPQ20" s="13"/>
      <c r="GPR20" s="13"/>
      <c r="GPS20" s="13"/>
      <c r="GPT20" s="13"/>
      <c r="GPU20" s="13"/>
      <c r="GPV20" s="13"/>
      <c r="GPW20" s="13"/>
      <c r="GPX20" s="13"/>
      <c r="GPY20" s="13"/>
      <c r="GPZ20" s="13"/>
      <c r="GQA20" s="13"/>
      <c r="GQB20" s="13"/>
      <c r="GQC20" s="13"/>
      <c r="GQD20" s="13"/>
      <c r="GQE20" s="13"/>
      <c r="GQF20" s="13"/>
      <c r="GQG20" s="13"/>
      <c r="GQH20" s="13"/>
      <c r="GQI20" s="13"/>
      <c r="GQJ20" s="13"/>
      <c r="GQK20" s="13"/>
      <c r="GQL20" s="13"/>
      <c r="GQM20" s="13"/>
      <c r="GQN20" s="13"/>
      <c r="GQO20" s="13"/>
      <c r="GQP20" s="13"/>
      <c r="GQQ20" s="13"/>
      <c r="GQR20" s="13"/>
      <c r="GQS20" s="13"/>
      <c r="GQT20" s="13"/>
      <c r="GQU20" s="13"/>
      <c r="GQV20" s="13"/>
      <c r="GQW20" s="13"/>
      <c r="GQX20" s="13"/>
      <c r="GQY20" s="13"/>
      <c r="GQZ20" s="13"/>
      <c r="GRA20" s="13"/>
      <c r="GRB20" s="13"/>
      <c r="GRC20" s="13"/>
      <c r="GRD20" s="13"/>
      <c r="GRE20" s="13"/>
      <c r="GRF20" s="13"/>
      <c r="GRG20" s="13"/>
      <c r="GRH20" s="13"/>
      <c r="GRI20" s="13"/>
      <c r="GRJ20" s="13"/>
      <c r="GRK20" s="13"/>
      <c r="GRL20" s="13"/>
      <c r="GRM20" s="13"/>
      <c r="GRN20" s="13"/>
      <c r="GRO20" s="13"/>
      <c r="GRP20" s="13"/>
      <c r="GRQ20" s="13"/>
      <c r="GRR20" s="13"/>
      <c r="GRS20" s="13"/>
      <c r="GRT20" s="13"/>
      <c r="GRU20" s="13"/>
      <c r="GRV20" s="13"/>
      <c r="GRW20" s="13"/>
      <c r="GRX20" s="13"/>
      <c r="GRY20" s="13"/>
      <c r="GRZ20" s="13"/>
      <c r="GSA20" s="13"/>
      <c r="GSB20" s="13"/>
      <c r="GSC20" s="13"/>
      <c r="GSD20" s="13"/>
      <c r="GSE20" s="13"/>
      <c r="GSF20" s="13"/>
      <c r="GSG20" s="13"/>
      <c r="GSH20" s="13"/>
      <c r="GSI20" s="13"/>
      <c r="GSJ20" s="13"/>
      <c r="GSK20" s="13"/>
      <c r="GSL20" s="13"/>
      <c r="GSM20" s="13"/>
      <c r="GSN20" s="13"/>
      <c r="GSO20" s="13"/>
      <c r="GSP20" s="13"/>
      <c r="GSQ20" s="13"/>
      <c r="GSR20" s="13"/>
      <c r="GSS20" s="13"/>
      <c r="GST20" s="13"/>
      <c r="GSU20" s="13"/>
      <c r="GSV20" s="13"/>
      <c r="GSW20" s="13"/>
      <c r="GSX20" s="13"/>
      <c r="GSY20" s="13"/>
      <c r="GSZ20" s="13"/>
      <c r="GTA20" s="13"/>
      <c r="GTB20" s="13"/>
      <c r="GTC20" s="13"/>
      <c r="GTD20" s="13"/>
      <c r="GTE20" s="13"/>
      <c r="GTF20" s="13"/>
      <c r="GTG20" s="13"/>
      <c r="GTH20" s="13"/>
      <c r="GTI20" s="13"/>
      <c r="GTJ20" s="13"/>
      <c r="GTK20" s="13"/>
      <c r="GTL20" s="13"/>
      <c r="GTM20" s="13"/>
      <c r="GTN20" s="13"/>
      <c r="GTO20" s="13"/>
      <c r="GTP20" s="13"/>
      <c r="GTQ20" s="13"/>
      <c r="GTR20" s="13"/>
      <c r="GTS20" s="13"/>
      <c r="GTT20" s="13"/>
      <c r="GTU20" s="13"/>
      <c r="GTV20" s="13"/>
      <c r="GTW20" s="13"/>
      <c r="GTX20" s="13"/>
      <c r="GTY20" s="13"/>
      <c r="GTZ20" s="13"/>
      <c r="GUA20" s="13"/>
      <c r="GUB20" s="13"/>
      <c r="GUC20" s="13"/>
      <c r="GUD20" s="13"/>
      <c r="GUE20" s="13"/>
      <c r="GUF20" s="13"/>
      <c r="GUG20" s="13"/>
      <c r="GUH20" s="13"/>
      <c r="GUI20" s="13"/>
      <c r="GUJ20" s="13"/>
      <c r="GUK20" s="13"/>
      <c r="GUL20" s="13"/>
      <c r="GUM20" s="13"/>
      <c r="GUN20" s="13"/>
      <c r="GUO20" s="13"/>
      <c r="GUP20" s="13"/>
      <c r="GUQ20" s="13"/>
      <c r="GUR20" s="13"/>
      <c r="GUS20" s="13"/>
      <c r="GUT20" s="13"/>
      <c r="GUU20" s="13"/>
      <c r="GUV20" s="13"/>
      <c r="GUW20" s="13"/>
      <c r="GUX20" s="13"/>
      <c r="GUY20" s="13"/>
      <c r="GUZ20" s="13"/>
      <c r="GVA20" s="13"/>
      <c r="GVB20" s="13"/>
      <c r="GVC20" s="13"/>
      <c r="GVD20" s="13"/>
      <c r="GVE20" s="13"/>
      <c r="GVF20" s="13"/>
      <c r="GVG20" s="13"/>
      <c r="GVH20" s="13"/>
      <c r="GVI20" s="13"/>
      <c r="GVJ20" s="13"/>
      <c r="GVK20" s="13"/>
      <c r="GVL20" s="13"/>
      <c r="GVM20" s="13"/>
      <c r="GVN20" s="13"/>
      <c r="GVO20" s="13"/>
      <c r="GVP20" s="13"/>
      <c r="GVQ20" s="13"/>
      <c r="GVR20" s="13"/>
      <c r="GVS20" s="13"/>
      <c r="GVT20" s="13"/>
      <c r="GVU20" s="13"/>
      <c r="GVV20" s="13"/>
      <c r="GVW20" s="13"/>
      <c r="GVX20" s="13"/>
      <c r="GVY20" s="13"/>
      <c r="GVZ20" s="13"/>
      <c r="GWA20" s="13"/>
      <c r="GWB20" s="13"/>
      <c r="GWC20" s="13"/>
      <c r="GWD20" s="13"/>
      <c r="GWE20" s="13"/>
      <c r="GWF20" s="13"/>
      <c r="GWG20" s="13"/>
      <c r="GWH20" s="13"/>
      <c r="GWI20" s="13"/>
      <c r="GWJ20" s="13"/>
      <c r="GWK20" s="13"/>
      <c r="GWL20" s="13"/>
      <c r="GWM20" s="13"/>
      <c r="GWN20" s="13"/>
      <c r="GWO20" s="13"/>
      <c r="GWP20" s="13"/>
      <c r="GWQ20" s="13"/>
      <c r="GWR20" s="13"/>
      <c r="GWS20" s="13"/>
      <c r="GWT20" s="13"/>
      <c r="GWU20" s="13"/>
      <c r="GWV20" s="13"/>
      <c r="GWW20" s="13"/>
      <c r="GWX20" s="13"/>
      <c r="GWY20" s="13"/>
      <c r="GWZ20" s="13"/>
      <c r="GXA20" s="13"/>
      <c r="GXB20" s="13"/>
      <c r="GXC20" s="13"/>
      <c r="GXD20" s="13"/>
      <c r="GXE20" s="13"/>
      <c r="GXF20" s="13"/>
      <c r="GXG20" s="13"/>
      <c r="GXH20" s="13"/>
      <c r="GXI20" s="13"/>
      <c r="GXJ20" s="13"/>
      <c r="GXK20" s="13"/>
      <c r="GXL20" s="13"/>
      <c r="GXM20" s="13"/>
      <c r="GXN20" s="13"/>
      <c r="GXO20" s="13"/>
      <c r="GXP20" s="13"/>
      <c r="GXQ20" s="13"/>
      <c r="GXR20" s="13"/>
      <c r="GXS20" s="13"/>
      <c r="GXT20" s="13"/>
      <c r="GXU20" s="13"/>
      <c r="GXV20" s="13"/>
      <c r="GXW20" s="13"/>
      <c r="GXX20" s="13"/>
      <c r="GXY20" s="13"/>
      <c r="GXZ20" s="13"/>
      <c r="GYA20" s="13"/>
      <c r="GYB20" s="13"/>
      <c r="GYC20" s="13"/>
      <c r="GYD20" s="13"/>
      <c r="GYE20" s="13"/>
      <c r="GYF20" s="13"/>
      <c r="GYG20" s="13"/>
      <c r="GYH20" s="13"/>
      <c r="GYI20" s="13"/>
      <c r="GYJ20" s="13"/>
      <c r="GYK20" s="13"/>
      <c r="GYL20" s="13"/>
      <c r="GYM20" s="13"/>
      <c r="GYN20" s="13"/>
      <c r="GYO20" s="13"/>
      <c r="GYP20" s="13"/>
      <c r="GYQ20" s="13"/>
      <c r="GYR20" s="13"/>
      <c r="GYS20" s="13"/>
      <c r="GYT20" s="13"/>
      <c r="GYU20" s="13"/>
      <c r="GYV20" s="13"/>
      <c r="GYW20" s="13"/>
      <c r="GYX20" s="13"/>
      <c r="GYY20" s="13"/>
      <c r="GYZ20" s="13"/>
      <c r="GZA20" s="13"/>
      <c r="GZB20" s="13"/>
      <c r="GZC20" s="13"/>
      <c r="GZD20" s="13"/>
      <c r="GZE20" s="13"/>
      <c r="GZF20" s="13"/>
      <c r="GZG20" s="13"/>
      <c r="GZH20" s="13"/>
      <c r="GZI20" s="13"/>
      <c r="GZJ20" s="13"/>
      <c r="GZK20" s="13"/>
      <c r="GZL20" s="13"/>
      <c r="GZM20" s="13"/>
      <c r="GZN20" s="13"/>
      <c r="GZO20" s="13"/>
      <c r="GZP20" s="13"/>
      <c r="GZQ20" s="13"/>
      <c r="GZR20" s="13"/>
      <c r="GZS20" s="13"/>
      <c r="GZT20" s="13"/>
      <c r="GZU20" s="13"/>
      <c r="GZV20" s="13"/>
      <c r="GZW20" s="13"/>
      <c r="GZX20" s="13"/>
      <c r="GZY20" s="13"/>
      <c r="GZZ20" s="13"/>
      <c r="HAA20" s="13"/>
      <c r="HAB20" s="13"/>
      <c r="HAC20" s="13"/>
      <c r="HAD20" s="13"/>
      <c r="HAE20" s="13"/>
      <c r="HAF20" s="13"/>
      <c r="HAG20" s="13"/>
      <c r="HAH20" s="13"/>
      <c r="HAI20" s="13"/>
      <c r="HAJ20" s="13"/>
      <c r="HAK20" s="13"/>
      <c r="HAL20" s="13"/>
      <c r="HAM20" s="13"/>
      <c r="HAN20" s="13"/>
      <c r="HAO20" s="13"/>
      <c r="HAP20" s="13"/>
      <c r="HAQ20" s="13"/>
      <c r="HAR20" s="13"/>
      <c r="HAS20" s="13"/>
      <c r="HAT20" s="13"/>
      <c r="HAU20" s="13"/>
      <c r="HAV20" s="13"/>
      <c r="HAW20" s="13"/>
      <c r="HAX20" s="13"/>
      <c r="HAY20" s="13"/>
      <c r="HAZ20" s="13"/>
      <c r="HBA20" s="13"/>
      <c r="HBB20" s="13"/>
      <c r="HBC20" s="13"/>
      <c r="HBD20" s="13"/>
      <c r="HBE20" s="13"/>
      <c r="HBF20" s="13"/>
      <c r="HBG20" s="13"/>
      <c r="HBH20" s="13"/>
      <c r="HBI20" s="13"/>
      <c r="HBJ20" s="13"/>
      <c r="HBK20" s="13"/>
      <c r="HBL20" s="13"/>
      <c r="HBM20" s="13"/>
      <c r="HBN20" s="13"/>
      <c r="HBO20" s="13"/>
      <c r="HBP20" s="13"/>
      <c r="HBQ20" s="13"/>
      <c r="HBR20" s="13"/>
      <c r="HBS20" s="13"/>
      <c r="HBT20" s="13"/>
      <c r="HBU20" s="13"/>
      <c r="HBV20" s="13"/>
      <c r="HBW20" s="13"/>
      <c r="HBX20" s="13"/>
      <c r="HBY20" s="13"/>
      <c r="HBZ20" s="13"/>
      <c r="HCA20" s="13"/>
      <c r="HCB20" s="13"/>
      <c r="HCC20" s="13"/>
      <c r="HCD20" s="13"/>
      <c r="HCE20" s="13"/>
      <c r="HCF20" s="13"/>
      <c r="HCG20" s="13"/>
      <c r="HCH20" s="13"/>
      <c r="HCI20" s="13"/>
      <c r="HCJ20" s="13"/>
      <c r="HCK20" s="13"/>
      <c r="HCL20" s="13"/>
      <c r="HCM20" s="13"/>
      <c r="HCN20" s="13"/>
      <c r="HCO20" s="13"/>
      <c r="HCP20" s="13"/>
      <c r="HCQ20" s="13"/>
      <c r="HCR20" s="13"/>
      <c r="HCS20" s="13"/>
      <c r="HCT20" s="13"/>
      <c r="HCU20" s="13"/>
      <c r="HCV20" s="13"/>
      <c r="HCW20" s="13"/>
      <c r="HCX20" s="13"/>
      <c r="HCY20" s="13"/>
      <c r="HCZ20" s="13"/>
      <c r="HDA20" s="13"/>
      <c r="HDB20" s="13"/>
      <c r="HDC20" s="13"/>
      <c r="HDD20" s="13"/>
      <c r="HDE20" s="13"/>
      <c r="HDF20" s="13"/>
      <c r="HDG20" s="13"/>
      <c r="HDH20" s="13"/>
      <c r="HDI20" s="13"/>
      <c r="HDJ20" s="13"/>
      <c r="HDK20" s="13"/>
      <c r="HDL20" s="13"/>
      <c r="HDM20" s="13"/>
      <c r="HDN20" s="13"/>
      <c r="HDO20" s="13"/>
      <c r="HDP20" s="13"/>
      <c r="HDQ20" s="13"/>
      <c r="HDR20" s="13"/>
      <c r="HDS20" s="13"/>
      <c r="HDT20" s="13"/>
      <c r="HDU20" s="13"/>
      <c r="HDV20" s="13"/>
      <c r="HDW20" s="13"/>
      <c r="HDX20" s="13"/>
      <c r="HDY20" s="13"/>
      <c r="HDZ20" s="13"/>
      <c r="HEA20" s="13"/>
      <c r="HEB20" s="13"/>
      <c r="HEC20" s="13"/>
      <c r="HED20" s="13"/>
      <c r="HEE20" s="13"/>
      <c r="HEF20" s="13"/>
      <c r="HEG20" s="13"/>
      <c r="HEH20" s="13"/>
      <c r="HEI20" s="13"/>
      <c r="HEJ20" s="13"/>
      <c r="HEK20" s="13"/>
      <c r="HEL20" s="13"/>
      <c r="HEM20" s="13"/>
      <c r="HEN20" s="13"/>
      <c r="HEO20" s="13"/>
      <c r="HEP20" s="13"/>
      <c r="HEQ20" s="13"/>
      <c r="HER20" s="13"/>
      <c r="HES20" s="13"/>
      <c r="HET20" s="13"/>
      <c r="HEU20" s="13"/>
      <c r="HEV20" s="13"/>
      <c r="HEW20" s="13"/>
      <c r="HEX20" s="13"/>
      <c r="HEY20" s="13"/>
      <c r="HEZ20" s="13"/>
      <c r="HFA20" s="13"/>
      <c r="HFB20" s="13"/>
      <c r="HFC20" s="13"/>
      <c r="HFD20" s="13"/>
      <c r="HFE20" s="13"/>
      <c r="HFF20" s="13"/>
      <c r="HFG20" s="13"/>
      <c r="HFH20" s="13"/>
      <c r="HFI20" s="13"/>
      <c r="HFJ20" s="13"/>
      <c r="HFK20" s="13"/>
      <c r="HFL20" s="13"/>
      <c r="HFM20" s="13"/>
      <c r="HFN20" s="13"/>
      <c r="HFO20" s="13"/>
      <c r="HFP20" s="13"/>
      <c r="HFQ20" s="13"/>
      <c r="HFR20" s="13"/>
      <c r="HFS20" s="13"/>
      <c r="HFT20" s="13"/>
      <c r="HFU20" s="13"/>
      <c r="HFV20" s="13"/>
      <c r="HFW20" s="13"/>
      <c r="HFX20" s="13"/>
      <c r="HFY20" s="13"/>
      <c r="HFZ20" s="13"/>
      <c r="HGA20" s="13"/>
      <c r="HGB20" s="13"/>
      <c r="HGC20" s="13"/>
      <c r="HGD20" s="13"/>
      <c r="HGE20" s="13"/>
      <c r="HGF20" s="13"/>
      <c r="HGG20" s="13"/>
      <c r="HGH20" s="13"/>
      <c r="HGI20" s="13"/>
      <c r="HGJ20" s="13"/>
      <c r="HGK20" s="13"/>
      <c r="HGL20" s="13"/>
      <c r="HGM20" s="13"/>
      <c r="HGN20" s="13"/>
      <c r="HGO20" s="13"/>
      <c r="HGP20" s="13"/>
      <c r="HGQ20" s="13"/>
      <c r="HGR20" s="13"/>
      <c r="HGS20" s="13"/>
      <c r="HGT20" s="13"/>
      <c r="HGU20" s="13"/>
      <c r="HGV20" s="13"/>
      <c r="HGW20" s="13"/>
      <c r="HGX20" s="13"/>
      <c r="HGY20" s="13"/>
      <c r="HGZ20" s="13"/>
      <c r="HHA20" s="13"/>
      <c r="HHB20" s="13"/>
      <c r="HHC20" s="13"/>
      <c r="HHD20" s="13"/>
      <c r="HHE20" s="13"/>
      <c r="HHF20" s="13"/>
      <c r="HHG20" s="13"/>
      <c r="HHH20" s="13"/>
      <c r="HHI20" s="13"/>
      <c r="HHJ20" s="13"/>
      <c r="HHK20" s="13"/>
      <c r="HHL20" s="13"/>
      <c r="HHM20" s="13"/>
      <c r="HHN20" s="13"/>
      <c r="HHO20" s="13"/>
      <c r="HHP20" s="13"/>
      <c r="HHQ20" s="13"/>
      <c r="HHR20" s="13"/>
      <c r="HHS20" s="13"/>
      <c r="HHT20" s="13"/>
      <c r="HHU20" s="13"/>
      <c r="HHV20" s="13"/>
      <c r="HHW20" s="13"/>
      <c r="HHX20" s="13"/>
      <c r="HHY20" s="13"/>
      <c r="HHZ20" s="13"/>
      <c r="HIA20" s="13"/>
      <c r="HIB20" s="13"/>
      <c r="HIC20" s="13"/>
      <c r="HID20" s="13"/>
      <c r="HIE20" s="13"/>
      <c r="HIF20" s="13"/>
      <c r="HIG20" s="13"/>
      <c r="HIH20" s="13"/>
      <c r="HII20" s="13"/>
      <c r="HIJ20" s="13"/>
      <c r="HIK20" s="13"/>
      <c r="HIL20" s="13"/>
      <c r="HIM20" s="13"/>
      <c r="HIN20" s="13"/>
      <c r="HIO20" s="13"/>
      <c r="HIP20" s="13"/>
      <c r="HIQ20" s="13"/>
      <c r="HIR20" s="13"/>
      <c r="HIS20" s="13"/>
      <c r="HIT20" s="13"/>
      <c r="HIU20" s="13"/>
      <c r="HIV20" s="13"/>
      <c r="HIW20" s="13"/>
      <c r="HIX20" s="13"/>
      <c r="HIY20" s="13"/>
      <c r="HIZ20" s="13"/>
      <c r="HJA20" s="13"/>
      <c r="HJB20" s="13"/>
      <c r="HJC20" s="13"/>
      <c r="HJD20" s="13"/>
      <c r="HJE20" s="13"/>
      <c r="HJF20" s="13"/>
      <c r="HJG20" s="13"/>
      <c r="HJH20" s="13"/>
      <c r="HJI20" s="13"/>
      <c r="HJJ20" s="13"/>
      <c r="HJK20" s="13"/>
      <c r="HJL20" s="13"/>
      <c r="HJM20" s="13"/>
      <c r="HJN20" s="13"/>
      <c r="HJO20" s="13"/>
      <c r="HJP20" s="13"/>
      <c r="HJQ20" s="13"/>
      <c r="HJR20" s="13"/>
      <c r="HJS20" s="13"/>
      <c r="HJT20" s="13"/>
      <c r="HJU20" s="13"/>
      <c r="HJV20" s="13"/>
      <c r="HJW20" s="13"/>
      <c r="HJX20" s="13"/>
      <c r="HJY20" s="13"/>
      <c r="HJZ20" s="13"/>
      <c r="HKA20" s="13"/>
      <c r="HKB20" s="13"/>
      <c r="HKC20" s="13"/>
      <c r="HKD20" s="13"/>
      <c r="HKE20" s="13"/>
      <c r="HKF20" s="13"/>
      <c r="HKG20" s="13"/>
      <c r="HKH20" s="13"/>
      <c r="HKI20" s="13"/>
      <c r="HKJ20" s="13"/>
      <c r="HKK20" s="13"/>
      <c r="HKL20" s="13"/>
      <c r="HKM20" s="13"/>
      <c r="HKN20" s="13"/>
      <c r="HKO20" s="13"/>
      <c r="HKP20" s="13"/>
      <c r="HKQ20" s="13"/>
      <c r="HKR20" s="13"/>
      <c r="HKS20" s="13"/>
      <c r="HKT20" s="13"/>
      <c r="HKU20" s="13"/>
      <c r="HKV20" s="13"/>
      <c r="HKW20" s="13"/>
      <c r="HKX20" s="13"/>
      <c r="HKY20" s="13"/>
      <c r="HKZ20" s="13"/>
      <c r="HLA20" s="13"/>
      <c r="HLB20" s="13"/>
      <c r="HLC20" s="13"/>
      <c r="HLD20" s="13"/>
      <c r="HLE20" s="13"/>
      <c r="HLF20" s="13"/>
      <c r="HLG20" s="13"/>
      <c r="HLH20" s="13"/>
      <c r="HLI20" s="13"/>
      <c r="HLJ20" s="13"/>
      <c r="HLK20" s="13"/>
      <c r="HLL20" s="13"/>
      <c r="HLM20" s="13"/>
      <c r="HLN20" s="13"/>
      <c r="HLO20" s="13"/>
      <c r="HLP20" s="13"/>
      <c r="HLQ20" s="13"/>
      <c r="HLR20" s="13"/>
      <c r="HLS20" s="13"/>
      <c r="HLT20" s="13"/>
      <c r="HLU20" s="13"/>
      <c r="HLV20" s="13"/>
      <c r="HLW20" s="13"/>
      <c r="HLX20" s="13"/>
      <c r="HLY20" s="13"/>
      <c r="HLZ20" s="13"/>
      <c r="HMA20" s="13"/>
      <c r="HMB20" s="13"/>
      <c r="HMC20" s="13"/>
      <c r="HMD20" s="13"/>
      <c r="HME20" s="13"/>
      <c r="HMF20" s="13"/>
      <c r="HMG20" s="13"/>
      <c r="HMH20" s="13"/>
      <c r="HMI20" s="13"/>
      <c r="HMJ20" s="13"/>
      <c r="HMK20" s="13"/>
      <c r="HML20" s="13"/>
      <c r="HMM20" s="13"/>
      <c r="HMN20" s="13"/>
      <c r="HMO20" s="13"/>
      <c r="HMP20" s="13"/>
      <c r="HMQ20" s="13"/>
      <c r="HMR20" s="13"/>
      <c r="HMS20" s="13"/>
      <c r="HMT20" s="13"/>
      <c r="HMU20" s="13"/>
      <c r="HMV20" s="13"/>
      <c r="HMW20" s="13"/>
      <c r="HMX20" s="13"/>
      <c r="HMY20" s="13"/>
      <c r="HMZ20" s="13"/>
      <c r="HNA20" s="13"/>
      <c r="HNB20" s="13"/>
      <c r="HNC20" s="13"/>
      <c r="HND20" s="13"/>
      <c r="HNE20" s="13"/>
      <c r="HNF20" s="13"/>
      <c r="HNG20" s="13"/>
      <c r="HNH20" s="13"/>
      <c r="HNI20" s="13"/>
      <c r="HNJ20" s="13"/>
      <c r="HNK20" s="13"/>
      <c r="HNL20" s="13"/>
      <c r="HNM20" s="13"/>
      <c r="HNN20" s="13"/>
      <c r="HNO20" s="13"/>
      <c r="HNP20" s="13"/>
      <c r="HNQ20" s="13"/>
      <c r="HNR20" s="13"/>
      <c r="HNS20" s="13"/>
      <c r="HNT20" s="13"/>
      <c r="HNU20" s="13"/>
      <c r="HNV20" s="13"/>
      <c r="HNW20" s="13"/>
      <c r="HNX20" s="13"/>
      <c r="HNY20" s="13"/>
      <c r="HNZ20" s="13"/>
      <c r="HOA20" s="13"/>
      <c r="HOB20" s="13"/>
      <c r="HOC20" s="13"/>
      <c r="HOD20" s="13"/>
      <c r="HOE20" s="13"/>
      <c r="HOF20" s="13"/>
      <c r="HOG20" s="13"/>
      <c r="HOH20" s="13"/>
      <c r="HOI20" s="13"/>
      <c r="HOJ20" s="13"/>
      <c r="HOK20" s="13"/>
      <c r="HOL20" s="13"/>
      <c r="HOM20" s="13"/>
      <c r="HON20" s="13"/>
      <c r="HOO20" s="13"/>
      <c r="HOP20" s="13"/>
      <c r="HOQ20" s="13"/>
      <c r="HOR20" s="13"/>
      <c r="HOS20" s="13"/>
      <c r="HOT20" s="13"/>
      <c r="HOU20" s="13"/>
      <c r="HOV20" s="13"/>
      <c r="HOW20" s="13"/>
      <c r="HOX20" s="13"/>
      <c r="HOY20" s="13"/>
      <c r="HOZ20" s="13"/>
      <c r="HPA20" s="13"/>
      <c r="HPB20" s="13"/>
      <c r="HPC20" s="13"/>
      <c r="HPD20" s="13"/>
      <c r="HPE20" s="13"/>
      <c r="HPF20" s="13"/>
      <c r="HPG20" s="13"/>
      <c r="HPH20" s="13"/>
      <c r="HPI20" s="13"/>
      <c r="HPJ20" s="13"/>
      <c r="HPK20" s="13"/>
      <c r="HPL20" s="13"/>
      <c r="HPM20" s="13"/>
      <c r="HPN20" s="13"/>
      <c r="HPO20" s="13"/>
      <c r="HPP20" s="13"/>
      <c r="HPQ20" s="13"/>
      <c r="HPR20" s="13"/>
      <c r="HPS20" s="13"/>
      <c r="HPT20" s="13"/>
      <c r="HPU20" s="13"/>
      <c r="HPV20" s="13"/>
      <c r="HPW20" s="13"/>
      <c r="HPX20" s="13"/>
      <c r="HPY20" s="13"/>
      <c r="HPZ20" s="13"/>
      <c r="HQA20" s="13"/>
      <c r="HQB20" s="13"/>
      <c r="HQC20" s="13"/>
      <c r="HQD20" s="13"/>
      <c r="HQE20" s="13"/>
      <c r="HQF20" s="13"/>
      <c r="HQG20" s="13"/>
      <c r="HQH20" s="13"/>
      <c r="HQI20" s="13"/>
      <c r="HQJ20" s="13"/>
      <c r="HQK20" s="13"/>
      <c r="HQL20" s="13"/>
      <c r="HQM20" s="13"/>
      <c r="HQN20" s="13"/>
      <c r="HQO20" s="13"/>
      <c r="HQP20" s="13"/>
      <c r="HQQ20" s="13"/>
      <c r="HQR20" s="13"/>
      <c r="HQS20" s="13"/>
      <c r="HQT20" s="13"/>
      <c r="HQU20" s="13"/>
      <c r="HQV20" s="13"/>
      <c r="HQW20" s="13"/>
      <c r="HQX20" s="13"/>
      <c r="HQY20" s="13"/>
      <c r="HQZ20" s="13"/>
      <c r="HRA20" s="13"/>
      <c r="HRB20" s="13"/>
      <c r="HRC20" s="13"/>
      <c r="HRD20" s="13"/>
      <c r="HRE20" s="13"/>
      <c r="HRF20" s="13"/>
      <c r="HRG20" s="13"/>
      <c r="HRH20" s="13"/>
      <c r="HRI20" s="13"/>
      <c r="HRJ20" s="13"/>
      <c r="HRK20" s="13"/>
      <c r="HRL20" s="13"/>
      <c r="HRM20" s="13"/>
      <c r="HRN20" s="13"/>
      <c r="HRO20" s="13"/>
      <c r="HRP20" s="13"/>
      <c r="HRQ20" s="13"/>
      <c r="HRR20" s="13"/>
      <c r="HRS20" s="13"/>
      <c r="HRT20" s="13"/>
      <c r="HRU20" s="13"/>
      <c r="HRV20" s="13"/>
      <c r="HRW20" s="13"/>
      <c r="HRX20" s="13"/>
      <c r="HRY20" s="13"/>
      <c r="HRZ20" s="13"/>
      <c r="HSA20" s="13"/>
      <c r="HSB20" s="13"/>
      <c r="HSC20" s="13"/>
      <c r="HSD20" s="13"/>
      <c r="HSE20" s="13"/>
      <c r="HSF20" s="13"/>
      <c r="HSG20" s="13"/>
      <c r="HSH20" s="13"/>
      <c r="HSI20" s="13"/>
      <c r="HSJ20" s="13"/>
      <c r="HSK20" s="13"/>
      <c r="HSL20" s="13"/>
      <c r="HSM20" s="13"/>
      <c r="HSN20" s="13"/>
      <c r="HSO20" s="13"/>
      <c r="HSP20" s="13"/>
      <c r="HSQ20" s="13"/>
      <c r="HSR20" s="13"/>
      <c r="HSS20" s="13"/>
      <c r="HST20" s="13"/>
      <c r="HSU20" s="13"/>
      <c r="HSV20" s="13"/>
      <c r="HSW20" s="13"/>
      <c r="HSX20" s="13"/>
      <c r="HSY20" s="13"/>
      <c r="HSZ20" s="13"/>
      <c r="HTA20" s="13"/>
      <c r="HTB20" s="13"/>
      <c r="HTC20" s="13"/>
      <c r="HTD20" s="13"/>
      <c r="HTE20" s="13"/>
      <c r="HTF20" s="13"/>
      <c r="HTG20" s="13"/>
      <c r="HTH20" s="13"/>
      <c r="HTI20" s="13"/>
      <c r="HTJ20" s="13"/>
      <c r="HTK20" s="13"/>
      <c r="HTL20" s="13"/>
      <c r="HTM20" s="13"/>
      <c r="HTN20" s="13"/>
      <c r="HTO20" s="13"/>
      <c r="HTP20" s="13"/>
      <c r="HTQ20" s="13"/>
      <c r="HTR20" s="13"/>
      <c r="HTS20" s="13"/>
      <c r="HTT20" s="13"/>
      <c r="HTU20" s="13"/>
      <c r="HTV20" s="13"/>
      <c r="HTW20" s="13"/>
      <c r="HTX20" s="13"/>
      <c r="HTY20" s="13"/>
      <c r="HTZ20" s="13"/>
      <c r="HUA20" s="13"/>
      <c r="HUB20" s="13"/>
      <c r="HUC20" s="13"/>
      <c r="HUD20" s="13"/>
      <c r="HUE20" s="13"/>
      <c r="HUF20" s="13"/>
      <c r="HUG20" s="13"/>
      <c r="HUH20" s="13"/>
      <c r="HUI20" s="13"/>
      <c r="HUJ20" s="13"/>
      <c r="HUK20" s="13"/>
      <c r="HUL20" s="13"/>
      <c r="HUM20" s="13"/>
      <c r="HUN20" s="13"/>
      <c r="HUO20" s="13"/>
      <c r="HUP20" s="13"/>
      <c r="HUQ20" s="13"/>
      <c r="HUR20" s="13"/>
      <c r="HUS20" s="13"/>
      <c r="HUT20" s="13"/>
      <c r="HUU20" s="13"/>
      <c r="HUV20" s="13"/>
      <c r="HUW20" s="13"/>
      <c r="HUX20" s="13"/>
      <c r="HUY20" s="13"/>
      <c r="HUZ20" s="13"/>
      <c r="HVA20" s="13"/>
      <c r="HVB20" s="13"/>
      <c r="HVC20" s="13"/>
      <c r="HVD20" s="13"/>
      <c r="HVE20" s="13"/>
      <c r="HVF20" s="13"/>
      <c r="HVG20" s="13"/>
      <c r="HVH20" s="13"/>
      <c r="HVI20" s="13"/>
      <c r="HVJ20" s="13"/>
      <c r="HVK20" s="13"/>
      <c r="HVL20" s="13"/>
      <c r="HVM20" s="13"/>
      <c r="HVN20" s="13"/>
      <c r="HVO20" s="13"/>
      <c r="HVP20" s="13"/>
      <c r="HVQ20" s="13"/>
      <c r="HVR20" s="13"/>
      <c r="HVS20" s="13"/>
      <c r="HVT20" s="13"/>
      <c r="HVU20" s="13"/>
      <c r="HVV20" s="13"/>
      <c r="HVW20" s="13"/>
      <c r="HVX20" s="13"/>
      <c r="HVY20" s="13"/>
      <c r="HVZ20" s="13"/>
      <c r="HWA20" s="13"/>
      <c r="HWB20" s="13"/>
      <c r="HWC20" s="13"/>
      <c r="HWD20" s="13"/>
      <c r="HWE20" s="13"/>
      <c r="HWF20" s="13"/>
      <c r="HWG20" s="13"/>
      <c r="HWH20" s="13"/>
      <c r="HWI20" s="13"/>
      <c r="HWJ20" s="13"/>
      <c r="HWK20" s="13"/>
      <c r="HWL20" s="13"/>
      <c r="HWM20" s="13"/>
      <c r="HWN20" s="13"/>
      <c r="HWO20" s="13"/>
      <c r="HWP20" s="13"/>
      <c r="HWQ20" s="13"/>
      <c r="HWR20" s="13"/>
      <c r="HWS20" s="13"/>
      <c r="HWT20" s="13"/>
      <c r="HWU20" s="13"/>
      <c r="HWV20" s="13"/>
      <c r="HWW20" s="13"/>
      <c r="HWX20" s="13"/>
      <c r="HWY20" s="13"/>
      <c r="HWZ20" s="13"/>
      <c r="HXA20" s="13"/>
      <c r="HXB20" s="13"/>
      <c r="HXC20" s="13"/>
      <c r="HXD20" s="13"/>
      <c r="HXE20" s="13"/>
      <c r="HXF20" s="13"/>
      <c r="HXG20" s="13"/>
      <c r="HXH20" s="13"/>
      <c r="HXI20" s="13"/>
      <c r="HXJ20" s="13"/>
      <c r="HXK20" s="13"/>
      <c r="HXL20" s="13"/>
      <c r="HXM20" s="13"/>
      <c r="HXN20" s="13"/>
      <c r="HXO20" s="13"/>
      <c r="HXP20" s="13"/>
      <c r="HXQ20" s="13"/>
      <c r="HXR20" s="13"/>
      <c r="HXS20" s="13"/>
      <c r="HXT20" s="13"/>
      <c r="HXU20" s="13"/>
      <c r="HXV20" s="13"/>
      <c r="HXW20" s="13"/>
      <c r="HXX20" s="13"/>
      <c r="HXY20" s="13"/>
      <c r="HXZ20" s="13"/>
      <c r="HYA20" s="13"/>
      <c r="HYB20" s="13"/>
      <c r="HYC20" s="13"/>
      <c r="HYD20" s="13"/>
      <c r="HYE20" s="13"/>
      <c r="HYF20" s="13"/>
      <c r="HYG20" s="13"/>
      <c r="HYH20" s="13"/>
      <c r="HYI20" s="13"/>
      <c r="HYJ20" s="13"/>
      <c r="HYK20" s="13"/>
      <c r="HYL20" s="13"/>
      <c r="HYM20" s="13"/>
      <c r="HYN20" s="13"/>
      <c r="HYO20" s="13"/>
      <c r="HYP20" s="13"/>
      <c r="HYQ20" s="13"/>
      <c r="HYR20" s="13"/>
      <c r="HYS20" s="13"/>
      <c r="HYT20" s="13"/>
      <c r="HYU20" s="13"/>
      <c r="HYV20" s="13"/>
      <c r="HYW20" s="13"/>
      <c r="HYX20" s="13"/>
      <c r="HYY20" s="13"/>
      <c r="HYZ20" s="13"/>
      <c r="HZA20" s="13"/>
      <c r="HZB20" s="13"/>
      <c r="HZC20" s="13"/>
      <c r="HZD20" s="13"/>
      <c r="HZE20" s="13"/>
      <c r="HZF20" s="13"/>
      <c r="HZG20" s="13"/>
      <c r="HZH20" s="13"/>
      <c r="HZI20" s="13"/>
      <c r="HZJ20" s="13"/>
      <c r="HZK20" s="13"/>
      <c r="HZL20" s="13"/>
      <c r="HZM20" s="13"/>
      <c r="HZN20" s="13"/>
      <c r="HZO20" s="13"/>
      <c r="HZP20" s="13"/>
      <c r="HZQ20" s="13"/>
      <c r="HZR20" s="13"/>
      <c r="HZS20" s="13"/>
      <c r="HZT20" s="13"/>
      <c r="HZU20" s="13"/>
      <c r="HZV20" s="13"/>
      <c r="HZW20" s="13"/>
      <c r="HZX20" s="13"/>
      <c r="HZY20" s="13"/>
      <c r="HZZ20" s="13"/>
      <c r="IAA20" s="13"/>
      <c r="IAB20" s="13"/>
      <c r="IAC20" s="13"/>
      <c r="IAD20" s="13"/>
      <c r="IAE20" s="13"/>
      <c r="IAF20" s="13"/>
      <c r="IAG20" s="13"/>
      <c r="IAH20" s="13"/>
      <c r="IAI20" s="13"/>
      <c r="IAJ20" s="13"/>
      <c r="IAK20" s="13"/>
      <c r="IAL20" s="13"/>
      <c r="IAM20" s="13"/>
      <c r="IAN20" s="13"/>
      <c r="IAO20" s="13"/>
      <c r="IAP20" s="13"/>
      <c r="IAQ20" s="13"/>
      <c r="IAR20" s="13"/>
      <c r="IAS20" s="13"/>
      <c r="IAT20" s="13"/>
      <c r="IAU20" s="13"/>
      <c r="IAV20" s="13"/>
      <c r="IAW20" s="13"/>
      <c r="IAX20" s="13"/>
      <c r="IAY20" s="13"/>
      <c r="IAZ20" s="13"/>
      <c r="IBA20" s="13"/>
      <c r="IBB20" s="13"/>
      <c r="IBC20" s="13"/>
      <c r="IBD20" s="13"/>
      <c r="IBE20" s="13"/>
      <c r="IBF20" s="13"/>
      <c r="IBG20" s="13"/>
      <c r="IBH20" s="13"/>
      <c r="IBI20" s="13"/>
      <c r="IBJ20" s="13"/>
      <c r="IBK20" s="13"/>
      <c r="IBL20" s="13"/>
      <c r="IBM20" s="13"/>
      <c r="IBN20" s="13"/>
      <c r="IBO20" s="13"/>
      <c r="IBP20" s="13"/>
      <c r="IBQ20" s="13"/>
      <c r="IBR20" s="13"/>
      <c r="IBS20" s="13"/>
      <c r="IBT20" s="13"/>
      <c r="IBU20" s="13"/>
      <c r="IBV20" s="13"/>
      <c r="IBW20" s="13"/>
      <c r="IBX20" s="13"/>
      <c r="IBY20" s="13"/>
      <c r="IBZ20" s="13"/>
      <c r="ICA20" s="13"/>
      <c r="ICB20" s="13"/>
      <c r="ICC20" s="13"/>
      <c r="ICD20" s="13"/>
      <c r="ICE20" s="13"/>
      <c r="ICF20" s="13"/>
      <c r="ICG20" s="13"/>
      <c r="ICH20" s="13"/>
      <c r="ICI20" s="13"/>
      <c r="ICJ20" s="13"/>
      <c r="ICK20" s="13"/>
      <c r="ICL20" s="13"/>
      <c r="ICM20" s="13"/>
      <c r="ICN20" s="13"/>
      <c r="ICO20" s="13"/>
      <c r="ICP20" s="13"/>
      <c r="ICQ20" s="13"/>
      <c r="ICR20" s="13"/>
      <c r="ICS20" s="13"/>
      <c r="ICT20" s="13"/>
      <c r="ICU20" s="13"/>
      <c r="ICV20" s="13"/>
      <c r="ICW20" s="13"/>
      <c r="ICX20" s="13"/>
      <c r="ICY20" s="13"/>
      <c r="ICZ20" s="13"/>
      <c r="IDA20" s="13"/>
      <c r="IDB20" s="13"/>
      <c r="IDC20" s="13"/>
      <c r="IDD20" s="13"/>
      <c r="IDE20" s="13"/>
      <c r="IDF20" s="13"/>
      <c r="IDG20" s="13"/>
      <c r="IDH20" s="13"/>
      <c r="IDI20" s="13"/>
      <c r="IDJ20" s="13"/>
      <c r="IDK20" s="13"/>
      <c r="IDL20" s="13"/>
      <c r="IDM20" s="13"/>
      <c r="IDN20" s="13"/>
      <c r="IDO20" s="13"/>
      <c r="IDP20" s="13"/>
      <c r="IDQ20" s="13"/>
      <c r="IDR20" s="13"/>
      <c r="IDS20" s="13"/>
      <c r="IDT20" s="13"/>
      <c r="IDU20" s="13"/>
      <c r="IDV20" s="13"/>
      <c r="IDW20" s="13"/>
      <c r="IDX20" s="13"/>
      <c r="IDY20" s="13"/>
      <c r="IDZ20" s="13"/>
      <c r="IEA20" s="13"/>
      <c r="IEB20" s="13"/>
      <c r="IEC20" s="13"/>
      <c r="IED20" s="13"/>
      <c r="IEE20" s="13"/>
      <c r="IEF20" s="13"/>
      <c r="IEG20" s="13"/>
      <c r="IEH20" s="13"/>
      <c r="IEI20" s="13"/>
      <c r="IEJ20" s="13"/>
      <c r="IEK20" s="13"/>
      <c r="IEL20" s="13"/>
      <c r="IEM20" s="13"/>
      <c r="IEN20" s="13"/>
      <c r="IEO20" s="13"/>
      <c r="IEP20" s="13"/>
      <c r="IEQ20" s="13"/>
      <c r="IER20" s="13"/>
      <c r="IES20" s="13"/>
      <c r="IET20" s="13"/>
      <c r="IEU20" s="13"/>
      <c r="IEV20" s="13"/>
      <c r="IEW20" s="13"/>
      <c r="IEX20" s="13"/>
      <c r="IEY20" s="13"/>
      <c r="IEZ20" s="13"/>
      <c r="IFA20" s="13"/>
      <c r="IFB20" s="13"/>
      <c r="IFC20" s="13"/>
      <c r="IFD20" s="13"/>
      <c r="IFE20" s="13"/>
      <c r="IFF20" s="13"/>
      <c r="IFG20" s="13"/>
      <c r="IFH20" s="13"/>
      <c r="IFI20" s="13"/>
      <c r="IFJ20" s="13"/>
      <c r="IFK20" s="13"/>
      <c r="IFL20" s="13"/>
      <c r="IFM20" s="13"/>
      <c r="IFN20" s="13"/>
      <c r="IFO20" s="13"/>
      <c r="IFP20" s="13"/>
      <c r="IFQ20" s="13"/>
      <c r="IFR20" s="13"/>
      <c r="IFS20" s="13"/>
      <c r="IFT20" s="13"/>
      <c r="IFU20" s="13"/>
      <c r="IFV20" s="13"/>
      <c r="IFW20" s="13"/>
      <c r="IFX20" s="13"/>
      <c r="IFY20" s="13"/>
      <c r="IFZ20" s="13"/>
      <c r="IGA20" s="13"/>
      <c r="IGB20" s="13"/>
      <c r="IGC20" s="13"/>
      <c r="IGD20" s="13"/>
      <c r="IGE20" s="13"/>
      <c r="IGF20" s="13"/>
      <c r="IGG20" s="13"/>
      <c r="IGH20" s="13"/>
      <c r="IGI20" s="13"/>
      <c r="IGJ20" s="13"/>
      <c r="IGK20" s="13"/>
      <c r="IGL20" s="13"/>
      <c r="IGM20" s="13"/>
      <c r="IGN20" s="13"/>
      <c r="IGO20" s="13"/>
      <c r="IGP20" s="13"/>
      <c r="IGQ20" s="13"/>
      <c r="IGR20" s="13"/>
      <c r="IGS20" s="13"/>
      <c r="IGT20" s="13"/>
      <c r="IGU20" s="13"/>
      <c r="IGV20" s="13"/>
      <c r="IGW20" s="13"/>
      <c r="IGX20" s="13"/>
      <c r="IGY20" s="13"/>
      <c r="IGZ20" s="13"/>
      <c r="IHA20" s="13"/>
      <c r="IHB20" s="13"/>
      <c r="IHC20" s="13"/>
      <c r="IHD20" s="13"/>
      <c r="IHE20" s="13"/>
      <c r="IHF20" s="13"/>
      <c r="IHG20" s="13"/>
      <c r="IHH20" s="13"/>
      <c r="IHI20" s="13"/>
      <c r="IHJ20" s="13"/>
      <c r="IHK20" s="13"/>
      <c r="IHL20" s="13"/>
      <c r="IHM20" s="13"/>
      <c r="IHN20" s="13"/>
      <c r="IHO20" s="13"/>
      <c r="IHP20" s="13"/>
      <c r="IHQ20" s="13"/>
      <c r="IHR20" s="13"/>
      <c r="IHS20" s="13"/>
      <c r="IHT20" s="13"/>
      <c r="IHU20" s="13"/>
      <c r="IHV20" s="13"/>
      <c r="IHW20" s="13"/>
      <c r="IHX20" s="13"/>
      <c r="IHY20" s="13"/>
      <c r="IHZ20" s="13"/>
      <c r="IIA20" s="13"/>
      <c r="IIB20" s="13"/>
      <c r="IIC20" s="13"/>
      <c r="IID20" s="13"/>
      <c r="IIE20" s="13"/>
      <c r="IIF20" s="13"/>
      <c r="IIG20" s="13"/>
      <c r="IIH20" s="13"/>
      <c r="III20" s="13"/>
      <c r="IIJ20" s="13"/>
      <c r="IIK20" s="13"/>
      <c r="IIL20" s="13"/>
      <c r="IIM20" s="13"/>
      <c r="IIN20" s="13"/>
      <c r="IIO20" s="13"/>
      <c r="IIP20" s="13"/>
      <c r="IIQ20" s="13"/>
      <c r="IIR20" s="13"/>
      <c r="IIS20" s="13"/>
      <c r="IIT20" s="13"/>
      <c r="IIU20" s="13"/>
      <c r="IIV20" s="13"/>
      <c r="IIW20" s="13"/>
      <c r="IIX20" s="13"/>
      <c r="IIY20" s="13"/>
      <c r="IIZ20" s="13"/>
      <c r="IJA20" s="13"/>
      <c r="IJB20" s="13"/>
      <c r="IJC20" s="13"/>
      <c r="IJD20" s="13"/>
      <c r="IJE20" s="13"/>
      <c r="IJF20" s="13"/>
      <c r="IJG20" s="13"/>
      <c r="IJH20" s="13"/>
      <c r="IJI20" s="13"/>
      <c r="IJJ20" s="13"/>
      <c r="IJK20" s="13"/>
      <c r="IJL20" s="13"/>
      <c r="IJM20" s="13"/>
      <c r="IJN20" s="13"/>
      <c r="IJO20" s="13"/>
      <c r="IJP20" s="13"/>
      <c r="IJQ20" s="13"/>
      <c r="IJR20" s="13"/>
      <c r="IJS20" s="13"/>
      <c r="IJT20" s="13"/>
      <c r="IJU20" s="13"/>
      <c r="IJV20" s="13"/>
      <c r="IJW20" s="13"/>
      <c r="IJX20" s="13"/>
      <c r="IJY20" s="13"/>
      <c r="IJZ20" s="13"/>
      <c r="IKA20" s="13"/>
      <c r="IKB20" s="13"/>
      <c r="IKC20" s="13"/>
      <c r="IKD20" s="13"/>
      <c r="IKE20" s="13"/>
      <c r="IKF20" s="13"/>
      <c r="IKG20" s="13"/>
      <c r="IKH20" s="13"/>
      <c r="IKI20" s="13"/>
      <c r="IKJ20" s="13"/>
      <c r="IKK20" s="13"/>
      <c r="IKL20" s="13"/>
      <c r="IKM20" s="13"/>
      <c r="IKN20" s="13"/>
      <c r="IKO20" s="13"/>
      <c r="IKP20" s="13"/>
      <c r="IKQ20" s="13"/>
      <c r="IKR20" s="13"/>
      <c r="IKS20" s="13"/>
      <c r="IKT20" s="13"/>
      <c r="IKU20" s="13"/>
      <c r="IKV20" s="13"/>
      <c r="IKW20" s="13"/>
      <c r="IKX20" s="13"/>
      <c r="IKY20" s="13"/>
      <c r="IKZ20" s="13"/>
      <c r="ILA20" s="13"/>
      <c r="ILB20" s="13"/>
      <c r="ILC20" s="13"/>
      <c r="ILD20" s="13"/>
      <c r="ILE20" s="13"/>
      <c r="ILF20" s="13"/>
      <c r="ILG20" s="13"/>
      <c r="ILH20" s="13"/>
      <c r="ILI20" s="13"/>
      <c r="ILJ20" s="13"/>
      <c r="ILK20" s="13"/>
      <c r="ILL20" s="13"/>
      <c r="ILM20" s="13"/>
      <c r="ILN20" s="13"/>
      <c r="ILO20" s="13"/>
      <c r="ILP20" s="13"/>
      <c r="ILQ20" s="13"/>
      <c r="ILR20" s="13"/>
      <c r="ILS20" s="13"/>
      <c r="ILT20" s="13"/>
      <c r="ILU20" s="13"/>
      <c r="ILV20" s="13"/>
      <c r="ILW20" s="13"/>
      <c r="ILX20" s="13"/>
      <c r="ILY20" s="13"/>
      <c r="ILZ20" s="13"/>
      <c r="IMA20" s="13"/>
      <c r="IMB20" s="13"/>
      <c r="IMC20" s="13"/>
      <c r="IMD20" s="13"/>
      <c r="IME20" s="13"/>
      <c r="IMF20" s="13"/>
      <c r="IMG20" s="13"/>
      <c r="IMH20" s="13"/>
      <c r="IMI20" s="13"/>
      <c r="IMJ20" s="13"/>
      <c r="IMK20" s="13"/>
      <c r="IML20" s="13"/>
      <c r="IMM20" s="13"/>
      <c r="IMN20" s="13"/>
      <c r="IMO20" s="13"/>
      <c r="IMP20" s="13"/>
      <c r="IMQ20" s="13"/>
      <c r="IMR20" s="13"/>
      <c r="IMS20" s="13"/>
      <c r="IMT20" s="13"/>
      <c r="IMU20" s="13"/>
      <c r="IMV20" s="13"/>
      <c r="IMW20" s="13"/>
      <c r="IMX20" s="13"/>
      <c r="IMY20" s="13"/>
      <c r="IMZ20" s="13"/>
      <c r="INA20" s="13"/>
      <c r="INB20" s="13"/>
      <c r="INC20" s="13"/>
      <c r="IND20" s="13"/>
      <c r="INE20" s="13"/>
      <c r="INF20" s="13"/>
      <c r="ING20" s="13"/>
      <c r="INH20" s="13"/>
      <c r="INI20" s="13"/>
      <c r="INJ20" s="13"/>
      <c r="INK20" s="13"/>
      <c r="INL20" s="13"/>
      <c r="INM20" s="13"/>
      <c r="INN20" s="13"/>
      <c r="INO20" s="13"/>
      <c r="INP20" s="13"/>
      <c r="INQ20" s="13"/>
      <c r="INR20" s="13"/>
      <c r="INS20" s="13"/>
      <c r="INT20" s="13"/>
      <c r="INU20" s="13"/>
      <c r="INV20" s="13"/>
      <c r="INW20" s="13"/>
      <c r="INX20" s="13"/>
      <c r="INY20" s="13"/>
      <c r="INZ20" s="13"/>
      <c r="IOA20" s="13"/>
      <c r="IOB20" s="13"/>
      <c r="IOC20" s="13"/>
      <c r="IOD20" s="13"/>
      <c r="IOE20" s="13"/>
      <c r="IOF20" s="13"/>
      <c r="IOG20" s="13"/>
      <c r="IOH20" s="13"/>
      <c r="IOI20" s="13"/>
      <c r="IOJ20" s="13"/>
      <c r="IOK20" s="13"/>
      <c r="IOL20" s="13"/>
      <c r="IOM20" s="13"/>
      <c r="ION20" s="13"/>
      <c r="IOO20" s="13"/>
      <c r="IOP20" s="13"/>
      <c r="IOQ20" s="13"/>
      <c r="IOR20" s="13"/>
      <c r="IOS20" s="13"/>
      <c r="IOT20" s="13"/>
      <c r="IOU20" s="13"/>
      <c r="IOV20" s="13"/>
      <c r="IOW20" s="13"/>
      <c r="IOX20" s="13"/>
      <c r="IOY20" s="13"/>
      <c r="IOZ20" s="13"/>
      <c r="IPA20" s="13"/>
      <c r="IPB20" s="13"/>
      <c r="IPC20" s="13"/>
      <c r="IPD20" s="13"/>
      <c r="IPE20" s="13"/>
      <c r="IPF20" s="13"/>
      <c r="IPG20" s="13"/>
      <c r="IPH20" s="13"/>
      <c r="IPI20" s="13"/>
      <c r="IPJ20" s="13"/>
      <c r="IPK20" s="13"/>
      <c r="IPL20" s="13"/>
      <c r="IPM20" s="13"/>
      <c r="IPN20" s="13"/>
      <c r="IPO20" s="13"/>
      <c r="IPP20" s="13"/>
      <c r="IPQ20" s="13"/>
      <c r="IPR20" s="13"/>
      <c r="IPS20" s="13"/>
      <c r="IPT20" s="13"/>
      <c r="IPU20" s="13"/>
      <c r="IPV20" s="13"/>
      <c r="IPW20" s="13"/>
      <c r="IPX20" s="13"/>
      <c r="IPY20" s="13"/>
      <c r="IPZ20" s="13"/>
      <c r="IQA20" s="13"/>
      <c r="IQB20" s="13"/>
      <c r="IQC20" s="13"/>
      <c r="IQD20" s="13"/>
      <c r="IQE20" s="13"/>
      <c r="IQF20" s="13"/>
      <c r="IQG20" s="13"/>
      <c r="IQH20" s="13"/>
      <c r="IQI20" s="13"/>
      <c r="IQJ20" s="13"/>
      <c r="IQK20" s="13"/>
      <c r="IQL20" s="13"/>
      <c r="IQM20" s="13"/>
      <c r="IQN20" s="13"/>
      <c r="IQO20" s="13"/>
      <c r="IQP20" s="13"/>
      <c r="IQQ20" s="13"/>
      <c r="IQR20" s="13"/>
      <c r="IQS20" s="13"/>
      <c r="IQT20" s="13"/>
      <c r="IQU20" s="13"/>
      <c r="IQV20" s="13"/>
      <c r="IQW20" s="13"/>
      <c r="IQX20" s="13"/>
      <c r="IQY20" s="13"/>
      <c r="IQZ20" s="13"/>
      <c r="IRA20" s="13"/>
      <c r="IRB20" s="13"/>
      <c r="IRC20" s="13"/>
      <c r="IRD20" s="13"/>
      <c r="IRE20" s="13"/>
      <c r="IRF20" s="13"/>
      <c r="IRG20" s="13"/>
      <c r="IRH20" s="13"/>
      <c r="IRI20" s="13"/>
      <c r="IRJ20" s="13"/>
      <c r="IRK20" s="13"/>
      <c r="IRL20" s="13"/>
      <c r="IRM20" s="13"/>
      <c r="IRN20" s="13"/>
      <c r="IRO20" s="13"/>
      <c r="IRP20" s="13"/>
      <c r="IRQ20" s="13"/>
      <c r="IRR20" s="13"/>
      <c r="IRS20" s="13"/>
      <c r="IRT20" s="13"/>
      <c r="IRU20" s="13"/>
      <c r="IRV20" s="13"/>
      <c r="IRW20" s="13"/>
      <c r="IRX20" s="13"/>
      <c r="IRY20" s="13"/>
      <c r="IRZ20" s="13"/>
      <c r="ISA20" s="13"/>
      <c r="ISB20" s="13"/>
      <c r="ISC20" s="13"/>
      <c r="ISD20" s="13"/>
      <c r="ISE20" s="13"/>
      <c r="ISF20" s="13"/>
      <c r="ISG20" s="13"/>
      <c r="ISH20" s="13"/>
      <c r="ISI20" s="13"/>
      <c r="ISJ20" s="13"/>
      <c r="ISK20" s="13"/>
      <c r="ISL20" s="13"/>
      <c r="ISM20" s="13"/>
      <c r="ISN20" s="13"/>
      <c r="ISO20" s="13"/>
      <c r="ISP20" s="13"/>
      <c r="ISQ20" s="13"/>
      <c r="ISR20" s="13"/>
      <c r="ISS20" s="13"/>
      <c r="IST20" s="13"/>
      <c r="ISU20" s="13"/>
      <c r="ISV20" s="13"/>
      <c r="ISW20" s="13"/>
      <c r="ISX20" s="13"/>
      <c r="ISY20" s="13"/>
      <c r="ISZ20" s="13"/>
      <c r="ITA20" s="13"/>
      <c r="ITB20" s="13"/>
      <c r="ITC20" s="13"/>
      <c r="ITD20" s="13"/>
      <c r="ITE20" s="13"/>
      <c r="ITF20" s="13"/>
      <c r="ITG20" s="13"/>
      <c r="ITH20" s="13"/>
      <c r="ITI20" s="13"/>
      <c r="ITJ20" s="13"/>
      <c r="ITK20" s="13"/>
      <c r="ITL20" s="13"/>
      <c r="ITM20" s="13"/>
      <c r="ITN20" s="13"/>
      <c r="ITO20" s="13"/>
      <c r="ITP20" s="13"/>
      <c r="ITQ20" s="13"/>
      <c r="ITR20" s="13"/>
      <c r="ITS20" s="13"/>
      <c r="ITT20" s="13"/>
      <c r="ITU20" s="13"/>
      <c r="ITV20" s="13"/>
      <c r="ITW20" s="13"/>
      <c r="ITX20" s="13"/>
      <c r="ITY20" s="13"/>
      <c r="ITZ20" s="13"/>
      <c r="IUA20" s="13"/>
      <c r="IUB20" s="13"/>
      <c r="IUC20" s="13"/>
      <c r="IUD20" s="13"/>
      <c r="IUE20" s="13"/>
      <c r="IUF20" s="13"/>
      <c r="IUG20" s="13"/>
      <c r="IUH20" s="13"/>
      <c r="IUI20" s="13"/>
      <c r="IUJ20" s="13"/>
      <c r="IUK20" s="13"/>
      <c r="IUL20" s="13"/>
      <c r="IUM20" s="13"/>
      <c r="IUN20" s="13"/>
      <c r="IUO20" s="13"/>
      <c r="IUP20" s="13"/>
      <c r="IUQ20" s="13"/>
      <c r="IUR20" s="13"/>
      <c r="IUS20" s="13"/>
      <c r="IUT20" s="13"/>
      <c r="IUU20" s="13"/>
      <c r="IUV20" s="13"/>
      <c r="IUW20" s="13"/>
      <c r="IUX20" s="13"/>
      <c r="IUY20" s="13"/>
      <c r="IUZ20" s="13"/>
      <c r="IVA20" s="13"/>
      <c r="IVB20" s="13"/>
      <c r="IVC20" s="13"/>
      <c r="IVD20" s="13"/>
      <c r="IVE20" s="13"/>
      <c r="IVF20" s="13"/>
      <c r="IVG20" s="13"/>
      <c r="IVH20" s="13"/>
      <c r="IVI20" s="13"/>
      <c r="IVJ20" s="13"/>
      <c r="IVK20" s="13"/>
      <c r="IVL20" s="13"/>
      <c r="IVM20" s="13"/>
      <c r="IVN20" s="13"/>
      <c r="IVO20" s="13"/>
      <c r="IVP20" s="13"/>
      <c r="IVQ20" s="13"/>
      <c r="IVR20" s="13"/>
      <c r="IVS20" s="13"/>
      <c r="IVT20" s="13"/>
      <c r="IVU20" s="13"/>
      <c r="IVV20" s="13"/>
      <c r="IVW20" s="13"/>
      <c r="IVX20" s="13"/>
      <c r="IVY20" s="13"/>
      <c r="IVZ20" s="13"/>
      <c r="IWA20" s="13"/>
      <c r="IWB20" s="13"/>
      <c r="IWC20" s="13"/>
      <c r="IWD20" s="13"/>
      <c r="IWE20" s="13"/>
      <c r="IWF20" s="13"/>
      <c r="IWG20" s="13"/>
      <c r="IWH20" s="13"/>
      <c r="IWI20" s="13"/>
      <c r="IWJ20" s="13"/>
      <c r="IWK20" s="13"/>
      <c r="IWL20" s="13"/>
      <c r="IWM20" s="13"/>
      <c r="IWN20" s="13"/>
      <c r="IWO20" s="13"/>
      <c r="IWP20" s="13"/>
      <c r="IWQ20" s="13"/>
      <c r="IWR20" s="13"/>
      <c r="IWS20" s="13"/>
      <c r="IWT20" s="13"/>
      <c r="IWU20" s="13"/>
      <c r="IWV20" s="13"/>
      <c r="IWW20" s="13"/>
      <c r="IWX20" s="13"/>
      <c r="IWY20" s="13"/>
      <c r="IWZ20" s="13"/>
      <c r="IXA20" s="13"/>
      <c r="IXB20" s="13"/>
      <c r="IXC20" s="13"/>
      <c r="IXD20" s="13"/>
      <c r="IXE20" s="13"/>
      <c r="IXF20" s="13"/>
      <c r="IXG20" s="13"/>
      <c r="IXH20" s="13"/>
      <c r="IXI20" s="13"/>
      <c r="IXJ20" s="13"/>
      <c r="IXK20" s="13"/>
      <c r="IXL20" s="13"/>
      <c r="IXM20" s="13"/>
      <c r="IXN20" s="13"/>
      <c r="IXO20" s="13"/>
      <c r="IXP20" s="13"/>
      <c r="IXQ20" s="13"/>
      <c r="IXR20" s="13"/>
      <c r="IXS20" s="13"/>
      <c r="IXT20" s="13"/>
      <c r="IXU20" s="13"/>
      <c r="IXV20" s="13"/>
      <c r="IXW20" s="13"/>
      <c r="IXX20" s="13"/>
      <c r="IXY20" s="13"/>
      <c r="IXZ20" s="13"/>
      <c r="IYA20" s="13"/>
      <c r="IYB20" s="13"/>
      <c r="IYC20" s="13"/>
      <c r="IYD20" s="13"/>
      <c r="IYE20" s="13"/>
      <c r="IYF20" s="13"/>
      <c r="IYG20" s="13"/>
      <c r="IYH20" s="13"/>
      <c r="IYI20" s="13"/>
      <c r="IYJ20" s="13"/>
      <c r="IYK20" s="13"/>
      <c r="IYL20" s="13"/>
      <c r="IYM20" s="13"/>
      <c r="IYN20" s="13"/>
      <c r="IYO20" s="13"/>
      <c r="IYP20" s="13"/>
      <c r="IYQ20" s="13"/>
      <c r="IYR20" s="13"/>
      <c r="IYS20" s="13"/>
      <c r="IYT20" s="13"/>
      <c r="IYU20" s="13"/>
      <c r="IYV20" s="13"/>
      <c r="IYW20" s="13"/>
      <c r="IYX20" s="13"/>
      <c r="IYY20" s="13"/>
      <c r="IYZ20" s="13"/>
      <c r="IZA20" s="13"/>
      <c r="IZB20" s="13"/>
      <c r="IZC20" s="13"/>
      <c r="IZD20" s="13"/>
      <c r="IZE20" s="13"/>
      <c r="IZF20" s="13"/>
      <c r="IZG20" s="13"/>
      <c r="IZH20" s="13"/>
      <c r="IZI20" s="13"/>
      <c r="IZJ20" s="13"/>
      <c r="IZK20" s="13"/>
      <c r="IZL20" s="13"/>
      <c r="IZM20" s="13"/>
      <c r="IZN20" s="13"/>
      <c r="IZO20" s="13"/>
      <c r="IZP20" s="13"/>
      <c r="IZQ20" s="13"/>
      <c r="IZR20" s="13"/>
      <c r="IZS20" s="13"/>
      <c r="IZT20" s="13"/>
      <c r="IZU20" s="13"/>
      <c r="IZV20" s="13"/>
      <c r="IZW20" s="13"/>
      <c r="IZX20" s="13"/>
      <c r="IZY20" s="13"/>
      <c r="IZZ20" s="13"/>
      <c r="JAA20" s="13"/>
      <c r="JAB20" s="13"/>
      <c r="JAC20" s="13"/>
      <c r="JAD20" s="13"/>
      <c r="JAE20" s="13"/>
      <c r="JAF20" s="13"/>
      <c r="JAG20" s="13"/>
      <c r="JAH20" s="13"/>
      <c r="JAI20" s="13"/>
      <c r="JAJ20" s="13"/>
      <c r="JAK20" s="13"/>
      <c r="JAL20" s="13"/>
      <c r="JAM20" s="13"/>
      <c r="JAN20" s="13"/>
      <c r="JAO20" s="13"/>
      <c r="JAP20" s="13"/>
      <c r="JAQ20" s="13"/>
      <c r="JAR20" s="13"/>
      <c r="JAS20" s="13"/>
      <c r="JAT20" s="13"/>
      <c r="JAU20" s="13"/>
      <c r="JAV20" s="13"/>
      <c r="JAW20" s="13"/>
      <c r="JAX20" s="13"/>
      <c r="JAY20" s="13"/>
      <c r="JAZ20" s="13"/>
      <c r="JBA20" s="13"/>
      <c r="JBB20" s="13"/>
      <c r="JBC20" s="13"/>
      <c r="JBD20" s="13"/>
      <c r="JBE20" s="13"/>
      <c r="JBF20" s="13"/>
      <c r="JBG20" s="13"/>
      <c r="JBH20" s="13"/>
      <c r="JBI20" s="13"/>
      <c r="JBJ20" s="13"/>
      <c r="JBK20" s="13"/>
      <c r="JBL20" s="13"/>
      <c r="JBM20" s="13"/>
      <c r="JBN20" s="13"/>
      <c r="JBO20" s="13"/>
      <c r="JBP20" s="13"/>
      <c r="JBQ20" s="13"/>
      <c r="JBR20" s="13"/>
      <c r="JBS20" s="13"/>
      <c r="JBT20" s="13"/>
      <c r="JBU20" s="13"/>
      <c r="JBV20" s="13"/>
      <c r="JBW20" s="13"/>
      <c r="JBX20" s="13"/>
      <c r="JBY20" s="13"/>
      <c r="JBZ20" s="13"/>
      <c r="JCA20" s="13"/>
      <c r="JCB20" s="13"/>
      <c r="JCC20" s="13"/>
      <c r="JCD20" s="13"/>
      <c r="JCE20" s="13"/>
      <c r="JCF20" s="13"/>
      <c r="JCG20" s="13"/>
      <c r="JCH20" s="13"/>
      <c r="JCI20" s="13"/>
      <c r="JCJ20" s="13"/>
      <c r="JCK20" s="13"/>
      <c r="JCL20" s="13"/>
      <c r="JCM20" s="13"/>
      <c r="JCN20" s="13"/>
      <c r="JCO20" s="13"/>
      <c r="JCP20" s="13"/>
      <c r="JCQ20" s="13"/>
      <c r="JCR20" s="13"/>
      <c r="JCS20" s="13"/>
      <c r="JCT20" s="13"/>
      <c r="JCU20" s="13"/>
      <c r="JCV20" s="13"/>
      <c r="JCW20" s="13"/>
      <c r="JCX20" s="13"/>
      <c r="JCY20" s="13"/>
      <c r="JCZ20" s="13"/>
      <c r="JDA20" s="13"/>
      <c r="JDB20" s="13"/>
      <c r="JDC20" s="13"/>
      <c r="JDD20" s="13"/>
      <c r="JDE20" s="13"/>
      <c r="JDF20" s="13"/>
      <c r="JDG20" s="13"/>
      <c r="JDH20" s="13"/>
      <c r="JDI20" s="13"/>
      <c r="JDJ20" s="13"/>
      <c r="JDK20" s="13"/>
      <c r="JDL20" s="13"/>
      <c r="JDM20" s="13"/>
      <c r="JDN20" s="13"/>
      <c r="JDO20" s="13"/>
      <c r="JDP20" s="13"/>
      <c r="JDQ20" s="13"/>
      <c r="JDR20" s="13"/>
      <c r="JDS20" s="13"/>
      <c r="JDT20" s="13"/>
      <c r="JDU20" s="13"/>
      <c r="JDV20" s="13"/>
      <c r="JDW20" s="13"/>
      <c r="JDX20" s="13"/>
      <c r="JDY20" s="13"/>
      <c r="JDZ20" s="13"/>
      <c r="JEA20" s="13"/>
      <c r="JEB20" s="13"/>
      <c r="JEC20" s="13"/>
      <c r="JED20" s="13"/>
      <c r="JEE20" s="13"/>
      <c r="JEF20" s="13"/>
      <c r="JEG20" s="13"/>
      <c r="JEH20" s="13"/>
      <c r="JEI20" s="13"/>
      <c r="JEJ20" s="13"/>
      <c r="JEK20" s="13"/>
      <c r="JEL20" s="13"/>
      <c r="JEM20" s="13"/>
      <c r="JEN20" s="13"/>
      <c r="JEO20" s="13"/>
      <c r="JEP20" s="13"/>
      <c r="JEQ20" s="13"/>
      <c r="JER20" s="13"/>
      <c r="JES20" s="13"/>
      <c r="JET20" s="13"/>
      <c r="JEU20" s="13"/>
      <c r="JEV20" s="13"/>
      <c r="JEW20" s="13"/>
      <c r="JEX20" s="13"/>
      <c r="JEY20" s="13"/>
      <c r="JEZ20" s="13"/>
      <c r="JFA20" s="13"/>
      <c r="JFB20" s="13"/>
      <c r="JFC20" s="13"/>
      <c r="JFD20" s="13"/>
      <c r="JFE20" s="13"/>
      <c r="JFF20" s="13"/>
      <c r="JFG20" s="13"/>
      <c r="JFH20" s="13"/>
      <c r="JFI20" s="13"/>
      <c r="JFJ20" s="13"/>
      <c r="JFK20" s="13"/>
      <c r="JFL20" s="13"/>
      <c r="JFM20" s="13"/>
      <c r="JFN20" s="13"/>
      <c r="JFO20" s="13"/>
      <c r="JFP20" s="13"/>
      <c r="JFQ20" s="13"/>
      <c r="JFR20" s="13"/>
      <c r="JFS20" s="13"/>
      <c r="JFT20" s="13"/>
      <c r="JFU20" s="13"/>
      <c r="JFV20" s="13"/>
      <c r="JFW20" s="13"/>
      <c r="JFX20" s="13"/>
      <c r="JFY20" s="13"/>
      <c r="JFZ20" s="13"/>
      <c r="JGA20" s="13"/>
      <c r="JGB20" s="13"/>
      <c r="JGC20" s="13"/>
      <c r="JGD20" s="13"/>
      <c r="JGE20" s="13"/>
      <c r="JGF20" s="13"/>
      <c r="JGG20" s="13"/>
      <c r="JGH20" s="13"/>
      <c r="JGI20" s="13"/>
      <c r="JGJ20" s="13"/>
      <c r="JGK20" s="13"/>
      <c r="JGL20" s="13"/>
      <c r="JGM20" s="13"/>
      <c r="JGN20" s="13"/>
      <c r="JGO20" s="13"/>
      <c r="JGP20" s="13"/>
      <c r="JGQ20" s="13"/>
      <c r="JGR20" s="13"/>
      <c r="JGS20" s="13"/>
      <c r="JGT20" s="13"/>
      <c r="JGU20" s="13"/>
      <c r="JGV20" s="13"/>
      <c r="JGW20" s="13"/>
      <c r="JGX20" s="13"/>
      <c r="JGY20" s="13"/>
      <c r="JGZ20" s="13"/>
      <c r="JHA20" s="13"/>
      <c r="JHB20" s="13"/>
      <c r="JHC20" s="13"/>
      <c r="JHD20" s="13"/>
      <c r="JHE20" s="13"/>
      <c r="JHF20" s="13"/>
      <c r="JHG20" s="13"/>
      <c r="JHH20" s="13"/>
      <c r="JHI20" s="13"/>
      <c r="JHJ20" s="13"/>
      <c r="JHK20" s="13"/>
      <c r="JHL20" s="13"/>
      <c r="JHM20" s="13"/>
      <c r="JHN20" s="13"/>
      <c r="JHO20" s="13"/>
      <c r="JHP20" s="13"/>
      <c r="JHQ20" s="13"/>
      <c r="JHR20" s="13"/>
      <c r="JHS20" s="13"/>
      <c r="JHT20" s="13"/>
      <c r="JHU20" s="13"/>
      <c r="JHV20" s="13"/>
      <c r="JHW20" s="13"/>
      <c r="JHX20" s="13"/>
      <c r="JHY20" s="13"/>
      <c r="JHZ20" s="13"/>
      <c r="JIA20" s="13"/>
      <c r="JIB20" s="13"/>
      <c r="JIC20" s="13"/>
      <c r="JID20" s="13"/>
      <c r="JIE20" s="13"/>
      <c r="JIF20" s="13"/>
      <c r="JIG20" s="13"/>
      <c r="JIH20" s="13"/>
      <c r="JII20" s="13"/>
      <c r="JIJ20" s="13"/>
      <c r="JIK20" s="13"/>
      <c r="JIL20" s="13"/>
      <c r="JIM20" s="13"/>
      <c r="JIN20" s="13"/>
      <c r="JIO20" s="13"/>
      <c r="JIP20" s="13"/>
      <c r="JIQ20" s="13"/>
      <c r="JIR20" s="13"/>
      <c r="JIS20" s="13"/>
      <c r="JIT20" s="13"/>
      <c r="JIU20" s="13"/>
      <c r="JIV20" s="13"/>
      <c r="JIW20" s="13"/>
      <c r="JIX20" s="13"/>
      <c r="JIY20" s="13"/>
      <c r="JIZ20" s="13"/>
      <c r="JJA20" s="13"/>
      <c r="JJB20" s="13"/>
      <c r="JJC20" s="13"/>
      <c r="JJD20" s="13"/>
      <c r="JJE20" s="13"/>
      <c r="JJF20" s="13"/>
      <c r="JJG20" s="13"/>
      <c r="JJH20" s="13"/>
      <c r="JJI20" s="13"/>
      <c r="JJJ20" s="13"/>
      <c r="JJK20" s="13"/>
      <c r="JJL20" s="13"/>
      <c r="JJM20" s="13"/>
      <c r="JJN20" s="13"/>
      <c r="JJO20" s="13"/>
      <c r="JJP20" s="13"/>
      <c r="JJQ20" s="13"/>
      <c r="JJR20" s="13"/>
      <c r="JJS20" s="13"/>
      <c r="JJT20" s="13"/>
      <c r="JJU20" s="13"/>
      <c r="JJV20" s="13"/>
      <c r="JJW20" s="13"/>
      <c r="JJX20" s="13"/>
      <c r="JJY20" s="13"/>
      <c r="JJZ20" s="13"/>
      <c r="JKA20" s="13"/>
      <c r="JKB20" s="13"/>
      <c r="JKC20" s="13"/>
      <c r="JKD20" s="13"/>
      <c r="JKE20" s="13"/>
      <c r="JKF20" s="13"/>
      <c r="JKG20" s="13"/>
      <c r="JKH20" s="13"/>
      <c r="JKI20" s="13"/>
      <c r="JKJ20" s="13"/>
      <c r="JKK20" s="13"/>
      <c r="JKL20" s="13"/>
      <c r="JKM20" s="13"/>
      <c r="JKN20" s="13"/>
      <c r="JKO20" s="13"/>
      <c r="JKP20" s="13"/>
      <c r="JKQ20" s="13"/>
      <c r="JKR20" s="13"/>
      <c r="JKS20" s="13"/>
      <c r="JKT20" s="13"/>
      <c r="JKU20" s="13"/>
      <c r="JKV20" s="13"/>
      <c r="JKW20" s="13"/>
      <c r="JKX20" s="13"/>
      <c r="JKY20" s="13"/>
      <c r="JKZ20" s="13"/>
      <c r="JLA20" s="13"/>
      <c r="JLB20" s="13"/>
      <c r="JLC20" s="13"/>
      <c r="JLD20" s="13"/>
      <c r="JLE20" s="13"/>
      <c r="JLF20" s="13"/>
      <c r="JLG20" s="13"/>
      <c r="JLH20" s="13"/>
      <c r="JLI20" s="13"/>
      <c r="JLJ20" s="13"/>
      <c r="JLK20" s="13"/>
      <c r="JLL20" s="13"/>
      <c r="JLM20" s="13"/>
      <c r="JLN20" s="13"/>
      <c r="JLO20" s="13"/>
      <c r="JLP20" s="13"/>
      <c r="JLQ20" s="13"/>
      <c r="JLR20" s="13"/>
      <c r="JLS20" s="13"/>
      <c r="JLT20" s="13"/>
      <c r="JLU20" s="13"/>
      <c r="JLV20" s="13"/>
      <c r="JLW20" s="13"/>
      <c r="JLX20" s="13"/>
      <c r="JLY20" s="13"/>
      <c r="JLZ20" s="13"/>
      <c r="JMA20" s="13"/>
      <c r="JMB20" s="13"/>
      <c r="JMC20" s="13"/>
      <c r="JMD20" s="13"/>
      <c r="JME20" s="13"/>
      <c r="JMF20" s="13"/>
      <c r="JMG20" s="13"/>
      <c r="JMH20" s="13"/>
      <c r="JMI20" s="13"/>
      <c r="JMJ20" s="13"/>
      <c r="JMK20" s="13"/>
      <c r="JML20" s="13"/>
      <c r="JMM20" s="13"/>
      <c r="JMN20" s="13"/>
      <c r="JMO20" s="13"/>
      <c r="JMP20" s="13"/>
      <c r="JMQ20" s="13"/>
      <c r="JMR20" s="13"/>
      <c r="JMS20" s="13"/>
      <c r="JMT20" s="13"/>
      <c r="JMU20" s="13"/>
      <c r="JMV20" s="13"/>
      <c r="JMW20" s="13"/>
      <c r="JMX20" s="13"/>
      <c r="JMY20" s="13"/>
      <c r="JMZ20" s="13"/>
      <c r="JNA20" s="13"/>
      <c r="JNB20" s="13"/>
      <c r="JNC20" s="13"/>
      <c r="JND20" s="13"/>
      <c r="JNE20" s="13"/>
      <c r="JNF20" s="13"/>
      <c r="JNG20" s="13"/>
      <c r="JNH20" s="13"/>
      <c r="JNI20" s="13"/>
      <c r="JNJ20" s="13"/>
      <c r="JNK20" s="13"/>
      <c r="JNL20" s="13"/>
      <c r="JNM20" s="13"/>
      <c r="JNN20" s="13"/>
      <c r="JNO20" s="13"/>
      <c r="JNP20" s="13"/>
      <c r="JNQ20" s="13"/>
      <c r="JNR20" s="13"/>
      <c r="JNS20" s="13"/>
      <c r="JNT20" s="13"/>
      <c r="JNU20" s="13"/>
      <c r="JNV20" s="13"/>
      <c r="JNW20" s="13"/>
      <c r="JNX20" s="13"/>
      <c r="JNY20" s="13"/>
      <c r="JNZ20" s="13"/>
      <c r="JOA20" s="13"/>
      <c r="JOB20" s="13"/>
      <c r="JOC20" s="13"/>
      <c r="JOD20" s="13"/>
      <c r="JOE20" s="13"/>
      <c r="JOF20" s="13"/>
      <c r="JOG20" s="13"/>
      <c r="JOH20" s="13"/>
      <c r="JOI20" s="13"/>
      <c r="JOJ20" s="13"/>
      <c r="JOK20" s="13"/>
      <c r="JOL20" s="13"/>
      <c r="JOM20" s="13"/>
      <c r="JON20" s="13"/>
      <c r="JOO20" s="13"/>
      <c r="JOP20" s="13"/>
      <c r="JOQ20" s="13"/>
      <c r="JOR20" s="13"/>
      <c r="JOS20" s="13"/>
      <c r="JOT20" s="13"/>
      <c r="JOU20" s="13"/>
      <c r="JOV20" s="13"/>
      <c r="JOW20" s="13"/>
      <c r="JOX20" s="13"/>
      <c r="JOY20" s="13"/>
      <c r="JOZ20" s="13"/>
      <c r="JPA20" s="13"/>
      <c r="JPB20" s="13"/>
      <c r="JPC20" s="13"/>
      <c r="JPD20" s="13"/>
      <c r="JPE20" s="13"/>
      <c r="JPF20" s="13"/>
      <c r="JPG20" s="13"/>
      <c r="JPH20" s="13"/>
      <c r="JPI20" s="13"/>
      <c r="JPJ20" s="13"/>
      <c r="JPK20" s="13"/>
      <c r="JPL20" s="13"/>
      <c r="JPM20" s="13"/>
      <c r="JPN20" s="13"/>
      <c r="JPO20" s="13"/>
      <c r="JPP20" s="13"/>
      <c r="JPQ20" s="13"/>
      <c r="JPR20" s="13"/>
      <c r="JPS20" s="13"/>
      <c r="JPT20" s="13"/>
      <c r="JPU20" s="13"/>
      <c r="JPV20" s="13"/>
      <c r="JPW20" s="13"/>
      <c r="JPX20" s="13"/>
      <c r="JPY20" s="13"/>
      <c r="JPZ20" s="13"/>
      <c r="JQA20" s="13"/>
      <c r="JQB20" s="13"/>
      <c r="JQC20" s="13"/>
      <c r="JQD20" s="13"/>
      <c r="JQE20" s="13"/>
      <c r="JQF20" s="13"/>
      <c r="JQG20" s="13"/>
      <c r="JQH20" s="13"/>
      <c r="JQI20" s="13"/>
      <c r="JQJ20" s="13"/>
      <c r="JQK20" s="13"/>
      <c r="JQL20" s="13"/>
      <c r="JQM20" s="13"/>
      <c r="JQN20" s="13"/>
      <c r="JQO20" s="13"/>
      <c r="JQP20" s="13"/>
      <c r="JQQ20" s="13"/>
      <c r="JQR20" s="13"/>
      <c r="JQS20" s="13"/>
      <c r="JQT20" s="13"/>
      <c r="JQU20" s="13"/>
      <c r="JQV20" s="13"/>
      <c r="JQW20" s="13"/>
      <c r="JQX20" s="13"/>
      <c r="JQY20" s="13"/>
      <c r="JQZ20" s="13"/>
      <c r="JRA20" s="13"/>
      <c r="JRB20" s="13"/>
      <c r="JRC20" s="13"/>
      <c r="JRD20" s="13"/>
      <c r="JRE20" s="13"/>
      <c r="JRF20" s="13"/>
      <c r="JRG20" s="13"/>
      <c r="JRH20" s="13"/>
      <c r="JRI20" s="13"/>
      <c r="JRJ20" s="13"/>
      <c r="JRK20" s="13"/>
      <c r="JRL20" s="13"/>
      <c r="JRM20" s="13"/>
      <c r="JRN20" s="13"/>
      <c r="JRO20" s="13"/>
      <c r="JRP20" s="13"/>
      <c r="JRQ20" s="13"/>
      <c r="JRR20" s="13"/>
      <c r="JRS20" s="13"/>
      <c r="JRT20" s="13"/>
      <c r="JRU20" s="13"/>
      <c r="JRV20" s="13"/>
      <c r="JRW20" s="13"/>
      <c r="JRX20" s="13"/>
      <c r="JRY20" s="13"/>
      <c r="JRZ20" s="13"/>
      <c r="JSA20" s="13"/>
      <c r="JSB20" s="13"/>
      <c r="JSC20" s="13"/>
      <c r="JSD20" s="13"/>
      <c r="JSE20" s="13"/>
      <c r="JSF20" s="13"/>
      <c r="JSG20" s="13"/>
      <c r="JSH20" s="13"/>
      <c r="JSI20" s="13"/>
      <c r="JSJ20" s="13"/>
      <c r="JSK20" s="13"/>
      <c r="JSL20" s="13"/>
      <c r="JSM20" s="13"/>
      <c r="JSN20" s="13"/>
      <c r="JSO20" s="13"/>
      <c r="JSP20" s="13"/>
      <c r="JSQ20" s="13"/>
      <c r="JSR20" s="13"/>
      <c r="JSS20" s="13"/>
      <c r="JST20" s="13"/>
      <c r="JSU20" s="13"/>
      <c r="JSV20" s="13"/>
      <c r="JSW20" s="13"/>
      <c r="JSX20" s="13"/>
      <c r="JSY20" s="13"/>
      <c r="JSZ20" s="13"/>
      <c r="JTA20" s="13"/>
      <c r="JTB20" s="13"/>
      <c r="JTC20" s="13"/>
      <c r="JTD20" s="13"/>
      <c r="JTE20" s="13"/>
      <c r="JTF20" s="13"/>
      <c r="JTG20" s="13"/>
      <c r="JTH20" s="13"/>
      <c r="JTI20" s="13"/>
      <c r="JTJ20" s="13"/>
      <c r="JTK20" s="13"/>
      <c r="JTL20" s="13"/>
      <c r="JTM20" s="13"/>
      <c r="JTN20" s="13"/>
      <c r="JTO20" s="13"/>
      <c r="JTP20" s="13"/>
      <c r="JTQ20" s="13"/>
      <c r="JTR20" s="13"/>
      <c r="JTS20" s="13"/>
      <c r="JTT20" s="13"/>
      <c r="JTU20" s="13"/>
      <c r="JTV20" s="13"/>
      <c r="JTW20" s="13"/>
      <c r="JTX20" s="13"/>
      <c r="JTY20" s="13"/>
      <c r="JTZ20" s="13"/>
      <c r="JUA20" s="13"/>
      <c r="JUB20" s="13"/>
      <c r="JUC20" s="13"/>
      <c r="JUD20" s="13"/>
      <c r="JUE20" s="13"/>
      <c r="JUF20" s="13"/>
      <c r="JUG20" s="13"/>
      <c r="JUH20" s="13"/>
      <c r="JUI20" s="13"/>
      <c r="JUJ20" s="13"/>
      <c r="JUK20" s="13"/>
      <c r="JUL20" s="13"/>
      <c r="JUM20" s="13"/>
      <c r="JUN20" s="13"/>
      <c r="JUO20" s="13"/>
      <c r="JUP20" s="13"/>
      <c r="JUQ20" s="13"/>
      <c r="JUR20" s="13"/>
      <c r="JUS20" s="13"/>
      <c r="JUT20" s="13"/>
      <c r="JUU20" s="13"/>
      <c r="JUV20" s="13"/>
      <c r="JUW20" s="13"/>
      <c r="JUX20" s="13"/>
      <c r="JUY20" s="13"/>
      <c r="JUZ20" s="13"/>
      <c r="JVA20" s="13"/>
      <c r="JVB20" s="13"/>
      <c r="JVC20" s="13"/>
      <c r="JVD20" s="13"/>
      <c r="JVE20" s="13"/>
      <c r="JVF20" s="13"/>
      <c r="JVG20" s="13"/>
      <c r="JVH20" s="13"/>
      <c r="JVI20" s="13"/>
      <c r="JVJ20" s="13"/>
      <c r="JVK20" s="13"/>
      <c r="JVL20" s="13"/>
      <c r="JVM20" s="13"/>
      <c r="JVN20" s="13"/>
      <c r="JVO20" s="13"/>
      <c r="JVP20" s="13"/>
      <c r="JVQ20" s="13"/>
      <c r="JVR20" s="13"/>
      <c r="JVS20" s="13"/>
      <c r="JVT20" s="13"/>
      <c r="JVU20" s="13"/>
      <c r="JVV20" s="13"/>
      <c r="JVW20" s="13"/>
      <c r="JVX20" s="13"/>
      <c r="JVY20" s="13"/>
      <c r="JVZ20" s="13"/>
      <c r="JWA20" s="13"/>
      <c r="JWB20" s="13"/>
      <c r="JWC20" s="13"/>
      <c r="JWD20" s="13"/>
      <c r="JWE20" s="13"/>
      <c r="JWF20" s="13"/>
      <c r="JWG20" s="13"/>
      <c r="JWH20" s="13"/>
      <c r="JWI20" s="13"/>
      <c r="JWJ20" s="13"/>
      <c r="JWK20" s="13"/>
      <c r="JWL20" s="13"/>
      <c r="JWM20" s="13"/>
      <c r="JWN20" s="13"/>
      <c r="JWO20" s="13"/>
      <c r="JWP20" s="13"/>
      <c r="JWQ20" s="13"/>
      <c r="JWR20" s="13"/>
      <c r="JWS20" s="13"/>
      <c r="JWT20" s="13"/>
      <c r="JWU20" s="13"/>
      <c r="JWV20" s="13"/>
      <c r="JWW20" s="13"/>
      <c r="JWX20" s="13"/>
      <c r="JWY20" s="13"/>
      <c r="JWZ20" s="13"/>
      <c r="JXA20" s="13"/>
      <c r="JXB20" s="13"/>
      <c r="JXC20" s="13"/>
      <c r="JXD20" s="13"/>
      <c r="JXE20" s="13"/>
      <c r="JXF20" s="13"/>
      <c r="JXG20" s="13"/>
      <c r="JXH20" s="13"/>
      <c r="JXI20" s="13"/>
      <c r="JXJ20" s="13"/>
      <c r="JXK20" s="13"/>
      <c r="JXL20" s="13"/>
      <c r="JXM20" s="13"/>
      <c r="JXN20" s="13"/>
      <c r="JXO20" s="13"/>
      <c r="JXP20" s="13"/>
      <c r="JXQ20" s="13"/>
      <c r="JXR20" s="13"/>
      <c r="JXS20" s="13"/>
      <c r="JXT20" s="13"/>
      <c r="JXU20" s="13"/>
      <c r="JXV20" s="13"/>
      <c r="JXW20" s="13"/>
      <c r="JXX20" s="13"/>
      <c r="JXY20" s="13"/>
      <c r="JXZ20" s="13"/>
      <c r="JYA20" s="13"/>
      <c r="JYB20" s="13"/>
      <c r="JYC20" s="13"/>
      <c r="JYD20" s="13"/>
      <c r="JYE20" s="13"/>
      <c r="JYF20" s="13"/>
      <c r="JYG20" s="13"/>
      <c r="JYH20" s="13"/>
      <c r="JYI20" s="13"/>
      <c r="JYJ20" s="13"/>
      <c r="JYK20" s="13"/>
      <c r="JYL20" s="13"/>
      <c r="JYM20" s="13"/>
      <c r="JYN20" s="13"/>
      <c r="JYO20" s="13"/>
      <c r="JYP20" s="13"/>
      <c r="JYQ20" s="13"/>
      <c r="JYR20" s="13"/>
      <c r="JYS20" s="13"/>
      <c r="JYT20" s="13"/>
      <c r="JYU20" s="13"/>
      <c r="JYV20" s="13"/>
      <c r="JYW20" s="13"/>
      <c r="JYX20" s="13"/>
      <c r="JYY20" s="13"/>
      <c r="JYZ20" s="13"/>
      <c r="JZA20" s="13"/>
      <c r="JZB20" s="13"/>
      <c r="JZC20" s="13"/>
      <c r="JZD20" s="13"/>
      <c r="JZE20" s="13"/>
      <c r="JZF20" s="13"/>
      <c r="JZG20" s="13"/>
      <c r="JZH20" s="13"/>
      <c r="JZI20" s="13"/>
      <c r="JZJ20" s="13"/>
      <c r="JZK20" s="13"/>
      <c r="JZL20" s="13"/>
      <c r="JZM20" s="13"/>
      <c r="JZN20" s="13"/>
      <c r="JZO20" s="13"/>
      <c r="JZP20" s="13"/>
      <c r="JZQ20" s="13"/>
      <c r="JZR20" s="13"/>
      <c r="JZS20" s="13"/>
      <c r="JZT20" s="13"/>
      <c r="JZU20" s="13"/>
      <c r="JZV20" s="13"/>
      <c r="JZW20" s="13"/>
      <c r="JZX20" s="13"/>
      <c r="JZY20" s="13"/>
      <c r="JZZ20" s="13"/>
      <c r="KAA20" s="13"/>
      <c r="KAB20" s="13"/>
      <c r="KAC20" s="13"/>
      <c r="KAD20" s="13"/>
      <c r="KAE20" s="13"/>
      <c r="KAF20" s="13"/>
      <c r="KAG20" s="13"/>
      <c r="KAH20" s="13"/>
      <c r="KAI20" s="13"/>
      <c r="KAJ20" s="13"/>
      <c r="KAK20" s="13"/>
      <c r="KAL20" s="13"/>
      <c r="KAM20" s="13"/>
      <c r="KAN20" s="13"/>
      <c r="KAO20" s="13"/>
      <c r="KAP20" s="13"/>
      <c r="KAQ20" s="13"/>
      <c r="KAR20" s="13"/>
      <c r="KAS20" s="13"/>
      <c r="KAT20" s="13"/>
      <c r="KAU20" s="13"/>
      <c r="KAV20" s="13"/>
      <c r="KAW20" s="13"/>
      <c r="KAX20" s="13"/>
      <c r="KAY20" s="13"/>
      <c r="KAZ20" s="13"/>
      <c r="KBA20" s="13"/>
      <c r="KBB20" s="13"/>
      <c r="KBC20" s="13"/>
      <c r="KBD20" s="13"/>
      <c r="KBE20" s="13"/>
      <c r="KBF20" s="13"/>
      <c r="KBG20" s="13"/>
      <c r="KBH20" s="13"/>
      <c r="KBI20" s="13"/>
      <c r="KBJ20" s="13"/>
      <c r="KBK20" s="13"/>
      <c r="KBL20" s="13"/>
      <c r="KBM20" s="13"/>
      <c r="KBN20" s="13"/>
      <c r="KBO20" s="13"/>
      <c r="KBP20" s="13"/>
      <c r="KBQ20" s="13"/>
      <c r="KBR20" s="13"/>
      <c r="KBS20" s="13"/>
      <c r="KBT20" s="13"/>
      <c r="KBU20" s="13"/>
      <c r="KBV20" s="13"/>
      <c r="KBW20" s="13"/>
      <c r="KBX20" s="13"/>
      <c r="KBY20" s="13"/>
      <c r="KBZ20" s="13"/>
      <c r="KCA20" s="13"/>
      <c r="KCB20" s="13"/>
      <c r="KCC20" s="13"/>
      <c r="KCD20" s="13"/>
      <c r="KCE20" s="13"/>
      <c r="KCF20" s="13"/>
      <c r="KCG20" s="13"/>
      <c r="KCH20" s="13"/>
      <c r="KCI20" s="13"/>
      <c r="KCJ20" s="13"/>
      <c r="KCK20" s="13"/>
      <c r="KCL20" s="13"/>
      <c r="KCM20" s="13"/>
      <c r="KCN20" s="13"/>
      <c r="KCO20" s="13"/>
      <c r="KCP20" s="13"/>
      <c r="KCQ20" s="13"/>
      <c r="KCR20" s="13"/>
      <c r="KCS20" s="13"/>
      <c r="KCT20" s="13"/>
      <c r="KCU20" s="13"/>
      <c r="KCV20" s="13"/>
      <c r="KCW20" s="13"/>
      <c r="KCX20" s="13"/>
      <c r="KCY20" s="13"/>
      <c r="KCZ20" s="13"/>
      <c r="KDA20" s="13"/>
      <c r="KDB20" s="13"/>
      <c r="KDC20" s="13"/>
      <c r="KDD20" s="13"/>
      <c r="KDE20" s="13"/>
      <c r="KDF20" s="13"/>
      <c r="KDG20" s="13"/>
      <c r="KDH20" s="13"/>
      <c r="KDI20" s="13"/>
      <c r="KDJ20" s="13"/>
      <c r="KDK20" s="13"/>
      <c r="KDL20" s="13"/>
      <c r="KDM20" s="13"/>
      <c r="KDN20" s="13"/>
      <c r="KDO20" s="13"/>
      <c r="KDP20" s="13"/>
      <c r="KDQ20" s="13"/>
      <c r="KDR20" s="13"/>
      <c r="KDS20" s="13"/>
      <c r="KDT20" s="13"/>
      <c r="KDU20" s="13"/>
      <c r="KDV20" s="13"/>
      <c r="KDW20" s="13"/>
      <c r="KDX20" s="13"/>
      <c r="KDY20" s="13"/>
      <c r="KDZ20" s="13"/>
      <c r="KEA20" s="13"/>
      <c r="KEB20" s="13"/>
      <c r="KEC20" s="13"/>
      <c r="KED20" s="13"/>
      <c r="KEE20" s="13"/>
      <c r="KEF20" s="13"/>
      <c r="KEG20" s="13"/>
      <c r="KEH20" s="13"/>
      <c r="KEI20" s="13"/>
      <c r="KEJ20" s="13"/>
      <c r="KEK20" s="13"/>
      <c r="KEL20" s="13"/>
      <c r="KEM20" s="13"/>
      <c r="KEN20" s="13"/>
      <c r="KEO20" s="13"/>
      <c r="KEP20" s="13"/>
      <c r="KEQ20" s="13"/>
      <c r="KER20" s="13"/>
      <c r="KES20" s="13"/>
      <c r="KET20" s="13"/>
      <c r="KEU20" s="13"/>
      <c r="KEV20" s="13"/>
      <c r="KEW20" s="13"/>
      <c r="KEX20" s="13"/>
      <c r="KEY20" s="13"/>
      <c r="KEZ20" s="13"/>
      <c r="KFA20" s="13"/>
      <c r="KFB20" s="13"/>
      <c r="KFC20" s="13"/>
      <c r="KFD20" s="13"/>
      <c r="KFE20" s="13"/>
      <c r="KFF20" s="13"/>
      <c r="KFG20" s="13"/>
      <c r="KFH20" s="13"/>
      <c r="KFI20" s="13"/>
      <c r="KFJ20" s="13"/>
      <c r="KFK20" s="13"/>
      <c r="KFL20" s="13"/>
      <c r="KFM20" s="13"/>
      <c r="KFN20" s="13"/>
      <c r="KFO20" s="13"/>
      <c r="KFP20" s="13"/>
      <c r="KFQ20" s="13"/>
      <c r="KFR20" s="13"/>
      <c r="KFS20" s="13"/>
      <c r="KFT20" s="13"/>
      <c r="KFU20" s="13"/>
      <c r="KFV20" s="13"/>
      <c r="KFW20" s="13"/>
      <c r="KFX20" s="13"/>
      <c r="KFY20" s="13"/>
      <c r="KFZ20" s="13"/>
      <c r="KGA20" s="13"/>
      <c r="KGB20" s="13"/>
      <c r="KGC20" s="13"/>
      <c r="KGD20" s="13"/>
      <c r="KGE20" s="13"/>
      <c r="KGF20" s="13"/>
      <c r="KGG20" s="13"/>
      <c r="KGH20" s="13"/>
      <c r="KGI20" s="13"/>
      <c r="KGJ20" s="13"/>
      <c r="KGK20" s="13"/>
      <c r="KGL20" s="13"/>
      <c r="KGM20" s="13"/>
      <c r="KGN20" s="13"/>
      <c r="KGO20" s="13"/>
      <c r="KGP20" s="13"/>
      <c r="KGQ20" s="13"/>
      <c r="KGR20" s="13"/>
      <c r="KGS20" s="13"/>
      <c r="KGT20" s="13"/>
      <c r="KGU20" s="13"/>
      <c r="KGV20" s="13"/>
      <c r="KGW20" s="13"/>
      <c r="KGX20" s="13"/>
      <c r="KGY20" s="13"/>
      <c r="KGZ20" s="13"/>
      <c r="KHA20" s="13"/>
      <c r="KHB20" s="13"/>
      <c r="KHC20" s="13"/>
      <c r="KHD20" s="13"/>
      <c r="KHE20" s="13"/>
      <c r="KHF20" s="13"/>
      <c r="KHG20" s="13"/>
      <c r="KHH20" s="13"/>
      <c r="KHI20" s="13"/>
      <c r="KHJ20" s="13"/>
      <c r="KHK20" s="13"/>
      <c r="KHL20" s="13"/>
      <c r="KHM20" s="13"/>
      <c r="KHN20" s="13"/>
      <c r="KHO20" s="13"/>
      <c r="KHP20" s="13"/>
      <c r="KHQ20" s="13"/>
      <c r="KHR20" s="13"/>
      <c r="KHS20" s="13"/>
      <c r="KHT20" s="13"/>
      <c r="KHU20" s="13"/>
      <c r="KHV20" s="13"/>
      <c r="KHW20" s="13"/>
      <c r="KHX20" s="13"/>
      <c r="KHY20" s="13"/>
      <c r="KHZ20" s="13"/>
      <c r="KIA20" s="13"/>
      <c r="KIB20" s="13"/>
      <c r="KIC20" s="13"/>
      <c r="KID20" s="13"/>
      <c r="KIE20" s="13"/>
      <c r="KIF20" s="13"/>
      <c r="KIG20" s="13"/>
      <c r="KIH20" s="13"/>
      <c r="KII20" s="13"/>
      <c r="KIJ20" s="13"/>
      <c r="KIK20" s="13"/>
      <c r="KIL20" s="13"/>
      <c r="KIM20" s="13"/>
      <c r="KIN20" s="13"/>
      <c r="KIO20" s="13"/>
      <c r="KIP20" s="13"/>
      <c r="KIQ20" s="13"/>
      <c r="KIR20" s="13"/>
      <c r="KIS20" s="13"/>
      <c r="KIT20" s="13"/>
      <c r="KIU20" s="13"/>
      <c r="KIV20" s="13"/>
      <c r="KIW20" s="13"/>
      <c r="KIX20" s="13"/>
      <c r="KIY20" s="13"/>
      <c r="KIZ20" s="13"/>
      <c r="KJA20" s="13"/>
      <c r="KJB20" s="13"/>
      <c r="KJC20" s="13"/>
      <c r="KJD20" s="13"/>
      <c r="KJE20" s="13"/>
      <c r="KJF20" s="13"/>
      <c r="KJG20" s="13"/>
      <c r="KJH20" s="13"/>
      <c r="KJI20" s="13"/>
      <c r="KJJ20" s="13"/>
      <c r="KJK20" s="13"/>
      <c r="KJL20" s="13"/>
      <c r="KJM20" s="13"/>
      <c r="KJN20" s="13"/>
      <c r="KJO20" s="13"/>
      <c r="KJP20" s="13"/>
      <c r="KJQ20" s="13"/>
      <c r="KJR20" s="13"/>
      <c r="KJS20" s="13"/>
      <c r="KJT20" s="13"/>
      <c r="KJU20" s="13"/>
      <c r="KJV20" s="13"/>
      <c r="KJW20" s="13"/>
      <c r="KJX20" s="13"/>
      <c r="KJY20" s="13"/>
      <c r="KJZ20" s="13"/>
      <c r="KKA20" s="13"/>
      <c r="KKB20" s="13"/>
      <c r="KKC20" s="13"/>
      <c r="KKD20" s="13"/>
      <c r="KKE20" s="13"/>
      <c r="KKF20" s="13"/>
      <c r="KKG20" s="13"/>
      <c r="KKH20" s="13"/>
      <c r="KKI20" s="13"/>
      <c r="KKJ20" s="13"/>
      <c r="KKK20" s="13"/>
      <c r="KKL20" s="13"/>
      <c r="KKM20" s="13"/>
      <c r="KKN20" s="13"/>
      <c r="KKO20" s="13"/>
      <c r="KKP20" s="13"/>
      <c r="KKQ20" s="13"/>
      <c r="KKR20" s="13"/>
      <c r="KKS20" s="13"/>
      <c r="KKT20" s="13"/>
      <c r="KKU20" s="13"/>
      <c r="KKV20" s="13"/>
      <c r="KKW20" s="13"/>
      <c r="KKX20" s="13"/>
      <c r="KKY20" s="13"/>
      <c r="KKZ20" s="13"/>
      <c r="KLA20" s="13"/>
      <c r="KLB20" s="13"/>
      <c r="KLC20" s="13"/>
      <c r="KLD20" s="13"/>
      <c r="KLE20" s="13"/>
      <c r="KLF20" s="13"/>
      <c r="KLG20" s="13"/>
      <c r="KLH20" s="13"/>
      <c r="KLI20" s="13"/>
      <c r="KLJ20" s="13"/>
      <c r="KLK20" s="13"/>
      <c r="KLL20" s="13"/>
      <c r="KLM20" s="13"/>
      <c r="KLN20" s="13"/>
      <c r="KLO20" s="13"/>
      <c r="KLP20" s="13"/>
      <c r="KLQ20" s="13"/>
      <c r="KLR20" s="13"/>
      <c r="KLS20" s="13"/>
      <c r="KLT20" s="13"/>
      <c r="KLU20" s="13"/>
      <c r="KLV20" s="13"/>
      <c r="KLW20" s="13"/>
      <c r="KLX20" s="13"/>
      <c r="KLY20" s="13"/>
      <c r="KLZ20" s="13"/>
      <c r="KMA20" s="13"/>
      <c r="KMB20" s="13"/>
      <c r="KMC20" s="13"/>
      <c r="KMD20" s="13"/>
      <c r="KME20" s="13"/>
      <c r="KMF20" s="13"/>
      <c r="KMG20" s="13"/>
      <c r="KMH20" s="13"/>
      <c r="KMI20" s="13"/>
      <c r="KMJ20" s="13"/>
      <c r="KMK20" s="13"/>
      <c r="KML20" s="13"/>
      <c r="KMM20" s="13"/>
      <c r="KMN20" s="13"/>
      <c r="KMO20" s="13"/>
      <c r="KMP20" s="13"/>
      <c r="KMQ20" s="13"/>
      <c r="KMR20" s="13"/>
      <c r="KMS20" s="13"/>
      <c r="KMT20" s="13"/>
      <c r="KMU20" s="13"/>
      <c r="KMV20" s="13"/>
      <c r="KMW20" s="13"/>
      <c r="KMX20" s="13"/>
      <c r="KMY20" s="13"/>
      <c r="KMZ20" s="13"/>
      <c r="KNA20" s="13"/>
      <c r="KNB20" s="13"/>
      <c r="KNC20" s="13"/>
      <c r="KND20" s="13"/>
      <c r="KNE20" s="13"/>
      <c r="KNF20" s="13"/>
      <c r="KNG20" s="13"/>
      <c r="KNH20" s="13"/>
      <c r="KNI20" s="13"/>
      <c r="KNJ20" s="13"/>
      <c r="KNK20" s="13"/>
      <c r="KNL20" s="13"/>
      <c r="KNM20" s="13"/>
      <c r="KNN20" s="13"/>
      <c r="KNO20" s="13"/>
      <c r="KNP20" s="13"/>
      <c r="KNQ20" s="13"/>
      <c r="KNR20" s="13"/>
      <c r="KNS20" s="13"/>
      <c r="KNT20" s="13"/>
      <c r="KNU20" s="13"/>
      <c r="KNV20" s="13"/>
      <c r="KNW20" s="13"/>
      <c r="KNX20" s="13"/>
      <c r="KNY20" s="13"/>
      <c r="KNZ20" s="13"/>
      <c r="KOA20" s="13"/>
      <c r="KOB20" s="13"/>
      <c r="KOC20" s="13"/>
      <c r="KOD20" s="13"/>
      <c r="KOE20" s="13"/>
      <c r="KOF20" s="13"/>
      <c r="KOG20" s="13"/>
      <c r="KOH20" s="13"/>
      <c r="KOI20" s="13"/>
      <c r="KOJ20" s="13"/>
      <c r="KOK20" s="13"/>
      <c r="KOL20" s="13"/>
      <c r="KOM20" s="13"/>
      <c r="KON20" s="13"/>
      <c r="KOO20" s="13"/>
      <c r="KOP20" s="13"/>
      <c r="KOQ20" s="13"/>
      <c r="KOR20" s="13"/>
      <c r="KOS20" s="13"/>
      <c r="KOT20" s="13"/>
      <c r="KOU20" s="13"/>
      <c r="KOV20" s="13"/>
      <c r="KOW20" s="13"/>
      <c r="KOX20" s="13"/>
      <c r="KOY20" s="13"/>
      <c r="KOZ20" s="13"/>
      <c r="KPA20" s="13"/>
      <c r="KPB20" s="13"/>
      <c r="KPC20" s="13"/>
      <c r="KPD20" s="13"/>
      <c r="KPE20" s="13"/>
      <c r="KPF20" s="13"/>
      <c r="KPG20" s="13"/>
      <c r="KPH20" s="13"/>
      <c r="KPI20" s="13"/>
      <c r="KPJ20" s="13"/>
      <c r="KPK20" s="13"/>
      <c r="KPL20" s="13"/>
      <c r="KPM20" s="13"/>
      <c r="KPN20" s="13"/>
      <c r="KPO20" s="13"/>
      <c r="KPP20" s="13"/>
      <c r="KPQ20" s="13"/>
      <c r="KPR20" s="13"/>
      <c r="KPS20" s="13"/>
      <c r="KPT20" s="13"/>
      <c r="KPU20" s="13"/>
      <c r="KPV20" s="13"/>
      <c r="KPW20" s="13"/>
      <c r="KPX20" s="13"/>
      <c r="KPY20" s="13"/>
      <c r="KPZ20" s="13"/>
      <c r="KQA20" s="13"/>
      <c r="KQB20" s="13"/>
      <c r="KQC20" s="13"/>
      <c r="KQD20" s="13"/>
      <c r="KQE20" s="13"/>
      <c r="KQF20" s="13"/>
      <c r="KQG20" s="13"/>
      <c r="KQH20" s="13"/>
      <c r="KQI20" s="13"/>
      <c r="KQJ20" s="13"/>
      <c r="KQK20" s="13"/>
      <c r="KQL20" s="13"/>
      <c r="KQM20" s="13"/>
      <c r="KQN20" s="13"/>
      <c r="KQO20" s="13"/>
      <c r="KQP20" s="13"/>
      <c r="KQQ20" s="13"/>
      <c r="KQR20" s="13"/>
      <c r="KQS20" s="13"/>
      <c r="KQT20" s="13"/>
      <c r="KQU20" s="13"/>
      <c r="KQV20" s="13"/>
      <c r="KQW20" s="13"/>
      <c r="KQX20" s="13"/>
      <c r="KQY20" s="13"/>
      <c r="KQZ20" s="13"/>
      <c r="KRA20" s="13"/>
      <c r="KRB20" s="13"/>
      <c r="KRC20" s="13"/>
      <c r="KRD20" s="13"/>
      <c r="KRE20" s="13"/>
      <c r="KRF20" s="13"/>
      <c r="KRG20" s="13"/>
      <c r="KRH20" s="13"/>
      <c r="KRI20" s="13"/>
      <c r="KRJ20" s="13"/>
      <c r="KRK20" s="13"/>
      <c r="KRL20" s="13"/>
      <c r="KRM20" s="13"/>
      <c r="KRN20" s="13"/>
      <c r="KRO20" s="13"/>
      <c r="KRP20" s="13"/>
      <c r="KRQ20" s="13"/>
      <c r="KRR20" s="13"/>
      <c r="KRS20" s="13"/>
      <c r="KRT20" s="13"/>
      <c r="KRU20" s="13"/>
      <c r="KRV20" s="13"/>
      <c r="KRW20" s="13"/>
      <c r="KRX20" s="13"/>
      <c r="KRY20" s="13"/>
      <c r="KRZ20" s="13"/>
      <c r="KSA20" s="13"/>
      <c r="KSB20" s="13"/>
      <c r="KSC20" s="13"/>
      <c r="KSD20" s="13"/>
      <c r="KSE20" s="13"/>
      <c r="KSF20" s="13"/>
      <c r="KSG20" s="13"/>
      <c r="KSH20" s="13"/>
      <c r="KSI20" s="13"/>
      <c r="KSJ20" s="13"/>
      <c r="KSK20" s="13"/>
      <c r="KSL20" s="13"/>
      <c r="KSM20" s="13"/>
      <c r="KSN20" s="13"/>
      <c r="KSO20" s="13"/>
      <c r="KSP20" s="13"/>
      <c r="KSQ20" s="13"/>
      <c r="KSR20" s="13"/>
      <c r="KSS20" s="13"/>
      <c r="KST20" s="13"/>
      <c r="KSU20" s="13"/>
      <c r="KSV20" s="13"/>
      <c r="KSW20" s="13"/>
      <c r="KSX20" s="13"/>
      <c r="KSY20" s="13"/>
      <c r="KSZ20" s="13"/>
      <c r="KTA20" s="13"/>
      <c r="KTB20" s="13"/>
      <c r="KTC20" s="13"/>
      <c r="KTD20" s="13"/>
      <c r="KTE20" s="13"/>
      <c r="KTF20" s="13"/>
      <c r="KTG20" s="13"/>
      <c r="KTH20" s="13"/>
      <c r="KTI20" s="13"/>
      <c r="KTJ20" s="13"/>
      <c r="KTK20" s="13"/>
      <c r="KTL20" s="13"/>
      <c r="KTM20" s="13"/>
      <c r="KTN20" s="13"/>
      <c r="KTO20" s="13"/>
      <c r="KTP20" s="13"/>
      <c r="KTQ20" s="13"/>
      <c r="KTR20" s="13"/>
      <c r="KTS20" s="13"/>
      <c r="KTT20" s="13"/>
      <c r="KTU20" s="13"/>
      <c r="KTV20" s="13"/>
      <c r="KTW20" s="13"/>
      <c r="KTX20" s="13"/>
      <c r="KTY20" s="13"/>
      <c r="KTZ20" s="13"/>
      <c r="KUA20" s="13"/>
      <c r="KUB20" s="13"/>
      <c r="KUC20" s="13"/>
      <c r="KUD20" s="13"/>
      <c r="KUE20" s="13"/>
      <c r="KUF20" s="13"/>
      <c r="KUG20" s="13"/>
      <c r="KUH20" s="13"/>
      <c r="KUI20" s="13"/>
      <c r="KUJ20" s="13"/>
      <c r="KUK20" s="13"/>
      <c r="KUL20" s="13"/>
      <c r="KUM20" s="13"/>
      <c r="KUN20" s="13"/>
      <c r="KUO20" s="13"/>
      <c r="KUP20" s="13"/>
      <c r="KUQ20" s="13"/>
      <c r="KUR20" s="13"/>
      <c r="KUS20" s="13"/>
      <c r="KUT20" s="13"/>
      <c r="KUU20" s="13"/>
      <c r="KUV20" s="13"/>
      <c r="KUW20" s="13"/>
      <c r="KUX20" s="13"/>
      <c r="KUY20" s="13"/>
      <c r="KUZ20" s="13"/>
      <c r="KVA20" s="13"/>
      <c r="KVB20" s="13"/>
      <c r="KVC20" s="13"/>
      <c r="KVD20" s="13"/>
      <c r="KVE20" s="13"/>
      <c r="KVF20" s="13"/>
      <c r="KVG20" s="13"/>
      <c r="KVH20" s="13"/>
      <c r="KVI20" s="13"/>
      <c r="KVJ20" s="13"/>
      <c r="KVK20" s="13"/>
      <c r="KVL20" s="13"/>
      <c r="KVM20" s="13"/>
      <c r="KVN20" s="13"/>
      <c r="KVO20" s="13"/>
      <c r="KVP20" s="13"/>
      <c r="KVQ20" s="13"/>
      <c r="KVR20" s="13"/>
      <c r="KVS20" s="13"/>
      <c r="KVT20" s="13"/>
      <c r="KVU20" s="13"/>
      <c r="KVV20" s="13"/>
      <c r="KVW20" s="13"/>
      <c r="KVX20" s="13"/>
      <c r="KVY20" s="13"/>
      <c r="KVZ20" s="13"/>
      <c r="KWA20" s="13"/>
      <c r="KWB20" s="13"/>
      <c r="KWC20" s="13"/>
      <c r="KWD20" s="13"/>
      <c r="KWE20" s="13"/>
      <c r="KWF20" s="13"/>
      <c r="KWG20" s="13"/>
      <c r="KWH20" s="13"/>
      <c r="KWI20" s="13"/>
      <c r="KWJ20" s="13"/>
      <c r="KWK20" s="13"/>
      <c r="KWL20" s="13"/>
      <c r="KWM20" s="13"/>
      <c r="KWN20" s="13"/>
      <c r="KWO20" s="13"/>
      <c r="KWP20" s="13"/>
      <c r="KWQ20" s="13"/>
      <c r="KWR20" s="13"/>
      <c r="KWS20" s="13"/>
      <c r="KWT20" s="13"/>
      <c r="KWU20" s="13"/>
      <c r="KWV20" s="13"/>
      <c r="KWW20" s="13"/>
      <c r="KWX20" s="13"/>
      <c r="KWY20" s="13"/>
      <c r="KWZ20" s="13"/>
      <c r="KXA20" s="13"/>
      <c r="KXB20" s="13"/>
      <c r="KXC20" s="13"/>
      <c r="KXD20" s="13"/>
      <c r="KXE20" s="13"/>
      <c r="KXF20" s="13"/>
      <c r="KXG20" s="13"/>
      <c r="KXH20" s="13"/>
      <c r="KXI20" s="13"/>
      <c r="KXJ20" s="13"/>
      <c r="KXK20" s="13"/>
      <c r="KXL20" s="13"/>
      <c r="KXM20" s="13"/>
      <c r="KXN20" s="13"/>
      <c r="KXO20" s="13"/>
      <c r="KXP20" s="13"/>
      <c r="KXQ20" s="13"/>
      <c r="KXR20" s="13"/>
      <c r="KXS20" s="13"/>
      <c r="KXT20" s="13"/>
      <c r="KXU20" s="13"/>
      <c r="KXV20" s="13"/>
      <c r="KXW20" s="13"/>
      <c r="KXX20" s="13"/>
      <c r="KXY20" s="13"/>
      <c r="KXZ20" s="13"/>
      <c r="KYA20" s="13"/>
      <c r="KYB20" s="13"/>
      <c r="KYC20" s="13"/>
      <c r="KYD20" s="13"/>
      <c r="KYE20" s="13"/>
      <c r="KYF20" s="13"/>
      <c r="KYG20" s="13"/>
      <c r="KYH20" s="13"/>
      <c r="KYI20" s="13"/>
      <c r="KYJ20" s="13"/>
      <c r="KYK20" s="13"/>
      <c r="KYL20" s="13"/>
      <c r="KYM20" s="13"/>
      <c r="KYN20" s="13"/>
      <c r="KYO20" s="13"/>
      <c r="KYP20" s="13"/>
      <c r="KYQ20" s="13"/>
      <c r="KYR20" s="13"/>
      <c r="KYS20" s="13"/>
      <c r="KYT20" s="13"/>
      <c r="KYU20" s="13"/>
      <c r="KYV20" s="13"/>
      <c r="KYW20" s="13"/>
      <c r="KYX20" s="13"/>
      <c r="KYY20" s="13"/>
      <c r="KYZ20" s="13"/>
      <c r="KZA20" s="13"/>
      <c r="KZB20" s="13"/>
      <c r="KZC20" s="13"/>
      <c r="KZD20" s="13"/>
      <c r="KZE20" s="13"/>
      <c r="KZF20" s="13"/>
      <c r="KZG20" s="13"/>
      <c r="KZH20" s="13"/>
      <c r="KZI20" s="13"/>
      <c r="KZJ20" s="13"/>
      <c r="KZK20" s="13"/>
      <c r="KZL20" s="13"/>
      <c r="KZM20" s="13"/>
      <c r="KZN20" s="13"/>
      <c r="KZO20" s="13"/>
      <c r="KZP20" s="13"/>
      <c r="KZQ20" s="13"/>
      <c r="KZR20" s="13"/>
      <c r="KZS20" s="13"/>
      <c r="KZT20" s="13"/>
      <c r="KZU20" s="13"/>
      <c r="KZV20" s="13"/>
      <c r="KZW20" s="13"/>
      <c r="KZX20" s="13"/>
      <c r="KZY20" s="13"/>
      <c r="KZZ20" s="13"/>
      <c r="LAA20" s="13"/>
      <c r="LAB20" s="13"/>
      <c r="LAC20" s="13"/>
      <c r="LAD20" s="13"/>
      <c r="LAE20" s="13"/>
      <c r="LAF20" s="13"/>
      <c r="LAG20" s="13"/>
      <c r="LAH20" s="13"/>
      <c r="LAI20" s="13"/>
      <c r="LAJ20" s="13"/>
      <c r="LAK20" s="13"/>
      <c r="LAL20" s="13"/>
      <c r="LAM20" s="13"/>
      <c r="LAN20" s="13"/>
      <c r="LAO20" s="13"/>
      <c r="LAP20" s="13"/>
      <c r="LAQ20" s="13"/>
      <c r="LAR20" s="13"/>
      <c r="LAS20" s="13"/>
      <c r="LAT20" s="13"/>
      <c r="LAU20" s="13"/>
      <c r="LAV20" s="13"/>
      <c r="LAW20" s="13"/>
      <c r="LAX20" s="13"/>
      <c r="LAY20" s="13"/>
      <c r="LAZ20" s="13"/>
      <c r="LBA20" s="13"/>
      <c r="LBB20" s="13"/>
      <c r="LBC20" s="13"/>
      <c r="LBD20" s="13"/>
      <c r="LBE20" s="13"/>
      <c r="LBF20" s="13"/>
      <c r="LBG20" s="13"/>
      <c r="LBH20" s="13"/>
      <c r="LBI20" s="13"/>
      <c r="LBJ20" s="13"/>
      <c r="LBK20" s="13"/>
      <c r="LBL20" s="13"/>
      <c r="LBM20" s="13"/>
      <c r="LBN20" s="13"/>
      <c r="LBO20" s="13"/>
      <c r="LBP20" s="13"/>
      <c r="LBQ20" s="13"/>
      <c r="LBR20" s="13"/>
      <c r="LBS20" s="13"/>
      <c r="LBT20" s="13"/>
      <c r="LBU20" s="13"/>
      <c r="LBV20" s="13"/>
      <c r="LBW20" s="13"/>
      <c r="LBX20" s="13"/>
      <c r="LBY20" s="13"/>
      <c r="LBZ20" s="13"/>
      <c r="LCA20" s="13"/>
      <c r="LCB20" s="13"/>
      <c r="LCC20" s="13"/>
      <c r="LCD20" s="13"/>
      <c r="LCE20" s="13"/>
      <c r="LCF20" s="13"/>
      <c r="LCG20" s="13"/>
      <c r="LCH20" s="13"/>
      <c r="LCI20" s="13"/>
      <c r="LCJ20" s="13"/>
      <c r="LCK20" s="13"/>
      <c r="LCL20" s="13"/>
      <c r="LCM20" s="13"/>
      <c r="LCN20" s="13"/>
      <c r="LCO20" s="13"/>
      <c r="LCP20" s="13"/>
      <c r="LCQ20" s="13"/>
      <c r="LCR20" s="13"/>
      <c r="LCS20" s="13"/>
      <c r="LCT20" s="13"/>
      <c r="LCU20" s="13"/>
      <c r="LCV20" s="13"/>
      <c r="LCW20" s="13"/>
      <c r="LCX20" s="13"/>
      <c r="LCY20" s="13"/>
      <c r="LCZ20" s="13"/>
      <c r="LDA20" s="13"/>
      <c r="LDB20" s="13"/>
      <c r="LDC20" s="13"/>
      <c r="LDD20" s="13"/>
      <c r="LDE20" s="13"/>
      <c r="LDF20" s="13"/>
      <c r="LDG20" s="13"/>
      <c r="LDH20" s="13"/>
      <c r="LDI20" s="13"/>
      <c r="LDJ20" s="13"/>
      <c r="LDK20" s="13"/>
      <c r="LDL20" s="13"/>
      <c r="LDM20" s="13"/>
      <c r="LDN20" s="13"/>
      <c r="LDO20" s="13"/>
      <c r="LDP20" s="13"/>
      <c r="LDQ20" s="13"/>
      <c r="LDR20" s="13"/>
      <c r="LDS20" s="13"/>
      <c r="LDT20" s="13"/>
      <c r="LDU20" s="13"/>
      <c r="LDV20" s="13"/>
      <c r="LDW20" s="13"/>
      <c r="LDX20" s="13"/>
      <c r="LDY20" s="13"/>
      <c r="LDZ20" s="13"/>
      <c r="LEA20" s="13"/>
      <c r="LEB20" s="13"/>
      <c r="LEC20" s="13"/>
      <c r="LED20" s="13"/>
      <c r="LEE20" s="13"/>
      <c r="LEF20" s="13"/>
      <c r="LEG20" s="13"/>
      <c r="LEH20" s="13"/>
      <c r="LEI20" s="13"/>
      <c r="LEJ20" s="13"/>
      <c r="LEK20" s="13"/>
      <c r="LEL20" s="13"/>
      <c r="LEM20" s="13"/>
      <c r="LEN20" s="13"/>
      <c r="LEO20" s="13"/>
      <c r="LEP20" s="13"/>
      <c r="LEQ20" s="13"/>
      <c r="LER20" s="13"/>
      <c r="LES20" s="13"/>
      <c r="LET20" s="13"/>
      <c r="LEU20" s="13"/>
      <c r="LEV20" s="13"/>
      <c r="LEW20" s="13"/>
      <c r="LEX20" s="13"/>
      <c r="LEY20" s="13"/>
      <c r="LEZ20" s="13"/>
      <c r="LFA20" s="13"/>
      <c r="LFB20" s="13"/>
      <c r="LFC20" s="13"/>
      <c r="LFD20" s="13"/>
      <c r="LFE20" s="13"/>
      <c r="LFF20" s="13"/>
      <c r="LFG20" s="13"/>
      <c r="LFH20" s="13"/>
      <c r="LFI20" s="13"/>
      <c r="LFJ20" s="13"/>
      <c r="LFK20" s="13"/>
      <c r="LFL20" s="13"/>
      <c r="LFM20" s="13"/>
      <c r="LFN20" s="13"/>
      <c r="LFO20" s="13"/>
      <c r="LFP20" s="13"/>
      <c r="LFQ20" s="13"/>
      <c r="LFR20" s="13"/>
      <c r="LFS20" s="13"/>
      <c r="LFT20" s="13"/>
      <c r="LFU20" s="13"/>
      <c r="LFV20" s="13"/>
      <c r="LFW20" s="13"/>
      <c r="LFX20" s="13"/>
      <c r="LFY20" s="13"/>
      <c r="LFZ20" s="13"/>
      <c r="LGA20" s="13"/>
      <c r="LGB20" s="13"/>
      <c r="LGC20" s="13"/>
      <c r="LGD20" s="13"/>
      <c r="LGE20" s="13"/>
      <c r="LGF20" s="13"/>
      <c r="LGG20" s="13"/>
      <c r="LGH20" s="13"/>
      <c r="LGI20" s="13"/>
      <c r="LGJ20" s="13"/>
      <c r="LGK20" s="13"/>
      <c r="LGL20" s="13"/>
      <c r="LGM20" s="13"/>
      <c r="LGN20" s="13"/>
      <c r="LGO20" s="13"/>
      <c r="LGP20" s="13"/>
      <c r="LGQ20" s="13"/>
      <c r="LGR20" s="13"/>
      <c r="LGS20" s="13"/>
      <c r="LGT20" s="13"/>
      <c r="LGU20" s="13"/>
      <c r="LGV20" s="13"/>
      <c r="LGW20" s="13"/>
      <c r="LGX20" s="13"/>
      <c r="LGY20" s="13"/>
      <c r="LGZ20" s="13"/>
      <c r="LHA20" s="13"/>
      <c r="LHB20" s="13"/>
      <c r="LHC20" s="13"/>
      <c r="LHD20" s="13"/>
      <c r="LHE20" s="13"/>
      <c r="LHF20" s="13"/>
      <c r="LHG20" s="13"/>
      <c r="LHH20" s="13"/>
      <c r="LHI20" s="13"/>
      <c r="LHJ20" s="13"/>
      <c r="LHK20" s="13"/>
      <c r="LHL20" s="13"/>
      <c r="LHM20" s="13"/>
      <c r="LHN20" s="13"/>
      <c r="LHO20" s="13"/>
      <c r="LHP20" s="13"/>
      <c r="LHQ20" s="13"/>
      <c r="LHR20" s="13"/>
      <c r="LHS20" s="13"/>
      <c r="LHT20" s="13"/>
      <c r="LHU20" s="13"/>
      <c r="LHV20" s="13"/>
      <c r="LHW20" s="13"/>
      <c r="LHX20" s="13"/>
      <c r="LHY20" s="13"/>
      <c r="LHZ20" s="13"/>
      <c r="LIA20" s="13"/>
      <c r="LIB20" s="13"/>
      <c r="LIC20" s="13"/>
      <c r="LID20" s="13"/>
      <c r="LIE20" s="13"/>
      <c r="LIF20" s="13"/>
      <c r="LIG20" s="13"/>
      <c r="LIH20" s="13"/>
      <c r="LII20" s="13"/>
      <c r="LIJ20" s="13"/>
      <c r="LIK20" s="13"/>
      <c r="LIL20" s="13"/>
      <c r="LIM20" s="13"/>
      <c r="LIN20" s="13"/>
      <c r="LIO20" s="13"/>
      <c r="LIP20" s="13"/>
      <c r="LIQ20" s="13"/>
      <c r="LIR20" s="13"/>
      <c r="LIS20" s="13"/>
      <c r="LIT20" s="13"/>
      <c r="LIU20" s="13"/>
      <c r="LIV20" s="13"/>
      <c r="LIW20" s="13"/>
      <c r="LIX20" s="13"/>
      <c r="LIY20" s="13"/>
      <c r="LIZ20" s="13"/>
      <c r="LJA20" s="13"/>
      <c r="LJB20" s="13"/>
      <c r="LJC20" s="13"/>
      <c r="LJD20" s="13"/>
      <c r="LJE20" s="13"/>
      <c r="LJF20" s="13"/>
      <c r="LJG20" s="13"/>
      <c r="LJH20" s="13"/>
      <c r="LJI20" s="13"/>
      <c r="LJJ20" s="13"/>
      <c r="LJK20" s="13"/>
      <c r="LJL20" s="13"/>
      <c r="LJM20" s="13"/>
      <c r="LJN20" s="13"/>
      <c r="LJO20" s="13"/>
      <c r="LJP20" s="13"/>
      <c r="LJQ20" s="13"/>
      <c r="LJR20" s="13"/>
      <c r="LJS20" s="13"/>
      <c r="LJT20" s="13"/>
      <c r="LJU20" s="13"/>
      <c r="LJV20" s="13"/>
      <c r="LJW20" s="13"/>
      <c r="LJX20" s="13"/>
      <c r="LJY20" s="13"/>
      <c r="LJZ20" s="13"/>
      <c r="LKA20" s="13"/>
      <c r="LKB20" s="13"/>
      <c r="LKC20" s="13"/>
      <c r="LKD20" s="13"/>
      <c r="LKE20" s="13"/>
      <c r="LKF20" s="13"/>
      <c r="LKG20" s="13"/>
      <c r="LKH20" s="13"/>
      <c r="LKI20" s="13"/>
      <c r="LKJ20" s="13"/>
      <c r="LKK20" s="13"/>
      <c r="LKL20" s="13"/>
      <c r="LKM20" s="13"/>
      <c r="LKN20" s="13"/>
      <c r="LKO20" s="13"/>
      <c r="LKP20" s="13"/>
      <c r="LKQ20" s="13"/>
      <c r="LKR20" s="13"/>
      <c r="LKS20" s="13"/>
      <c r="LKT20" s="13"/>
      <c r="LKU20" s="13"/>
      <c r="LKV20" s="13"/>
      <c r="LKW20" s="13"/>
      <c r="LKX20" s="13"/>
      <c r="LKY20" s="13"/>
      <c r="LKZ20" s="13"/>
      <c r="LLA20" s="13"/>
      <c r="LLB20" s="13"/>
      <c r="LLC20" s="13"/>
      <c r="LLD20" s="13"/>
      <c r="LLE20" s="13"/>
      <c r="LLF20" s="13"/>
      <c r="LLG20" s="13"/>
      <c r="LLH20" s="13"/>
      <c r="LLI20" s="13"/>
      <c r="LLJ20" s="13"/>
      <c r="LLK20" s="13"/>
      <c r="LLL20" s="13"/>
      <c r="LLM20" s="13"/>
      <c r="LLN20" s="13"/>
      <c r="LLO20" s="13"/>
      <c r="LLP20" s="13"/>
      <c r="LLQ20" s="13"/>
      <c r="LLR20" s="13"/>
      <c r="LLS20" s="13"/>
      <c r="LLT20" s="13"/>
      <c r="LLU20" s="13"/>
      <c r="LLV20" s="13"/>
      <c r="LLW20" s="13"/>
      <c r="LLX20" s="13"/>
      <c r="LLY20" s="13"/>
      <c r="LLZ20" s="13"/>
      <c r="LMA20" s="13"/>
      <c r="LMB20" s="13"/>
      <c r="LMC20" s="13"/>
      <c r="LMD20" s="13"/>
      <c r="LME20" s="13"/>
      <c r="LMF20" s="13"/>
      <c r="LMG20" s="13"/>
      <c r="LMH20" s="13"/>
      <c r="LMI20" s="13"/>
      <c r="LMJ20" s="13"/>
      <c r="LMK20" s="13"/>
      <c r="LML20" s="13"/>
      <c r="LMM20" s="13"/>
      <c r="LMN20" s="13"/>
      <c r="LMO20" s="13"/>
      <c r="LMP20" s="13"/>
      <c r="LMQ20" s="13"/>
      <c r="LMR20" s="13"/>
      <c r="LMS20" s="13"/>
      <c r="LMT20" s="13"/>
      <c r="LMU20" s="13"/>
      <c r="LMV20" s="13"/>
      <c r="LMW20" s="13"/>
      <c r="LMX20" s="13"/>
      <c r="LMY20" s="13"/>
      <c r="LMZ20" s="13"/>
      <c r="LNA20" s="13"/>
      <c r="LNB20" s="13"/>
      <c r="LNC20" s="13"/>
      <c r="LND20" s="13"/>
      <c r="LNE20" s="13"/>
      <c r="LNF20" s="13"/>
      <c r="LNG20" s="13"/>
      <c r="LNH20" s="13"/>
      <c r="LNI20" s="13"/>
      <c r="LNJ20" s="13"/>
      <c r="LNK20" s="13"/>
      <c r="LNL20" s="13"/>
      <c r="LNM20" s="13"/>
      <c r="LNN20" s="13"/>
      <c r="LNO20" s="13"/>
      <c r="LNP20" s="13"/>
      <c r="LNQ20" s="13"/>
      <c r="LNR20" s="13"/>
      <c r="LNS20" s="13"/>
      <c r="LNT20" s="13"/>
      <c r="LNU20" s="13"/>
      <c r="LNV20" s="13"/>
      <c r="LNW20" s="13"/>
      <c r="LNX20" s="13"/>
      <c r="LNY20" s="13"/>
      <c r="LNZ20" s="13"/>
      <c r="LOA20" s="13"/>
      <c r="LOB20" s="13"/>
      <c r="LOC20" s="13"/>
      <c r="LOD20" s="13"/>
      <c r="LOE20" s="13"/>
      <c r="LOF20" s="13"/>
      <c r="LOG20" s="13"/>
      <c r="LOH20" s="13"/>
      <c r="LOI20" s="13"/>
      <c r="LOJ20" s="13"/>
      <c r="LOK20" s="13"/>
      <c r="LOL20" s="13"/>
      <c r="LOM20" s="13"/>
      <c r="LON20" s="13"/>
      <c r="LOO20" s="13"/>
      <c r="LOP20" s="13"/>
      <c r="LOQ20" s="13"/>
      <c r="LOR20" s="13"/>
      <c r="LOS20" s="13"/>
      <c r="LOT20" s="13"/>
      <c r="LOU20" s="13"/>
      <c r="LOV20" s="13"/>
      <c r="LOW20" s="13"/>
      <c r="LOX20" s="13"/>
      <c r="LOY20" s="13"/>
      <c r="LOZ20" s="13"/>
      <c r="LPA20" s="13"/>
      <c r="LPB20" s="13"/>
      <c r="LPC20" s="13"/>
      <c r="LPD20" s="13"/>
      <c r="LPE20" s="13"/>
      <c r="LPF20" s="13"/>
      <c r="LPG20" s="13"/>
      <c r="LPH20" s="13"/>
      <c r="LPI20" s="13"/>
      <c r="LPJ20" s="13"/>
      <c r="LPK20" s="13"/>
      <c r="LPL20" s="13"/>
      <c r="LPM20" s="13"/>
      <c r="LPN20" s="13"/>
      <c r="LPO20" s="13"/>
      <c r="LPP20" s="13"/>
      <c r="LPQ20" s="13"/>
      <c r="LPR20" s="13"/>
      <c r="LPS20" s="13"/>
      <c r="LPT20" s="13"/>
      <c r="LPU20" s="13"/>
      <c r="LPV20" s="13"/>
      <c r="LPW20" s="13"/>
      <c r="LPX20" s="13"/>
      <c r="LPY20" s="13"/>
      <c r="LPZ20" s="13"/>
      <c r="LQA20" s="13"/>
      <c r="LQB20" s="13"/>
      <c r="LQC20" s="13"/>
      <c r="LQD20" s="13"/>
      <c r="LQE20" s="13"/>
      <c r="LQF20" s="13"/>
      <c r="LQG20" s="13"/>
      <c r="LQH20" s="13"/>
      <c r="LQI20" s="13"/>
      <c r="LQJ20" s="13"/>
      <c r="LQK20" s="13"/>
      <c r="LQL20" s="13"/>
      <c r="LQM20" s="13"/>
      <c r="LQN20" s="13"/>
      <c r="LQO20" s="13"/>
      <c r="LQP20" s="13"/>
      <c r="LQQ20" s="13"/>
      <c r="LQR20" s="13"/>
      <c r="LQS20" s="13"/>
      <c r="LQT20" s="13"/>
      <c r="LQU20" s="13"/>
      <c r="LQV20" s="13"/>
      <c r="LQW20" s="13"/>
      <c r="LQX20" s="13"/>
      <c r="LQY20" s="13"/>
      <c r="LQZ20" s="13"/>
      <c r="LRA20" s="13"/>
      <c r="LRB20" s="13"/>
      <c r="LRC20" s="13"/>
      <c r="LRD20" s="13"/>
      <c r="LRE20" s="13"/>
      <c r="LRF20" s="13"/>
      <c r="LRG20" s="13"/>
      <c r="LRH20" s="13"/>
      <c r="LRI20" s="13"/>
      <c r="LRJ20" s="13"/>
      <c r="LRK20" s="13"/>
      <c r="LRL20" s="13"/>
      <c r="LRM20" s="13"/>
      <c r="LRN20" s="13"/>
      <c r="LRO20" s="13"/>
      <c r="LRP20" s="13"/>
      <c r="LRQ20" s="13"/>
      <c r="LRR20" s="13"/>
      <c r="LRS20" s="13"/>
      <c r="LRT20" s="13"/>
      <c r="LRU20" s="13"/>
      <c r="LRV20" s="13"/>
      <c r="LRW20" s="13"/>
      <c r="LRX20" s="13"/>
      <c r="LRY20" s="13"/>
      <c r="LRZ20" s="13"/>
      <c r="LSA20" s="13"/>
      <c r="LSB20" s="13"/>
      <c r="LSC20" s="13"/>
      <c r="LSD20" s="13"/>
      <c r="LSE20" s="13"/>
      <c r="LSF20" s="13"/>
      <c r="LSG20" s="13"/>
      <c r="LSH20" s="13"/>
      <c r="LSI20" s="13"/>
      <c r="LSJ20" s="13"/>
      <c r="LSK20" s="13"/>
      <c r="LSL20" s="13"/>
      <c r="LSM20" s="13"/>
      <c r="LSN20" s="13"/>
      <c r="LSO20" s="13"/>
      <c r="LSP20" s="13"/>
      <c r="LSQ20" s="13"/>
      <c r="LSR20" s="13"/>
      <c r="LSS20" s="13"/>
      <c r="LST20" s="13"/>
      <c r="LSU20" s="13"/>
      <c r="LSV20" s="13"/>
      <c r="LSW20" s="13"/>
      <c r="LSX20" s="13"/>
      <c r="LSY20" s="13"/>
      <c r="LSZ20" s="13"/>
      <c r="LTA20" s="13"/>
      <c r="LTB20" s="13"/>
      <c r="LTC20" s="13"/>
      <c r="LTD20" s="13"/>
      <c r="LTE20" s="13"/>
      <c r="LTF20" s="13"/>
      <c r="LTG20" s="13"/>
      <c r="LTH20" s="13"/>
      <c r="LTI20" s="13"/>
      <c r="LTJ20" s="13"/>
      <c r="LTK20" s="13"/>
      <c r="LTL20" s="13"/>
      <c r="LTM20" s="13"/>
      <c r="LTN20" s="13"/>
      <c r="LTO20" s="13"/>
      <c r="LTP20" s="13"/>
      <c r="LTQ20" s="13"/>
      <c r="LTR20" s="13"/>
      <c r="LTS20" s="13"/>
      <c r="LTT20" s="13"/>
      <c r="LTU20" s="13"/>
      <c r="LTV20" s="13"/>
      <c r="LTW20" s="13"/>
      <c r="LTX20" s="13"/>
      <c r="LTY20" s="13"/>
      <c r="LTZ20" s="13"/>
      <c r="LUA20" s="13"/>
      <c r="LUB20" s="13"/>
      <c r="LUC20" s="13"/>
      <c r="LUD20" s="13"/>
      <c r="LUE20" s="13"/>
      <c r="LUF20" s="13"/>
      <c r="LUG20" s="13"/>
      <c r="LUH20" s="13"/>
      <c r="LUI20" s="13"/>
      <c r="LUJ20" s="13"/>
      <c r="LUK20" s="13"/>
      <c r="LUL20" s="13"/>
      <c r="LUM20" s="13"/>
      <c r="LUN20" s="13"/>
      <c r="LUO20" s="13"/>
      <c r="LUP20" s="13"/>
      <c r="LUQ20" s="13"/>
      <c r="LUR20" s="13"/>
      <c r="LUS20" s="13"/>
      <c r="LUT20" s="13"/>
      <c r="LUU20" s="13"/>
      <c r="LUV20" s="13"/>
      <c r="LUW20" s="13"/>
      <c r="LUX20" s="13"/>
      <c r="LUY20" s="13"/>
      <c r="LUZ20" s="13"/>
      <c r="LVA20" s="13"/>
      <c r="LVB20" s="13"/>
      <c r="LVC20" s="13"/>
      <c r="LVD20" s="13"/>
      <c r="LVE20" s="13"/>
      <c r="LVF20" s="13"/>
      <c r="LVG20" s="13"/>
      <c r="LVH20" s="13"/>
      <c r="LVI20" s="13"/>
      <c r="LVJ20" s="13"/>
      <c r="LVK20" s="13"/>
      <c r="LVL20" s="13"/>
      <c r="LVM20" s="13"/>
      <c r="LVN20" s="13"/>
      <c r="LVO20" s="13"/>
      <c r="LVP20" s="13"/>
      <c r="LVQ20" s="13"/>
      <c r="LVR20" s="13"/>
      <c r="LVS20" s="13"/>
      <c r="LVT20" s="13"/>
      <c r="LVU20" s="13"/>
      <c r="LVV20" s="13"/>
      <c r="LVW20" s="13"/>
      <c r="LVX20" s="13"/>
      <c r="LVY20" s="13"/>
      <c r="LVZ20" s="13"/>
      <c r="LWA20" s="13"/>
      <c r="LWB20" s="13"/>
      <c r="LWC20" s="13"/>
      <c r="LWD20" s="13"/>
      <c r="LWE20" s="13"/>
      <c r="LWF20" s="13"/>
      <c r="LWG20" s="13"/>
      <c r="LWH20" s="13"/>
      <c r="LWI20" s="13"/>
      <c r="LWJ20" s="13"/>
      <c r="LWK20" s="13"/>
      <c r="LWL20" s="13"/>
      <c r="LWM20" s="13"/>
      <c r="LWN20" s="13"/>
      <c r="LWO20" s="13"/>
      <c r="LWP20" s="13"/>
      <c r="LWQ20" s="13"/>
      <c r="LWR20" s="13"/>
      <c r="LWS20" s="13"/>
      <c r="LWT20" s="13"/>
      <c r="LWU20" s="13"/>
      <c r="LWV20" s="13"/>
      <c r="LWW20" s="13"/>
      <c r="LWX20" s="13"/>
      <c r="LWY20" s="13"/>
      <c r="LWZ20" s="13"/>
      <c r="LXA20" s="13"/>
      <c r="LXB20" s="13"/>
      <c r="LXC20" s="13"/>
      <c r="LXD20" s="13"/>
      <c r="LXE20" s="13"/>
      <c r="LXF20" s="13"/>
      <c r="LXG20" s="13"/>
      <c r="LXH20" s="13"/>
      <c r="LXI20" s="13"/>
      <c r="LXJ20" s="13"/>
      <c r="LXK20" s="13"/>
      <c r="LXL20" s="13"/>
      <c r="LXM20" s="13"/>
      <c r="LXN20" s="13"/>
      <c r="LXO20" s="13"/>
      <c r="LXP20" s="13"/>
      <c r="LXQ20" s="13"/>
      <c r="LXR20" s="13"/>
      <c r="LXS20" s="13"/>
      <c r="LXT20" s="13"/>
      <c r="LXU20" s="13"/>
      <c r="LXV20" s="13"/>
      <c r="LXW20" s="13"/>
      <c r="LXX20" s="13"/>
      <c r="LXY20" s="13"/>
      <c r="LXZ20" s="13"/>
      <c r="LYA20" s="13"/>
      <c r="LYB20" s="13"/>
      <c r="LYC20" s="13"/>
      <c r="LYD20" s="13"/>
      <c r="LYE20" s="13"/>
      <c r="LYF20" s="13"/>
      <c r="LYG20" s="13"/>
      <c r="LYH20" s="13"/>
      <c r="LYI20" s="13"/>
      <c r="LYJ20" s="13"/>
      <c r="LYK20" s="13"/>
      <c r="LYL20" s="13"/>
      <c r="LYM20" s="13"/>
      <c r="LYN20" s="13"/>
      <c r="LYO20" s="13"/>
      <c r="LYP20" s="13"/>
      <c r="LYQ20" s="13"/>
      <c r="LYR20" s="13"/>
      <c r="LYS20" s="13"/>
      <c r="LYT20" s="13"/>
      <c r="LYU20" s="13"/>
      <c r="LYV20" s="13"/>
      <c r="LYW20" s="13"/>
      <c r="LYX20" s="13"/>
      <c r="LYY20" s="13"/>
      <c r="LYZ20" s="13"/>
      <c r="LZA20" s="13"/>
      <c r="LZB20" s="13"/>
      <c r="LZC20" s="13"/>
      <c r="LZD20" s="13"/>
      <c r="LZE20" s="13"/>
      <c r="LZF20" s="13"/>
      <c r="LZG20" s="13"/>
      <c r="LZH20" s="13"/>
      <c r="LZI20" s="13"/>
      <c r="LZJ20" s="13"/>
      <c r="LZK20" s="13"/>
      <c r="LZL20" s="13"/>
      <c r="LZM20" s="13"/>
      <c r="LZN20" s="13"/>
      <c r="LZO20" s="13"/>
      <c r="LZP20" s="13"/>
      <c r="LZQ20" s="13"/>
      <c r="LZR20" s="13"/>
      <c r="LZS20" s="13"/>
      <c r="LZT20" s="13"/>
      <c r="LZU20" s="13"/>
      <c r="LZV20" s="13"/>
      <c r="LZW20" s="13"/>
      <c r="LZX20" s="13"/>
      <c r="LZY20" s="13"/>
      <c r="LZZ20" s="13"/>
      <c r="MAA20" s="13"/>
      <c r="MAB20" s="13"/>
      <c r="MAC20" s="13"/>
      <c r="MAD20" s="13"/>
      <c r="MAE20" s="13"/>
      <c r="MAF20" s="13"/>
      <c r="MAG20" s="13"/>
      <c r="MAH20" s="13"/>
      <c r="MAI20" s="13"/>
      <c r="MAJ20" s="13"/>
      <c r="MAK20" s="13"/>
      <c r="MAL20" s="13"/>
      <c r="MAM20" s="13"/>
      <c r="MAN20" s="13"/>
      <c r="MAO20" s="13"/>
      <c r="MAP20" s="13"/>
      <c r="MAQ20" s="13"/>
      <c r="MAR20" s="13"/>
      <c r="MAS20" s="13"/>
      <c r="MAT20" s="13"/>
      <c r="MAU20" s="13"/>
      <c r="MAV20" s="13"/>
      <c r="MAW20" s="13"/>
      <c r="MAX20" s="13"/>
      <c r="MAY20" s="13"/>
      <c r="MAZ20" s="13"/>
      <c r="MBA20" s="13"/>
      <c r="MBB20" s="13"/>
      <c r="MBC20" s="13"/>
      <c r="MBD20" s="13"/>
      <c r="MBE20" s="13"/>
      <c r="MBF20" s="13"/>
      <c r="MBG20" s="13"/>
      <c r="MBH20" s="13"/>
      <c r="MBI20" s="13"/>
      <c r="MBJ20" s="13"/>
      <c r="MBK20" s="13"/>
      <c r="MBL20" s="13"/>
      <c r="MBM20" s="13"/>
      <c r="MBN20" s="13"/>
      <c r="MBO20" s="13"/>
      <c r="MBP20" s="13"/>
      <c r="MBQ20" s="13"/>
      <c r="MBR20" s="13"/>
      <c r="MBS20" s="13"/>
      <c r="MBT20" s="13"/>
      <c r="MBU20" s="13"/>
      <c r="MBV20" s="13"/>
      <c r="MBW20" s="13"/>
      <c r="MBX20" s="13"/>
      <c r="MBY20" s="13"/>
      <c r="MBZ20" s="13"/>
      <c r="MCA20" s="13"/>
      <c r="MCB20" s="13"/>
      <c r="MCC20" s="13"/>
      <c r="MCD20" s="13"/>
      <c r="MCE20" s="13"/>
      <c r="MCF20" s="13"/>
      <c r="MCG20" s="13"/>
      <c r="MCH20" s="13"/>
      <c r="MCI20" s="13"/>
      <c r="MCJ20" s="13"/>
      <c r="MCK20" s="13"/>
      <c r="MCL20" s="13"/>
      <c r="MCM20" s="13"/>
      <c r="MCN20" s="13"/>
      <c r="MCO20" s="13"/>
      <c r="MCP20" s="13"/>
      <c r="MCQ20" s="13"/>
      <c r="MCR20" s="13"/>
      <c r="MCS20" s="13"/>
      <c r="MCT20" s="13"/>
      <c r="MCU20" s="13"/>
      <c r="MCV20" s="13"/>
      <c r="MCW20" s="13"/>
      <c r="MCX20" s="13"/>
      <c r="MCY20" s="13"/>
      <c r="MCZ20" s="13"/>
      <c r="MDA20" s="13"/>
      <c r="MDB20" s="13"/>
      <c r="MDC20" s="13"/>
      <c r="MDD20" s="13"/>
      <c r="MDE20" s="13"/>
      <c r="MDF20" s="13"/>
      <c r="MDG20" s="13"/>
      <c r="MDH20" s="13"/>
      <c r="MDI20" s="13"/>
      <c r="MDJ20" s="13"/>
      <c r="MDK20" s="13"/>
      <c r="MDL20" s="13"/>
      <c r="MDM20" s="13"/>
      <c r="MDN20" s="13"/>
      <c r="MDO20" s="13"/>
      <c r="MDP20" s="13"/>
      <c r="MDQ20" s="13"/>
      <c r="MDR20" s="13"/>
      <c r="MDS20" s="13"/>
      <c r="MDT20" s="13"/>
      <c r="MDU20" s="13"/>
      <c r="MDV20" s="13"/>
      <c r="MDW20" s="13"/>
      <c r="MDX20" s="13"/>
      <c r="MDY20" s="13"/>
      <c r="MDZ20" s="13"/>
      <c r="MEA20" s="13"/>
      <c r="MEB20" s="13"/>
      <c r="MEC20" s="13"/>
      <c r="MED20" s="13"/>
      <c r="MEE20" s="13"/>
      <c r="MEF20" s="13"/>
      <c r="MEG20" s="13"/>
      <c r="MEH20" s="13"/>
      <c r="MEI20" s="13"/>
      <c r="MEJ20" s="13"/>
      <c r="MEK20" s="13"/>
      <c r="MEL20" s="13"/>
      <c r="MEM20" s="13"/>
      <c r="MEN20" s="13"/>
      <c r="MEO20" s="13"/>
      <c r="MEP20" s="13"/>
      <c r="MEQ20" s="13"/>
      <c r="MER20" s="13"/>
      <c r="MES20" s="13"/>
      <c r="MET20" s="13"/>
      <c r="MEU20" s="13"/>
      <c r="MEV20" s="13"/>
      <c r="MEW20" s="13"/>
      <c r="MEX20" s="13"/>
      <c r="MEY20" s="13"/>
      <c r="MEZ20" s="13"/>
      <c r="MFA20" s="13"/>
      <c r="MFB20" s="13"/>
      <c r="MFC20" s="13"/>
      <c r="MFD20" s="13"/>
      <c r="MFE20" s="13"/>
      <c r="MFF20" s="13"/>
      <c r="MFG20" s="13"/>
      <c r="MFH20" s="13"/>
      <c r="MFI20" s="13"/>
      <c r="MFJ20" s="13"/>
      <c r="MFK20" s="13"/>
      <c r="MFL20" s="13"/>
      <c r="MFM20" s="13"/>
      <c r="MFN20" s="13"/>
      <c r="MFO20" s="13"/>
      <c r="MFP20" s="13"/>
      <c r="MFQ20" s="13"/>
      <c r="MFR20" s="13"/>
      <c r="MFS20" s="13"/>
      <c r="MFT20" s="13"/>
      <c r="MFU20" s="13"/>
      <c r="MFV20" s="13"/>
      <c r="MFW20" s="13"/>
      <c r="MFX20" s="13"/>
      <c r="MFY20" s="13"/>
      <c r="MFZ20" s="13"/>
      <c r="MGA20" s="13"/>
      <c r="MGB20" s="13"/>
      <c r="MGC20" s="13"/>
      <c r="MGD20" s="13"/>
      <c r="MGE20" s="13"/>
      <c r="MGF20" s="13"/>
      <c r="MGG20" s="13"/>
      <c r="MGH20" s="13"/>
      <c r="MGI20" s="13"/>
      <c r="MGJ20" s="13"/>
      <c r="MGK20" s="13"/>
      <c r="MGL20" s="13"/>
      <c r="MGM20" s="13"/>
      <c r="MGN20" s="13"/>
      <c r="MGO20" s="13"/>
      <c r="MGP20" s="13"/>
      <c r="MGQ20" s="13"/>
      <c r="MGR20" s="13"/>
      <c r="MGS20" s="13"/>
      <c r="MGT20" s="13"/>
      <c r="MGU20" s="13"/>
      <c r="MGV20" s="13"/>
      <c r="MGW20" s="13"/>
      <c r="MGX20" s="13"/>
      <c r="MGY20" s="13"/>
      <c r="MGZ20" s="13"/>
      <c r="MHA20" s="13"/>
      <c r="MHB20" s="13"/>
      <c r="MHC20" s="13"/>
      <c r="MHD20" s="13"/>
      <c r="MHE20" s="13"/>
      <c r="MHF20" s="13"/>
      <c r="MHG20" s="13"/>
      <c r="MHH20" s="13"/>
      <c r="MHI20" s="13"/>
      <c r="MHJ20" s="13"/>
      <c r="MHK20" s="13"/>
      <c r="MHL20" s="13"/>
      <c r="MHM20" s="13"/>
      <c r="MHN20" s="13"/>
      <c r="MHO20" s="13"/>
      <c r="MHP20" s="13"/>
      <c r="MHQ20" s="13"/>
      <c r="MHR20" s="13"/>
      <c r="MHS20" s="13"/>
      <c r="MHT20" s="13"/>
      <c r="MHU20" s="13"/>
      <c r="MHV20" s="13"/>
      <c r="MHW20" s="13"/>
      <c r="MHX20" s="13"/>
      <c r="MHY20" s="13"/>
      <c r="MHZ20" s="13"/>
      <c r="MIA20" s="13"/>
      <c r="MIB20" s="13"/>
      <c r="MIC20" s="13"/>
      <c r="MID20" s="13"/>
      <c r="MIE20" s="13"/>
      <c r="MIF20" s="13"/>
      <c r="MIG20" s="13"/>
      <c r="MIH20" s="13"/>
      <c r="MII20" s="13"/>
      <c r="MIJ20" s="13"/>
      <c r="MIK20" s="13"/>
      <c r="MIL20" s="13"/>
      <c r="MIM20" s="13"/>
      <c r="MIN20" s="13"/>
      <c r="MIO20" s="13"/>
      <c r="MIP20" s="13"/>
      <c r="MIQ20" s="13"/>
      <c r="MIR20" s="13"/>
      <c r="MIS20" s="13"/>
      <c r="MIT20" s="13"/>
      <c r="MIU20" s="13"/>
      <c r="MIV20" s="13"/>
      <c r="MIW20" s="13"/>
      <c r="MIX20" s="13"/>
      <c r="MIY20" s="13"/>
      <c r="MIZ20" s="13"/>
      <c r="MJA20" s="13"/>
      <c r="MJB20" s="13"/>
      <c r="MJC20" s="13"/>
      <c r="MJD20" s="13"/>
      <c r="MJE20" s="13"/>
      <c r="MJF20" s="13"/>
      <c r="MJG20" s="13"/>
      <c r="MJH20" s="13"/>
      <c r="MJI20" s="13"/>
      <c r="MJJ20" s="13"/>
      <c r="MJK20" s="13"/>
      <c r="MJL20" s="13"/>
      <c r="MJM20" s="13"/>
      <c r="MJN20" s="13"/>
      <c r="MJO20" s="13"/>
      <c r="MJP20" s="13"/>
      <c r="MJQ20" s="13"/>
      <c r="MJR20" s="13"/>
      <c r="MJS20" s="13"/>
      <c r="MJT20" s="13"/>
      <c r="MJU20" s="13"/>
      <c r="MJV20" s="13"/>
      <c r="MJW20" s="13"/>
      <c r="MJX20" s="13"/>
      <c r="MJY20" s="13"/>
      <c r="MJZ20" s="13"/>
      <c r="MKA20" s="13"/>
      <c r="MKB20" s="13"/>
      <c r="MKC20" s="13"/>
      <c r="MKD20" s="13"/>
      <c r="MKE20" s="13"/>
      <c r="MKF20" s="13"/>
      <c r="MKG20" s="13"/>
      <c r="MKH20" s="13"/>
      <c r="MKI20" s="13"/>
      <c r="MKJ20" s="13"/>
      <c r="MKK20" s="13"/>
      <c r="MKL20" s="13"/>
      <c r="MKM20" s="13"/>
      <c r="MKN20" s="13"/>
      <c r="MKO20" s="13"/>
      <c r="MKP20" s="13"/>
      <c r="MKQ20" s="13"/>
      <c r="MKR20" s="13"/>
      <c r="MKS20" s="13"/>
      <c r="MKT20" s="13"/>
      <c r="MKU20" s="13"/>
      <c r="MKV20" s="13"/>
      <c r="MKW20" s="13"/>
      <c r="MKX20" s="13"/>
      <c r="MKY20" s="13"/>
      <c r="MKZ20" s="13"/>
      <c r="MLA20" s="13"/>
      <c r="MLB20" s="13"/>
      <c r="MLC20" s="13"/>
      <c r="MLD20" s="13"/>
      <c r="MLE20" s="13"/>
      <c r="MLF20" s="13"/>
      <c r="MLG20" s="13"/>
      <c r="MLH20" s="13"/>
      <c r="MLI20" s="13"/>
      <c r="MLJ20" s="13"/>
      <c r="MLK20" s="13"/>
      <c r="MLL20" s="13"/>
      <c r="MLM20" s="13"/>
      <c r="MLN20" s="13"/>
      <c r="MLO20" s="13"/>
      <c r="MLP20" s="13"/>
      <c r="MLQ20" s="13"/>
      <c r="MLR20" s="13"/>
      <c r="MLS20" s="13"/>
      <c r="MLT20" s="13"/>
      <c r="MLU20" s="13"/>
      <c r="MLV20" s="13"/>
      <c r="MLW20" s="13"/>
      <c r="MLX20" s="13"/>
      <c r="MLY20" s="13"/>
      <c r="MLZ20" s="13"/>
      <c r="MMA20" s="13"/>
      <c r="MMB20" s="13"/>
      <c r="MMC20" s="13"/>
      <c r="MMD20" s="13"/>
      <c r="MME20" s="13"/>
      <c r="MMF20" s="13"/>
      <c r="MMG20" s="13"/>
      <c r="MMH20" s="13"/>
      <c r="MMI20" s="13"/>
      <c r="MMJ20" s="13"/>
      <c r="MMK20" s="13"/>
      <c r="MML20" s="13"/>
      <c r="MMM20" s="13"/>
      <c r="MMN20" s="13"/>
      <c r="MMO20" s="13"/>
      <c r="MMP20" s="13"/>
      <c r="MMQ20" s="13"/>
      <c r="MMR20" s="13"/>
      <c r="MMS20" s="13"/>
      <c r="MMT20" s="13"/>
      <c r="MMU20" s="13"/>
      <c r="MMV20" s="13"/>
      <c r="MMW20" s="13"/>
      <c r="MMX20" s="13"/>
      <c r="MMY20" s="13"/>
      <c r="MMZ20" s="13"/>
      <c r="MNA20" s="13"/>
      <c r="MNB20" s="13"/>
      <c r="MNC20" s="13"/>
      <c r="MND20" s="13"/>
      <c r="MNE20" s="13"/>
      <c r="MNF20" s="13"/>
      <c r="MNG20" s="13"/>
      <c r="MNH20" s="13"/>
      <c r="MNI20" s="13"/>
      <c r="MNJ20" s="13"/>
      <c r="MNK20" s="13"/>
      <c r="MNL20" s="13"/>
      <c r="MNM20" s="13"/>
      <c r="MNN20" s="13"/>
      <c r="MNO20" s="13"/>
      <c r="MNP20" s="13"/>
      <c r="MNQ20" s="13"/>
      <c r="MNR20" s="13"/>
      <c r="MNS20" s="13"/>
      <c r="MNT20" s="13"/>
      <c r="MNU20" s="13"/>
      <c r="MNV20" s="13"/>
      <c r="MNW20" s="13"/>
      <c r="MNX20" s="13"/>
      <c r="MNY20" s="13"/>
      <c r="MNZ20" s="13"/>
      <c r="MOA20" s="13"/>
      <c r="MOB20" s="13"/>
      <c r="MOC20" s="13"/>
      <c r="MOD20" s="13"/>
      <c r="MOE20" s="13"/>
      <c r="MOF20" s="13"/>
      <c r="MOG20" s="13"/>
      <c r="MOH20" s="13"/>
      <c r="MOI20" s="13"/>
      <c r="MOJ20" s="13"/>
      <c r="MOK20" s="13"/>
      <c r="MOL20" s="13"/>
      <c r="MOM20" s="13"/>
      <c r="MON20" s="13"/>
      <c r="MOO20" s="13"/>
      <c r="MOP20" s="13"/>
      <c r="MOQ20" s="13"/>
      <c r="MOR20" s="13"/>
      <c r="MOS20" s="13"/>
      <c r="MOT20" s="13"/>
      <c r="MOU20" s="13"/>
      <c r="MOV20" s="13"/>
      <c r="MOW20" s="13"/>
      <c r="MOX20" s="13"/>
      <c r="MOY20" s="13"/>
      <c r="MOZ20" s="13"/>
      <c r="MPA20" s="13"/>
      <c r="MPB20" s="13"/>
      <c r="MPC20" s="13"/>
      <c r="MPD20" s="13"/>
      <c r="MPE20" s="13"/>
      <c r="MPF20" s="13"/>
      <c r="MPG20" s="13"/>
      <c r="MPH20" s="13"/>
      <c r="MPI20" s="13"/>
      <c r="MPJ20" s="13"/>
      <c r="MPK20" s="13"/>
      <c r="MPL20" s="13"/>
      <c r="MPM20" s="13"/>
      <c r="MPN20" s="13"/>
      <c r="MPO20" s="13"/>
      <c r="MPP20" s="13"/>
      <c r="MPQ20" s="13"/>
      <c r="MPR20" s="13"/>
      <c r="MPS20" s="13"/>
      <c r="MPT20" s="13"/>
      <c r="MPU20" s="13"/>
      <c r="MPV20" s="13"/>
      <c r="MPW20" s="13"/>
      <c r="MPX20" s="13"/>
      <c r="MPY20" s="13"/>
      <c r="MPZ20" s="13"/>
      <c r="MQA20" s="13"/>
      <c r="MQB20" s="13"/>
      <c r="MQC20" s="13"/>
      <c r="MQD20" s="13"/>
      <c r="MQE20" s="13"/>
      <c r="MQF20" s="13"/>
      <c r="MQG20" s="13"/>
      <c r="MQH20" s="13"/>
      <c r="MQI20" s="13"/>
      <c r="MQJ20" s="13"/>
      <c r="MQK20" s="13"/>
      <c r="MQL20" s="13"/>
      <c r="MQM20" s="13"/>
      <c r="MQN20" s="13"/>
      <c r="MQO20" s="13"/>
      <c r="MQP20" s="13"/>
      <c r="MQQ20" s="13"/>
      <c r="MQR20" s="13"/>
      <c r="MQS20" s="13"/>
      <c r="MQT20" s="13"/>
      <c r="MQU20" s="13"/>
      <c r="MQV20" s="13"/>
      <c r="MQW20" s="13"/>
      <c r="MQX20" s="13"/>
      <c r="MQY20" s="13"/>
      <c r="MQZ20" s="13"/>
      <c r="MRA20" s="13"/>
      <c r="MRB20" s="13"/>
      <c r="MRC20" s="13"/>
      <c r="MRD20" s="13"/>
      <c r="MRE20" s="13"/>
      <c r="MRF20" s="13"/>
      <c r="MRG20" s="13"/>
      <c r="MRH20" s="13"/>
      <c r="MRI20" s="13"/>
      <c r="MRJ20" s="13"/>
      <c r="MRK20" s="13"/>
      <c r="MRL20" s="13"/>
      <c r="MRM20" s="13"/>
      <c r="MRN20" s="13"/>
      <c r="MRO20" s="13"/>
      <c r="MRP20" s="13"/>
      <c r="MRQ20" s="13"/>
      <c r="MRR20" s="13"/>
      <c r="MRS20" s="13"/>
      <c r="MRT20" s="13"/>
      <c r="MRU20" s="13"/>
      <c r="MRV20" s="13"/>
      <c r="MRW20" s="13"/>
      <c r="MRX20" s="13"/>
      <c r="MRY20" s="13"/>
      <c r="MRZ20" s="13"/>
      <c r="MSA20" s="13"/>
      <c r="MSB20" s="13"/>
      <c r="MSC20" s="13"/>
      <c r="MSD20" s="13"/>
      <c r="MSE20" s="13"/>
      <c r="MSF20" s="13"/>
      <c r="MSG20" s="13"/>
      <c r="MSH20" s="13"/>
      <c r="MSI20" s="13"/>
      <c r="MSJ20" s="13"/>
      <c r="MSK20" s="13"/>
      <c r="MSL20" s="13"/>
      <c r="MSM20" s="13"/>
      <c r="MSN20" s="13"/>
      <c r="MSO20" s="13"/>
      <c r="MSP20" s="13"/>
      <c r="MSQ20" s="13"/>
      <c r="MSR20" s="13"/>
      <c r="MSS20" s="13"/>
      <c r="MST20" s="13"/>
      <c r="MSU20" s="13"/>
      <c r="MSV20" s="13"/>
      <c r="MSW20" s="13"/>
      <c r="MSX20" s="13"/>
      <c r="MSY20" s="13"/>
      <c r="MSZ20" s="13"/>
      <c r="MTA20" s="13"/>
      <c r="MTB20" s="13"/>
      <c r="MTC20" s="13"/>
      <c r="MTD20" s="13"/>
      <c r="MTE20" s="13"/>
      <c r="MTF20" s="13"/>
      <c r="MTG20" s="13"/>
      <c r="MTH20" s="13"/>
      <c r="MTI20" s="13"/>
      <c r="MTJ20" s="13"/>
      <c r="MTK20" s="13"/>
      <c r="MTL20" s="13"/>
      <c r="MTM20" s="13"/>
      <c r="MTN20" s="13"/>
      <c r="MTO20" s="13"/>
      <c r="MTP20" s="13"/>
      <c r="MTQ20" s="13"/>
      <c r="MTR20" s="13"/>
      <c r="MTS20" s="13"/>
      <c r="MTT20" s="13"/>
      <c r="MTU20" s="13"/>
      <c r="MTV20" s="13"/>
      <c r="MTW20" s="13"/>
      <c r="MTX20" s="13"/>
      <c r="MTY20" s="13"/>
      <c r="MTZ20" s="13"/>
      <c r="MUA20" s="13"/>
      <c r="MUB20" s="13"/>
      <c r="MUC20" s="13"/>
      <c r="MUD20" s="13"/>
      <c r="MUE20" s="13"/>
      <c r="MUF20" s="13"/>
      <c r="MUG20" s="13"/>
      <c r="MUH20" s="13"/>
      <c r="MUI20" s="13"/>
      <c r="MUJ20" s="13"/>
      <c r="MUK20" s="13"/>
      <c r="MUL20" s="13"/>
      <c r="MUM20" s="13"/>
      <c r="MUN20" s="13"/>
      <c r="MUO20" s="13"/>
      <c r="MUP20" s="13"/>
      <c r="MUQ20" s="13"/>
      <c r="MUR20" s="13"/>
      <c r="MUS20" s="13"/>
      <c r="MUT20" s="13"/>
      <c r="MUU20" s="13"/>
      <c r="MUV20" s="13"/>
      <c r="MUW20" s="13"/>
      <c r="MUX20" s="13"/>
      <c r="MUY20" s="13"/>
      <c r="MUZ20" s="13"/>
      <c r="MVA20" s="13"/>
      <c r="MVB20" s="13"/>
      <c r="MVC20" s="13"/>
      <c r="MVD20" s="13"/>
      <c r="MVE20" s="13"/>
      <c r="MVF20" s="13"/>
      <c r="MVG20" s="13"/>
      <c r="MVH20" s="13"/>
      <c r="MVI20" s="13"/>
      <c r="MVJ20" s="13"/>
      <c r="MVK20" s="13"/>
      <c r="MVL20" s="13"/>
      <c r="MVM20" s="13"/>
      <c r="MVN20" s="13"/>
      <c r="MVO20" s="13"/>
      <c r="MVP20" s="13"/>
      <c r="MVQ20" s="13"/>
      <c r="MVR20" s="13"/>
      <c r="MVS20" s="13"/>
      <c r="MVT20" s="13"/>
      <c r="MVU20" s="13"/>
      <c r="MVV20" s="13"/>
      <c r="MVW20" s="13"/>
      <c r="MVX20" s="13"/>
      <c r="MVY20" s="13"/>
      <c r="MVZ20" s="13"/>
      <c r="MWA20" s="13"/>
      <c r="MWB20" s="13"/>
      <c r="MWC20" s="13"/>
      <c r="MWD20" s="13"/>
      <c r="MWE20" s="13"/>
      <c r="MWF20" s="13"/>
      <c r="MWG20" s="13"/>
      <c r="MWH20" s="13"/>
      <c r="MWI20" s="13"/>
      <c r="MWJ20" s="13"/>
      <c r="MWK20" s="13"/>
      <c r="MWL20" s="13"/>
      <c r="MWM20" s="13"/>
      <c r="MWN20" s="13"/>
      <c r="MWO20" s="13"/>
      <c r="MWP20" s="13"/>
      <c r="MWQ20" s="13"/>
      <c r="MWR20" s="13"/>
      <c r="MWS20" s="13"/>
      <c r="MWT20" s="13"/>
      <c r="MWU20" s="13"/>
      <c r="MWV20" s="13"/>
      <c r="MWW20" s="13"/>
      <c r="MWX20" s="13"/>
      <c r="MWY20" s="13"/>
      <c r="MWZ20" s="13"/>
      <c r="MXA20" s="13"/>
      <c r="MXB20" s="13"/>
      <c r="MXC20" s="13"/>
      <c r="MXD20" s="13"/>
      <c r="MXE20" s="13"/>
      <c r="MXF20" s="13"/>
      <c r="MXG20" s="13"/>
      <c r="MXH20" s="13"/>
      <c r="MXI20" s="13"/>
      <c r="MXJ20" s="13"/>
      <c r="MXK20" s="13"/>
      <c r="MXL20" s="13"/>
      <c r="MXM20" s="13"/>
      <c r="MXN20" s="13"/>
      <c r="MXO20" s="13"/>
      <c r="MXP20" s="13"/>
      <c r="MXQ20" s="13"/>
      <c r="MXR20" s="13"/>
      <c r="MXS20" s="13"/>
      <c r="MXT20" s="13"/>
      <c r="MXU20" s="13"/>
      <c r="MXV20" s="13"/>
      <c r="MXW20" s="13"/>
      <c r="MXX20" s="13"/>
      <c r="MXY20" s="13"/>
      <c r="MXZ20" s="13"/>
      <c r="MYA20" s="13"/>
      <c r="MYB20" s="13"/>
      <c r="MYC20" s="13"/>
      <c r="MYD20" s="13"/>
      <c r="MYE20" s="13"/>
      <c r="MYF20" s="13"/>
      <c r="MYG20" s="13"/>
      <c r="MYH20" s="13"/>
      <c r="MYI20" s="13"/>
      <c r="MYJ20" s="13"/>
      <c r="MYK20" s="13"/>
      <c r="MYL20" s="13"/>
      <c r="MYM20" s="13"/>
      <c r="MYN20" s="13"/>
      <c r="MYO20" s="13"/>
      <c r="MYP20" s="13"/>
      <c r="MYQ20" s="13"/>
      <c r="MYR20" s="13"/>
      <c r="MYS20" s="13"/>
      <c r="MYT20" s="13"/>
      <c r="MYU20" s="13"/>
      <c r="MYV20" s="13"/>
      <c r="MYW20" s="13"/>
      <c r="MYX20" s="13"/>
      <c r="MYY20" s="13"/>
      <c r="MYZ20" s="13"/>
      <c r="MZA20" s="13"/>
      <c r="MZB20" s="13"/>
      <c r="MZC20" s="13"/>
      <c r="MZD20" s="13"/>
      <c r="MZE20" s="13"/>
      <c r="MZF20" s="13"/>
      <c r="MZG20" s="13"/>
      <c r="MZH20" s="13"/>
      <c r="MZI20" s="13"/>
      <c r="MZJ20" s="13"/>
      <c r="MZK20" s="13"/>
      <c r="MZL20" s="13"/>
      <c r="MZM20" s="13"/>
      <c r="MZN20" s="13"/>
      <c r="MZO20" s="13"/>
      <c r="MZP20" s="13"/>
      <c r="MZQ20" s="13"/>
      <c r="MZR20" s="13"/>
      <c r="MZS20" s="13"/>
      <c r="MZT20" s="13"/>
      <c r="MZU20" s="13"/>
      <c r="MZV20" s="13"/>
      <c r="MZW20" s="13"/>
      <c r="MZX20" s="13"/>
      <c r="MZY20" s="13"/>
      <c r="MZZ20" s="13"/>
      <c r="NAA20" s="13"/>
      <c r="NAB20" s="13"/>
      <c r="NAC20" s="13"/>
      <c r="NAD20" s="13"/>
      <c r="NAE20" s="13"/>
      <c r="NAF20" s="13"/>
      <c r="NAG20" s="13"/>
      <c r="NAH20" s="13"/>
      <c r="NAI20" s="13"/>
      <c r="NAJ20" s="13"/>
      <c r="NAK20" s="13"/>
      <c r="NAL20" s="13"/>
      <c r="NAM20" s="13"/>
      <c r="NAN20" s="13"/>
      <c r="NAO20" s="13"/>
      <c r="NAP20" s="13"/>
      <c r="NAQ20" s="13"/>
      <c r="NAR20" s="13"/>
      <c r="NAS20" s="13"/>
      <c r="NAT20" s="13"/>
      <c r="NAU20" s="13"/>
      <c r="NAV20" s="13"/>
      <c r="NAW20" s="13"/>
      <c r="NAX20" s="13"/>
      <c r="NAY20" s="13"/>
      <c r="NAZ20" s="13"/>
      <c r="NBA20" s="13"/>
      <c r="NBB20" s="13"/>
      <c r="NBC20" s="13"/>
      <c r="NBD20" s="13"/>
      <c r="NBE20" s="13"/>
      <c r="NBF20" s="13"/>
      <c r="NBG20" s="13"/>
      <c r="NBH20" s="13"/>
      <c r="NBI20" s="13"/>
      <c r="NBJ20" s="13"/>
      <c r="NBK20" s="13"/>
      <c r="NBL20" s="13"/>
      <c r="NBM20" s="13"/>
      <c r="NBN20" s="13"/>
      <c r="NBO20" s="13"/>
      <c r="NBP20" s="13"/>
      <c r="NBQ20" s="13"/>
      <c r="NBR20" s="13"/>
      <c r="NBS20" s="13"/>
      <c r="NBT20" s="13"/>
      <c r="NBU20" s="13"/>
      <c r="NBV20" s="13"/>
      <c r="NBW20" s="13"/>
      <c r="NBX20" s="13"/>
      <c r="NBY20" s="13"/>
      <c r="NBZ20" s="13"/>
      <c r="NCA20" s="13"/>
      <c r="NCB20" s="13"/>
      <c r="NCC20" s="13"/>
      <c r="NCD20" s="13"/>
      <c r="NCE20" s="13"/>
      <c r="NCF20" s="13"/>
      <c r="NCG20" s="13"/>
      <c r="NCH20" s="13"/>
      <c r="NCI20" s="13"/>
      <c r="NCJ20" s="13"/>
      <c r="NCK20" s="13"/>
      <c r="NCL20" s="13"/>
      <c r="NCM20" s="13"/>
      <c r="NCN20" s="13"/>
      <c r="NCO20" s="13"/>
      <c r="NCP20" s="13"/>
      <c r="NCQ20" s="13"/>
      <c r="NCR20" s="13"/>
      <c r="NCS20" s="13"/>
      <c r="NCT20" s="13"/>
      <c r="NCU20" s="13"/>
      <c r="NCV20" s="13"/>
      <c r="NCW20" s="13"/>
      <c r="NCX20" s="13"/>
      <c r="NCY20" s="13"/>
      <c r="NCZ20" s="13"/>
      <c r="NDA20" s="13"/>
      <c r="NDB20" s="13"/>
      <c r="NDC20" s="13"/>
      <c r="NDD20" s="13"/>
      <c r="NDE20" s="13"/>
      <c r="NDF20" s="13"/>
      <c r="NDG20" s="13"/>
      <c r="NDH20" s="13"/>
      <c r="NDI20" s="13"/>
      <c r="NDJ20" s="13"/>
      <c r="NDK20" s="13"/>
      <c r="NDL20" s="13"/>
      <c r="NDM20" s="13"/>
      <c r="NDN20" s="13"/>
      <c r="NDO20" s="13"/>
      <c r="NDP20" s="13"/>
      <c r="NDQ20" s="13"/>
      <c r="NDR20" s="13"/>
      <c r="NDS20" s="13"/>
      <c r="NDT20" s="13"/>
      <c r="NDU20" s="13"/>
      <c r="NDV20" s="13"/>
      <c r="NDW20" s="13"/>
      <c r="NDX20" s="13"/>
      <c r="NDY20" s="13"/>
      <c r="NDZ20" s="13"/>
      <c r="NEA20" s="13"/>
      <c r="NEB20" s="13"/>
      <c r="NEC20" s="13"/>
      <c r="NED20" s="13"/>
      <c r="NEE20" s="13"/>
      <c r="NEF20" s="13"/>
      <c r="NEG20" s="13"/>
      <c r="NEH20" s="13"/>
      <c r="NEI20" s="13"/>
      <c r="NEJ20" s="13"/>
      <c r="NEK20" s="13"/>
      <c r="NEL20" s="13"/>
      <c r="NEM20" s="13"/>
      <c r="NEN20" s="13"/>
      <c r="NEO20" s="13"/>
      <c r="NEP20" s="13"/>
      <c r="NEQ20" s="13"/>
      <c r="NER20" s="13"/>
      <c r="NES20" s="13"/>
      <c r="NET20" s="13"/>
      <c r="NEU20" s="13"/>
      <c r="NEV20" s="13"/>
      <c r="NEW20" s="13"/>
      <c r="NEX20" s="13"/>
      <c r="NEY20" s="13"/>
      <c r="NEZ20" s="13"/>
      <c r="NFA20" s="13"/>
      <c r="NFB20" s="13"/>
      <c r="NFC20" s="13"/>
      <c r="NFD20" s="13"/>
      <c r="NFE20" s="13"/>
      <c r="NFF20" s="13"/>
      <c r="NFG20" s="13"/>
      <c r="NFH20" s="13"/>
      <c r="NFI20" s="13"/>
      <c r="NFJ20" s="13"/>
      <c r="NFK20" s="13"/>
      <c r="NFL20" s="13"/>
      <c r="NFM20" s="13"/>
      <c r="NFN20" s="13"/>
      <c r="NFO20" s="13"/>
      <c r="NFP20" s="13"/>
      <c r="NFQ20" s="13"/>
      <c r="NFR20" s="13"/>
      <c r="NFS20" s="13"/>
      <c r="NFT20" s="13"/>
      <c r="NFU20" s="13"/>
      <c r="NFV20" s="13"/>
      <c r="NFW20" s="13"/>
      <c r="NFX20" s="13"/>
      <c r="NFY20" s="13"/>
      <c r="NFZ20" s="13"/>
      <c r="NGA20" s="13"/>
      <c r="NGB20" s="13"/>
      <c r="NGC20" s="13"/>
      <c r="NGD20" s="13"/>
      <c r="NGE20" s="13"/>
      <c r="NGF20" s="13"/>
      <c r="NGG20" s="13"/>
      <c r="NGH20" s="13"/>
      <c r="NGI20" s="13"/>
      <c r="NGJ20" s="13"/>
      <c r="NGK20" s="13"/>
      <c r="NGL20" s="13"/>
      <c r="NGM20" s="13"/>
      <c r="NGN20" s="13"/>
      <c r="NGO20" s="13"/>
      <c r="NGP20" s="13"/>
      <c r="NGQ20" s="13"/>
      <c r="NGR20" s="13"/>
      <c r="NGS20" s="13"/>
      <c r="NGT20" s="13"/>
      <c r="NGU20" s="13"/>
      <c r="NGV20" s="13"/>
      <c r="NGW20" s="13"/>
      <c r="NGX20" s="13"/>
      <c r="NGY20" s="13"/>
      <c r="NGZ20" s="13"/>
      <c r="NHA20" s="13"/>
      <c r="NHB20" s="13"/>
      <c r="NHC20" s="13"/>
      <c r="NHD20" s="13"/>
      <c r="NHE20" s="13"/>
      <c r="NHF20" s="13"/>
      <c r="NHG20" s="13"/>
      <c r="NHH20" s="13"/>
      <c r="NHI20" s="13"/>
      <c r="NHJ20" s="13"/>
      <c r="NHK20" s="13"/>
      <c r="NHL20" s="13"/>
      <c r="NHM20" s="13"/>
      <c r="NHN20" s="13"/>
      <c r="NHO20" s="13"/>
      <c r="NHP20" s="13"/>
      <c r="NHQ20" s="13"/>
      <c r="NHR20" s="13"/>
      <c r="NHS20" s="13"/>
      <c r="NHT20" s="13"/>
      <c r="NHU20" s="13"/>
      <c r="NHV20" s="13"/>
      <c r="NHW20" s="13"/>
      <c r="NHX20" s="13"/>
      <c r="NHY20" s="13"/>
      <c r="NHZ20" s="13"/>
      <c r="NIA20" s="13"/>
      <c r="NIB20" s="13"/>
      <c r="NIC20" s="13"/>
      <c r="NID20" s="13"/>
      <c r="NIE20" s="13"/>
      <c r="NIF20" s="13"/>
      <c r="NIG20" s="13"/>
      <c r="NIH20" s="13"/>
      <c r="NII20" s="13"/>
      <c r="NIJ20" s="13"/>
      <c r="NIK20" s="13"/>
      <c r="NIL20" s="13"/>
      <c r="NIM20" s="13"/>
      <c r="NIN20" s="13"/>
      <c r="NIO20" s="13"/>
      <c r="NIP20" s="13"/>
      <c r="NIQ20" s="13"/>
      <c r="NIR20" s="13"/>
      <c r="NIS20" s="13"/>
      <c r="NIT20" s="13"/>
      <c r="NIU20" s="13"/>
      <c r="NIV20" s="13"/>
      <c r="NIW20" s="13"/>
      <c r="NIX20" s="13"/>
      <c r="NIY20" s="13"/>
      <c r="NIZ20" s="13"/>
      <c r="NJA20" s="13"/>
      <c r="NJB20" s="13"/>
      <c r="NJC20" s="13"/>
      <c r="NJD20" s="13"/>
      <c r="NJE20" s="13"/>
      <c r="NJF20" s="13"/>
      <c r="NJG20" s="13"/>
      <c r="NJH20" s="13"/>
      <c r="NJI20" s="13"/>
      <c r="NJJ20" s="13"/>
      <c r="NJK20" s="13"/>
      <c r="NJL20" s="13"/>
      <c r="NJM20" s="13"/>
      <c r="NJN20" s="13"/>
      <c r="NJO20" s="13"/>
      <c r="NJP20" s="13"/>
      <c r="NJQ20" s="13"/>
      <c r="NJR20" s="13"/>
      <c r="NJS20" s="13"/>
      <c r="NJT20" s="13"/>
      <c r="NJU20" s="13"/>
      <c r="NJV20" s="13"/>
      <c r="NJW20" s="13"/>
      <c r="NJX20" s="13"/>
      <c r="NJY20" s="13"/>
      <c r="NJZ20" s="13"/>
      <c r="NKA20" s="13"/>
      <c r="NKB20" s="13"/>
      <c r="NKC20" s="13"/>
      <c r="NKD20" s="13"/>
      <c r="NKE20" s="13"/>
      <c r="NKF20" s="13"/>
      <c r="NKG20" s="13"/>
      <c r="NKH20" s="13"/>
      <c r="NKI20" s="13"/>
      <c r="NKJ20" s="13"/>
      <c r="NKK20" s="13"/>
      <c r="NKL20" s="13"/>
      <c r="NKM20" s="13"/>
      <c r="NKN20" s="13"/>
      <c r="NKO20" s="13"/>
      <c r="NKP20" s="13"/>
      <c r="NKQ20" s="13"/>
      <c r="NKR20" s="13"/>
      <c r="NKS20" s="13"/>
      <c r="NKT20" s="13"/>
      <c r="NKU20" s="13"/>
      <c r="NKV20" s="13"/>
      <c r="NKW20" s="13"/>
      <c r="NKX20" s="13"/>
      <c r="NKY20" s="13"/>
      <c r="NKZ20" s="13"/>
      <c r="NLA20" s="13"/>
      <c r="NLB20" s="13"/>
      <c r="NLC20" s="13"/>
      <c r="NLD20" s="13"/>
      <c r="NLE20" s="13"/>
      <c r="NLF20" s="13"/>
      <c r="NLG20" s="13"/>
      <c r="NLH20" s="13"/>
      <c r="NLI20" s="13"/>
      <c r="NLJ20" s="13"/>
      <c r="NLK20" s="13"/>
      <c r="NLL20" s="13"/>
      <c r="NLM20" s="13"/>
      <c r="NLN20" s="13"/>
      <c r="NLO20" s="13"/>
      <c r="NLP20" s="13"/>
      <c r="NLQ20" s="13"/>
      <c r="NLR20" s="13"/>
      <c r="NLS20" s="13"/>
      <c r="NLT20" s="13"/>
      <c r="NLU20" s="13"/>
      <c r="NLV20" s="13"/>
      <c r="NLW20" s="13"/>
      <c r="NLX20" s="13"/>
      <c r="NLY20" s="13"/>
      <c r="NLZ20" s="13"/>
      <c r="NMA20" s="13"/>
      <c r="NMB20" s="13"/>
      <c r="NMC20" s="13"/>
      <c r="NMD20" s="13"/>
      <c r="NME20" s="13"/>
      <c r="NMF20" s="13"/>
      <c r="NMG20" s="13"/>
      <c r="NMH20" s="13"/>
      <c r="NMI20" s="13"/>
      <c r="NMJ20" s="13"/>
      <c r="NMK20" s="13"/>
      <c r="NML20" s="13"/>
      <c r="NMM20" s="13"/>
      <c r="NMN20" s="13"/>
      <c r="NMO20" s="13"/>
      <c r="NMP20" s="13"/>
      <c r="NMQ20" s="13"/>
      <c r="NMR20" s="13"/>
      <c r="NMS20" s="13"/>
      <c r="NMT20" s="13"/>
      <c r="NMU20" s="13"/>
      <c r="NMV20" s="13"/>
      <c r="NMW20" s="13"/>
      <c r="NMX20" s="13"/>
      <c r="NMY20" s="13"/>
      <c r="NMZ20" s="13"/>
      <c r="NNA20" s="13"/>
      <c r="NNB20" s="13"/>
      <c r="NNC20" s="13"/>
      <c r="NND20" s="13"/>
      <c r="NNE20" s="13"/>
      <c r="NNF20" s="13"/>
      <c r="NNG20" s="13"/>
      <c r="NNH20" s="13"/>
      <c r="NNI20" s="13"/>
      <c r="NNJ20" s="13"/>
      <c r="NNK20" s="13"/>
      <c r="NNL20" s="13"/>
      <c r="NNM20" s="13"/>
      <c r="NNN20" s="13"/>
      <c r="NNO20" s="13"/>
      <c r="NNP20" s="13"/>
      <c r="NNQ20" s="13"/>
      <c r="NNR20" s="13"/>
      <c r="NNS20" s="13"/>
      <c r="NNT20" s="13"/>
      <c r="NNU20" s="13"/>
      <c r="NNV20" s="13"/>
      <c r="NNW20" s="13"/>
      <c r="NNX20" s="13"/>
      <c r="NNY20" s="13"/>
      <c r="NNZ20" s="13"/>
      <c r="NOA20" s="13"/>
      <c r="NOB20" s="13"/>
      <c r="NOC20" s="13"/>
      <c r="NOD20" s="13"/>
      <c r="NOE20" s="13"/>
      <c r="NOF20" s="13"/>
      <c r="NOG20" s="13"/>
      <c r="NOH20" s="13"/>
      <c r="NOI20" s="13"/>
      <c r="NOJ20" s="13"/>
      <c r="NOK20" s="13"/>
      <c r="NOL20" s="13"/>
      <c r="NOM20" s="13"/>
      <c r="NON20" s="13"/>
      <c r="NOO20" s="13"/>
      <c r="NOP20" s="13"/>
      <c r="NOQ20" s="13"/>
      <c r="NOR20" s="13"/>
      <c r="NOS20" s="13"/>
      <c r="NOT20" s="13"/>
      <c r="NOU20" s="13"/>
      <c r="NOV20" s="13"/>
      <c r="NOW20" s="13"/>
      <c r="NOX20" s="13"/>
      <c r="NOY20" s="13"/>
      <c r="NOZ20" s="13"/>
      <c r="NPA20" s="13"/>
      <c r="NPB20" s="13"/>
      <c r="NPC20" s="13"/>
      <c r="NPD20" s="13"/>
      <c r="NPE20" s="13"/>
      <c r="NPF20" s="13"/>
      <c r="NPG20" s="13"/>
      <c r="NPH20" s="13"/>
      <c r="NPI20" s="13"/>
      <c r="NPJ20" s="13"/>
      <c r="NPK20" s="13"/>
      <c r="NPL20" s="13"/>
      <c r="NPM20" s="13"/>
      <c r="NPN20" s="13"/>
      <c r="NPO20" s="13"/>
      <c r="NPP20" s="13"/>
      <c r="NPQ20" s="13"/>
      <c r="NPR20" s="13"/>
      <c r="NPS20" s="13"/>
      <c r="NPT20" s="13"/>
      <c r="NPU20" s="13"/>
      <c r="NPV20" s="13"/>
      <c r="NPW20" s="13"/>
      <c r="NPX20" s="13"/>
      <c r="NPY20" s="13"/>
      <c r="NPZ20" s="13"/>
      <c r="NQA20" s="13"/>
      <c r="NQB20" s="13"/>
      <c r="NQC20" s="13"/>
      <c r="NQD20" s="13"/>
      <c r="NQE20" s="13"/>
      <c r="NQF20" s="13"/>
      <c r="NQG20" s="13"/>
      <c r="NQH20" s="13"/>
      <c r="NQI20" s="13"/>
      <c r="NQJ20" s="13"/>
      <c r="NQK20" s="13"/>
      <c r="NQL20" s="13"/>
      <c r="NQM20" s="13"/>
      <c r="NQN20" s="13"/>
      <c r="NQO20" s="13"/>
      <c r="NQP20" s="13"/>
      <c r="NQQ20" s="13"/>
      <c r="NQR20" s="13"/>
      <c r="NQS20" s="13"/>
      <c r="NQT20" s="13"/>
      <c r="NQU20" s="13"/>
      <c r="NQV20" s="13"/>
      <c r="NQW20" s="13"/>
      <c r="NQX20" s="13"/>
      <c r="NQY20" s="13"/>
      <c r="NQZ20" s="13"/>
      <c r="NRA20" s="13"/>
      <c r="NRB20" s="13"/>
      <c r="NRC20" s="13"/>
      <c r="NRD20" s="13"/>
      <c r="NRE20" s="13"/>
      <c r="NRF20" s="13"/>
      <c r="NRG20" s="13"/>
      <c r="NRH20" s="13"/>
      <c r="NRI20" s="13"/>
      <c r="NRJ20" s="13"/>
      <c r="NRK20" s="13"/>
      <c r="NRL20" s="13"/>
      <c r="NRM20" s="13"/>
      <c r="NRN20" s="13"/>
      <c r="NRO20" s="13"/>
      <c r="NRP20" s="13"/>
      <c r="NRQ20" s="13"/>
      <c r="NRR20" s="13"/>
      <c r="NRS20" s="13"/>
      <c r="NRT20" s="13"/>
      <c r="NRU20" s="13"/>
      <c r="NRV20" s="13"/>
      <c r="NRW20" s="13"/>
      <c r="NRX20" s="13"/>
      <c r="NRY20" s="13"/>
      <c r="NRZ20" s="13"/>
      <c r="NSA20" s="13"/>
      <c r="NSB20" s="13"/>
      <c r="NSC20" s="13"/>
      <c r="NSD20" s="13"/>
      <c r="NSE20" s="13"/>
      <c r="NSF20" s="13"/>
      <c r="NSG20" s="13"/>
      <c r="NSH20" s="13"/>
      <c r="NSI20" s="13"/>
      <c r="NSJ20" s="13"/>
      <c r="NSK20" s="13"/>
      <c r="NSL20" s="13"/>
      <c r="NSM20" s="13"/>
      <c r="NSN20" s="13"/>
      <c r="NSO20" s="13"/>
      <c r="NSP20" s="13"/>
      <c r="NSQ20" s="13"/>
      <c r="NSR20" s="13"/>
      <c r="NSS20" s="13"/>
      <c r="NST20" s="13"/>
      <c r="NSU20" s="13"/>
      <c r="NSV20" s="13"/>
      <c r="NSW20" s="13"/>
      <c r="NSX20" s="13"/>
      <c r="NSY20" s="13"/>
      <c r="NSZ20" s="13"/>
      <c r="NTA20" s="13"/>
      <c r="NTB20" s="13"/>
      <c r="NTC20" s="13"/>
      <c r="NTD20" s="13"/>
      <c r="NTE20" s="13"/>
      <c r="NTF20" s="13"/>
      <c r="NTG20" s="13"/>
      <c r="NTH20" s="13"/>
      <c r="NTI20" s="13"/>
      <c r="NTJ20" s="13"/>
      <c r="NTK20" s="13"/>
      <c r="NTL20" s="13"/>
      <c r="NTM20" s="13"/>
      <c r="NTN20" s="13"/>
      <c r="NTO20" s="13"/>
      <c r="NTP20" s="13"/>
      <c r="NTQ20" s="13"/>
      <c r="NTR20" s="13"/>
      <c r="NTS20" s="13"/>
      <c r="NTT20" s="13"/>
      <c r="NTU20" s="13"/>
      <c r="NTV20" s="13"/>
      <c r="NTW20" s="13"/>
      <c r="NTX20" s="13"/>
      <c r="NTY20" s="13"/>
      <c r="NTZ20" s="13"/>
      <c r="NUA20" s="13"/>
      <c r="NUB20" s="13"/>
      <c r="NUC20" s="13"/>
      <c r="NUD20" s="13"/>
      <c r="NUE20" s="13"/>
      <c r="NUF20" s="13"/>
      <c r="NUG20" s="13"/>
      <c r="NUH20" s="13"/>
      <c r="NUI20" s="13"/>
      <c r="NUJ20" s="13"/>
      <c r="NUK20" s="13"/>
      <c r="NUL20" s="13"/>
      <c r="NUM20" s="13"/>
      <c r="NUN20" s="13"/>
      <c r="NUO20" s="13"/>
      <c r="NUP20" s="13"/>
      <c r="NUQ20" s="13"/>
      <c r="NUR20" s="13"/>
      <c r="NUS20" s="13"/>
      <c r="NUT20" s="13"/>
      <c r="NUU20" s="13"/>
      <c r="NUV20" s="13"/>
      <c r="NUW20" s="13"/>
      <c r="NUX20" s="13"/>
      <c r="NUY20" s="13"/>
      <c r="NUZ20" s="13"/>
      <c r="NVA20" s="13"/>
      <c r="NVB20" s="13"/>
      <c r="NVC20" s="13"/>
      <c r="NVD20" s="13"/>
      <c r="NVE20" s="13"/>
      <c r="NVF20" s="13"/>
      <c r="NVG20" s="13"/>
      <c r="NVH20" s="13"/>
      <c r="NVI20" s="13"/>
      <c r="NVJ20" s="13"/>
      <c r="NVK20" s="13"/>
      <c r="NVL20" s="13"/>
      <c r="NVM20" s="13"/>
      <c r="NVN20" s="13"/>
      <c r="NVO20" s="13"/>
      <c r="NVP20" s="13"/>
      <c r="NVQ20" s="13"/>
      <c r="NVR20" s="13"/>
      <c r="NVS20" s="13"/>
      <c r="NVT20" s="13"/>
      <c r="NVU20" s="13"/>
      <c r="NVV20" s="13"/>
      <c r="NVW20" s="13"/>
      <c r="NVX20" s="13"/>
      <c r="NVY20" s="13"/>
      <c r="NVZ20" s="13"/>
      <c r="NWA20" s="13"/>
      <c r="NWB20" s="13"/>
      <c r="NWC20" s="13"/>
      <c r="NWD20" s="13"/>
      <c r="NWE20" s="13"/>
      <c r="NWF20" s="13"/>
      <c r="NWG20" s="13"/>
      <c r="NWH20" s="13"/>
      <c r="NWI20" s="13"/>
      <c r="NWJ20" s="13"/>
      <c r="NWK20" s="13"/>
      <c r="NWL20" s="13"/>
      <c r="NWM20" s="13"/>
      <c r="NWN20" s="13"/>
      <c r="NWO20" s="13"/>
      <c r="NWP20" s="13"/>
      <c r="NWQ20" s="13"/>
      <c r="NWR20" s="13"/>
      <c r="NWS20" s="13"/>
      <c r="NWT20" s="13"/>
      <c r="NWU20" s="13"/>
      <c r="NWV20" s="13"/>
      <c r="NWW20" s="13"/>
      <c r="NWX20" s="13"/>
      <c r="NWY20" s="13"/>
      <c r="NWZ20" s="13"/>
      <c r="NXA20" s="13"/>
      <c r="NXB20" s="13"/>
      <c r="NXC20" s="13"/>
      <c r="NXD20" s="13"/>
      <c r="NXE20" s="13"/>
      <c r="NXF20" s="13"/>
      <c r="NXG20" s="13"/>
      <c r="NXH20" s="13"/>
      <c r="NXI20" s="13"/>
      <c r="NXJ20" s="13"/>
      <c r="NXK20" s="13"/>
      <c r="NXL20" s="13"/>
      <c r="NXM20" s="13"/>
      <c r="NXN20" s="13"/>
      <c r="NXO20" s="13"/>
      <c r="NXP20" s="13"/>
      <c r="NXQ20" s="13"/>
      <c r="NXR20" s="13"/>
      <c r="NXS20" s="13"/>
      <c r="NXT20" s="13"/>
      <c r="NXU20" s="13"/>
      <c r="NXV20" s="13"/>
      <c r="NXW20" s="13"/>
      <c r="NXX20" s="13"/>
      <c r="NXY20" s="13"/>
      <c r="NXZ20" s="13"/>
      <c r="NYA20" s="13"/>
      <c r="NYB20" s="13"/>
      <c r="NYC20" s="13"/>
      <c r="NYD20" s="13"/>
      <c r="NYE20" s="13"/>
      <c r="NYF20" s="13"/>
      <c r="NYG20" s="13"/>
      <c r="NYH20" s="13"/>
      <c r="NYI20" s="13"/>
      <c r="NYJ20" s="13"/>
      <c r="NYK20" s="13"/>
      <c r="NYL20" s="13"/>
      <c r="NYM20" s="13"/>
      <c r="NYN20" s="13"/>
      <c r="NYO20" s="13"/>
      <c r="NYP20" s="13"/>
      <c r="NYQ20" s="13"/>
      <c r="NYR20" s="13"/>
      <c r="NYS20" s="13"/>
      <c r="NYT20" s="13"/>
      <c r="NYU20" s="13"/>
      <c r="NYV20" s="13"/>
      <c r="NYW20" s="13"/>
      <c r="NYX20" s="13"/>
      <c r="NYY20" s="13"/>
      <c r="NYZ20" s="13"/>
      <c r="NZA20" s="13"/>
      <c r="NZB20" s="13"/>
      <c r="NZC20" s="13"/>
      <c r="NZD20" s="13"/>
      <c r="NZE20" s="13"/>
      <c r="NZF20" s="13"/>
      <c r="NZG20" s="13"/>
      <c r="NZH20" s="13"/>
      <c r="NZI20" s="13"/>
      <c r="NZJ20" s="13"/>
      <c r="NZK20" s="13"/>
      <c r="NZL20" s="13"/>
      <c r="NZM20" s="13"/>
      <c r="NZN20" s="13"/>
      <c r="NZO20" s="13"/>
      <c r="NZP20" s="13"/>
      <c r="NZQ20" s="13"/>
      <c r="NZR20" s="13"/>
      <c r="NZS20" s="13"/>
      <c r="NZT20" s="13"/>
      <c r="NZU20" s="13"/>
      <c r="NZV20" s="13"/>
      <c r="NZW20" s="13"/>
      <c r="NZX20" s="13"/>
      <c r="NZY20" s="13"/>
      <c r="NZZ20" s="13"/>
      <c r="OAA20" s="13"/>
      <c r="OAB20" s="13"/>
      <c r="OAC20" s="13"/>
      <c r="OAD20" s="13"/>
      <c r="OAE20" s="13"/>
      <c r="OAF20" s="13"/>
      <c r="OAG20" s="13"/>
      <c r="OAH20" s="13"/>
      <c r="OAI20" s="13"/>
      <c r="OAJ20" s="13"/>
      <c r="OAK20" s="13"/>
      <c r="OAL20" s="13"/>
      <c r="OAM20" s="13"/>
      <c r="OAN20" s="13"/>
      <c r="OAO20" s="13"/>
      <c r="OAP20" s="13"/>
      <c r="OAQ20" s="13"/>
      <c r="OAR20" s="13"/>
      <c r="OAS20" s="13"/>
      <c r="OAT20" s="13"/>
      <c r="OAU20" s="13"/>
      <c r="OAV20" s="13"/>
      <c r="OAW20" s="13"/>
      <c r="OAX20" s="13"/>
      <c r="OAY20" s="13"/>
      <c r="OAZ20" s="13"/>
      <c r="OBA20" s="13"/>
      <c r="OBB20" s="13"/>
      <c r="OBC20" s="13"/>
      <c r="OBD20" s="13"/>
      <c r="OBE20" s="13"/>
      <c r="OBF20" s="13"/>
      <c r="OBG20" s="13"/>
      <c r="OBH20" s="13"/>
      <c r="OBI20" s="13"/>
      <c r="OBJ20" s="13"/>
      <c r="OBK20" s="13"/>
      <c r="OBL20" s="13"/>
      <c r="OBM20" s="13"/>
      <c r="OBN20" s="13"/>
      <c r="OBO20" s="13"/>
      <c r="OBP20" s="13"/>
      <c r="OBQ20" s="13"/>
      <c r="OBR20" s="13"/>
      <c r="OBS20" s="13"/>
      <c r="OBT20" s="13"/>
      <c r="OBU20" s="13"/>
      <c r="OBV20" s="13"/>
      <c r="OBW20" s="13"/>
      <c r="OBX20" s="13"/>
      <c r="OBY20" s="13"/>
      <c r="OBZ20" s="13"/>
      <c r="OCA20" s="13"/>
      <c r="OCB20" s="13"/>
      <c r="OCC20" s="13"/>
      <c r="OCD20" s="13"/>
      <c r="OCE20" s="13"/>
      <c r="OCF20" s="13"/>
      <c r="OCG20" s="13"/>
      <c r="OCH20" s="13"/>
      <c r="OCI20" s="13"/>
      <c r="OCJ20" s="13"/>
      <c r="OCK20" s="13"/>
      <c r="OCL20" s="13"/>
      <c r="OCM20" s="13"/>
      <c r="OCN20" s="13"/>
      <c r="OCO20" s="13"/>
      <c r="OCP20" s="13"/>
      <c r="OCQ20" s="13"/>
      <c r="OCR20" s="13"/>
      <c r="OCS20" s="13"/>
      <c r="OCT20" s="13"/>
      <c r="OCU20" s="13"/>
      <c r="OCV20" s="13"/>
      <c r="OCW20" s="13"/>
      <c r="OCX20" s="13"/>
      <c r="OCY20" s="13"/>
      <c r="OCZ20" s="13"/>
      <c r="ODA20" s="13"/>
      <c r="ODB20" s="13"/>
      <c r="ODC20" s="13"/>
      <c r="ODD20" s="13"/>
      <c r="ODE20" s="13"/>
      <c r="ODF20" s="13"/>
      <c r="ODG20" s="13"/>
      <c r="ODH20" s="13"/>
      <c r="ODI20" s="13"/>
      <c r="ODJ20" s="13"/>
      <c r="ODK20" s="13"/>
      <c r="ODL20" s="13"/>
      <c r="ODM20" s="13"/>
      <c r="ODN20" s="13"/>
      <c r="ODO20" s="13"/>
      <c r="ODP20" s="13"/>
      <c r="ODQ20" s="13"/>
      <c r="ODR20" s="13"/>
      <c r="ODS20" s="13"/>
      <c r="ODT20" s="13"/>
      <c r="ODU20" s="13"/>
      <c r="ODV20" s="13"/>
      <c r="ODW20" s="13"/>
      <c r="ODX20" s="13"/>
      <c r="ODY20" s="13"/>
      <c r="ODZ20" s="13"/>
      <c r="OEA20" s="13"/>
      <c r="OEB20" s="13"/>
      <c r="OEC20" s="13"/>
      <c r="OED20" s="13"/>
      <c r="OEE20" s="13"/>
      <c r="OEF20" s="13"/>
      <c r="OEG20" s="13"/>
      <c r="OEH20" s="13"/>
      <c r="OEI20" s="13"/>
      <c r="OEJ20" s="13"/>
      <c r="OEK20" s="13"/>
      <c r="OEL20" s="13"/>
      <c r="OEM20" s="13"/>
      <c r="OEN20" s="13"/>
      <c r="OEO20" s="13"/>
      <c r="OEP20" s="13"/>
      <c r="OEQ20" s="13"/>
      <c r="OER20" s="13"/>
      <c r="OES20" s="13"/>
      <c r="OET20" s="13"/>
      <c r="OEU20" s="13"/>
      <c r="OEV20" s="13"/>
      <c r="OEW20" s="13"/>
      <c r="OEX20" s="13"/>
      <c r="OEY20" s="13"/>
      <c r="OEZ20" s="13"/>
      <c r="OFA20" s="13"/>
      <c r="OFB20" s="13"/>
      <c r="OFC20" s="13"/>
      <c r="OFD20" s="13"/>
      <c r="OFE20" s="13"/>
      <c r="OFF20" s="13"/>
      <c r="OFG20" s="13"/>
      <c r="OFH20" s="13"/>
      <c r="OFI20" s="13"/>
      <c r="OFJ20" s="13"/>
      <c r="OFK20" s="13"/>
      <c r="OFL20" s="13"/>
      <c r="OFM20" s="13"/>
      <c r="OFN20" s="13"/>
      <c r="OFO20" s="13"/>
      <c r="OFP20" s="13"/>
      <c r="OFQ20" s="13"/>
      <c r="OFR20" s="13"/>
      <c r="OFS20" s="13"/>
      <c r="OFT20" s="13"/>
      <c r="OFU20" s="13"/>
      <c r="OFV20" s="13"/>
      <c r="OFW20" s="13"/>
      <c r="OFX20" s="13"/>
      <c r="OFY20" s="13"/>
      <c r="OFZ20" s="13"/>
      <c r="OGA20" s="13"/>
      <c r="OGB20" s="13"/>
      <c r="OGC20" s="13"/>
      <c r="OGD20" s="13"/>
      <c r="OGE20" s="13"/>
      <c r="OGF20" s="13"/>
      <c r="OGG20" s="13"/>
      <c r="OGH20" s="13"/>
      <c r="OGI20" s="13"/>
      <c r="OGJ20" s="13"/>
      <c r="OGK20" s="13"/>
      <c r="OGL20" s="13"/>
      <c r="OGM20" s="13"/>
      <c r="OGN20" s="13"/>
      <c r="OGO20" s="13"/>
      <c r="OGP20" s="13"/>
      <c r="OGQ20" s="13"/>
      <c r="OGR20" s="13"/>
      <c r="OGS20" s="13"/>
      <c r="OGT20" s="13"/>
      <c r="OGU20" s="13"/>
      <c r="OGV20" s="13"/>
      <c r="OGW20" s="13"/>
      <c r="OGX20" s="13"/>
      <c r="OGY20" s="13"/>
      <c r="OGZ20" s="13"/>
      <c r="OHA20" s="13"/>
      <c r="OHB20" s="13"/>
      <c r="OHC20" s="13"/>
      <c r="OHD20" s="13"/>
      <c r="OHE20" s="13"/>
      <c r="OHF20" s="13"/>
      <c r="OHG20" s="13"/>
      <c r="OHH20" s="13"/>
      <c r="OHI20" s="13"/>
      <c r="OHJ20" s="13"/>
      <c r="OHK20" s="13"/>
      <c r="OHL20" s="13"/>
      <c r="OHM20" s="13"/>
      <c r="OHN20" s="13"/>
      <c r="OHO20" s="13"/>
      <c r="OHP20" s="13"/>
      <c r="OHQ20" s="13"/>
      <c r="OHR20" s="13"/>
      <c r="OHS20" s="13"/>
      <c r="OHT20" s="13"/>
      <c r="OHU20" s="13"/>
      <c r="OHV20" s="13"/>
      <c r="OHW20" s="13"/>
      <c r="OHX20" s="13"/>
      <c r="OHY20" s="13"/>
      <c r="OHZ20" s="13"/>
      <c r="OIA20" s="13"/>
      <c r="OIB20" s="13"/>
      <c r="OIC20" s="13"/>
      <c r="OID20" s="13"/>
      <c r="OIE20" s="13"/>
      <c r="OIF20" s="13"/>
      <c r="OIG20" s="13"/>
      <c r="OIH20" s="13"/>
      <c r="OII20" s="13"/>
      <c r="OIJ20" s="13"/>
      <c r="OIK20" s="13"/>
      <c r="OIL20" s="13"/>
      <c r="OIM20" s="13"/>
      <c r="OIN20" s="13"/>
      <c r="OIO20" s="13"/>
      <c r="OIP20" s="13"/>
      <c r="OIQ20" s="13"/>
      <c r="OIR20" s="13"/>
      <c r="OIS20" s="13"/>
      <c r="OIT20" s="13"/>
      <c r="OIU20" s="13"/>
      <c r="OIV20" s="13"/>
      <c r="OIW20" s="13"/>
      <c r="OIX20" s="13"/>
      <c r="OIY20" s="13"/>
      <c r="OIZ20" s="13"/>
      <c r="OJA20" s="13"/>
      <c r="OJB20" s="13"/>
      <c r="OJC20" s="13"/>
      <c r="OJD20" s="13"/>
      <c r="OJE20" s="13"/>
      <c r="OJF20" s="13"/>
      <c r="OJG20" s="13"/>
      <c r="OJH20" s="13"/>
      <c r="OJI20" s="13"/>
      <c r="OJJ20" s="13"/>
      <c r="OJK20" s="13"/>
      <c r="OJL20" s="13"/>
      <c r="OJM20" s="13"/>
      <c r="OJN20" s="13"/>
      <c r="OJO20" s="13"/>
      <c r="OJP20" s="13"/>
      <c r="OJQ20" s="13"/>
      <c r="OJR20" s="13"/>
      <c r="OJS20" s="13"/>
      <c r="OJT20" s="13"/>
      <c r="OJU20" s="13"/>
      <c r="OJV20" s="13"/>
      <c r="OJW20" s="13"/>
      <c r="OJX20" s="13"/>
      <c r="OJY20" s="13"/>
      <c r="OJZ20" s="13"/>
      <c r="OKA20" s="13"/>
      <c r="OKB20" s="13"/>
      <c r="OKC20" s="13"/>
      <c r="OKD20" s="13"/>
      <c r="OKE20" s="13"/>
      <c r="OKF20" s="13"/>
      <c r="OKG20" s="13"/>
      <c r="OKH20" s="13"/>
      <c r="OKI20" s="13"/>
      <c r="OKJ20" s="13"/>
      <c r="OKK20" s="13"/>
      <c r="OKL20" s="13"/>
      <c r="OKM20" s="13"/>
      <c r="OKN20" s="13"/>
      <c r="OKO20" s="13"/>
      <c r="OKP20" s="13"/>
      <c r="OKQ20" s="13"/>
      <c r="OKR20" s="13"/>
      <c r="OKS20" s="13"/>
      <c r="OKT20" s="13"/>
      <c r="OKU20" s="13"/>
      <c r="OKV20" s="13"/>
      <c r="OKW20" s="13"/>
      <c r="OKX20" s="13"/>
      <c r="OKY20" s="13"/>
      <c r="OKZ20" s="13"/>
      <c r="OLA20" s="13"/>
      <c r="OLB20" s="13"/>
      <c r="OLC20" s="13"/>
      <c r="OLD20" s="13"/>
      <c r="OLE20" s="13"/>
      <c r="OLF20" s="13"/>
      <c r="OLG20" s="13"/>
      <c r="OLH20" s="13"/>
      <c r="OLI20" s="13"/>
      <c r="OLJ20" s="13"/>
      <c r="OLK20" s="13"/>
      <c r="OLL20" s="13"/>
      <c r="OLM20" s="13"/>
      <c r="OLN20" s="13"/>
      <c r="OLO20" s="13"/>
      <c r="OLP20" s="13"/>
      <c r="OLQ20" s="13"/>
      <c r="OLR20" s="13"/>
      <c r="OLS20" s="13"/>
      <c r="OLT20" s="13"/>
      <c r="OLU20" s="13"/>
      <c r="OLV20" s="13"/>
      <c r="OLW20" s="13"/>
      <c r="OLX20" s="13"/>
      <c r="OLY20" s="13"/>
      <c r="OLZ20" s="13"/>
      <c r="OMA20" s="13"/>
      <c r="OMB20" s="13"/>
      <c r="OMC20" s="13"/>
      <c r="OMD20" s="13"/>
      <c r="OME20" s="13"/>
      <c r="OMF20" s="13"/>
      <c r="OMG20" s="13"/>
      <c r="OMH20" s="13"/>
      <c r="OMI20" s="13"/>
      <c r="OMJ20" s="13"/>
      <c r="OMK20" s="13"/>
      <c r="OML20" s="13"/>
      <c r="OMM20" s="13"/>
      <c r="OMN20" s="13"/>
      <c r="OMO20" s="13"/>
      <c r="OMP20" s="13"/>
      <c r="OMQ20" s="13"/>
      <c r="OMR20" s="13"/>
      <c r="OMS20" s="13"/>
      <c r="OMT20" s="13"/>
      <c r="OMU20" s="13"/>
      <c r="OMV20" s="13"/>
      <c r="OMW20" s="13"/>
      <c r="OMX20" s="13"/>
      <c r="OMY20" s="13"/>
      <c r="OMZ20" s="13"/>
      <c r="ONA20" s="13"/>
      <c r="ONB20" s="13"/>
      <c r="ONC20" s="13"/>
      <c r="OND20" s="13"/>
      <c r="ONE20" s="13"/>
      <c r="ONF20" s="13"/>
      <c r="ONG20" s="13"/>
      <c r="ONH20" s="13"/>
      <c r="ONI20" s="13"/>
      <c r="ONJ20" s="13"/>
      <c r="ONK20" s="13"/>
      <c r="ONL20" s="13"/>
      <c r="ONM20" s="13"/>
      <c r="ONN20" s="13"/>
      <c r="ONO20" s="13"/>
      <c r="ONP20" s="13"/>
      <c r="ONQ20" s="13"/>
      <c r="ONR20" s="13"/>
      <c r="ONS20" s="13"/>
      <c r="ONT20" s="13"/>
      <c r="ONU20" s="13"/>
      <c r="ONV20" s="13"/>
      <c r="ONW20" s="13"/>
      <c r="ONX20" s="13"/>
      <c r="ONY20" s="13"/>
      <c r="ONZ20" s="13"/>
      <c r="OOA20" s="13"/>
      <c r="OOB20" s="13"/>
      <c r="OOC20" s="13"/>
      <c r="OOD20" s="13"/>
      <c r="OOE20" s="13"/>
      <c r="OOF20" s="13"/>
      <c r="OOG20" s="13"/>
      <c r="OOH20" s="13"/>
      <c r="OOI20" s="13"/>
      <c r="OOJ20" s="13"/>
      <c r="OOK20" s="13"/>
      <c r="OOL20" s="13"/>
      <c r="OOM20" s="13"/>
      <c r="OON20" s="13"/>
      <c r="OOO20" s="13"/>
      <c r="OOP20" s="13"/>
      <c r="OOQ20" s="13"/>
      <c r="OOR20" s="13"/>
      <c r="OOS20" s="13"/>
      <c r="OOT20" s="13"/>
      <c r="OOU20" s="13"/>
      <c r="OOV20" s="13"/>
      <c r="OOW20" s="13"/>
      <c r="OOX20" s="13"/>
      <c r="OOY20" s="13"/>
      <c r="OOZ20" s="13"/>
      <c r="OPA20" s="13"/>
      <c r="OPB20" s="13"/>
      <c r="OPC20" s="13"/>
      <c r="OPD20" s="13"/>
      <c r="OPE20" s="13"/>
      <c r="OPF20" s="13"/>
      <c r="OPG20" s="13"/>
      <c r="OPH20" s="13"/>
      <c r="OPI20" s="13"/>
      <c r="OPJ20" s="13"/>
      <c r="OPK20" s="13"/>
      <c r="OPL20" s="13"/>
      <c r="OPM20" s="13"/>
      <c r="OPN20" s="13"/>
      <c r="OPO20" s="13"/>
      <c r="OPP20" s="13"/>
      <c r="OPQ20" s="13"/>
      <c r="OPR20" s="13"/>
      <c r="OPS20" s="13"/>
      <c r="OPT20" s="13"/>
      <c r="OPU20" s="13"/>
      <c r="OPV20" s="13"/>
      <c r="OPW20" s="13"/>
      <c r="OPX20" s="13"/>
      <c r="OPY20" s="13"/>
      <c r="OPZ20" s="13"/>
      <c r="OQA20" s="13"/>
      <c r="OQB20" s="13"/>
      <c r="OQC20" s="13"/>
      <c r="OQD20" s="13"/>
      <c r="OQE20" s="13"/>
      <c r="OQF20" s="13"/>
      <c r="OQG20" s="13"/>
      <c r="OQH20" s="13"/>
      <c r="OQI20" s="13"/>
      <c r="OQJ20" s="13"/>
      <c r="OQK20" s="13"/>
      <c r="OQL20" s="13"/>
      <c r="OQM20" s="13"/>
      <c r="OQN20" s="13"/>
      <c r="OQO20" s="13"/>
      <c r="OQP20" s="13"/>
      <c r="OQQ20" s="13"/>
      <c r="OQR20" s="13"/>
      <c r="OQS20" s="13"/>
      <c r="OQT20" s="13"/>
      <c r="OQU20" s="13"/>
      <c r="OQV20" s="13"/>
      <c r="OQW20" s="13"/>
      <c r="OQX20" s="13"/>
      <c r="OQY20" s="13"/>
      <c r="OQZ20" s="13"/>
      <c r="ORA20" s="13"/>
      <c r="ORB20" s="13"/>
      <c r="ORC20" s="13"/>
      <c r="ORD20" s="13"/>
      <c r="ORE20" s="13"/>
      <c r="ORF20" s="13"/>
      <c r="ORG20" s="13"/>
      <c r="ORH20" s="13"/>
      <c r="ORI20" s="13"/>
      <c r="ORJ20" s="13"/>
      <c r="ORK20" s="13"/>
      <c r="ORL20" s="13"/>
      <c r="ORM20" s="13"/>
      <c r="ORN20" s="13"/>
      <c r="ORO20" s="13"/>
      <c r="ORP20" s="13"/>
      <c r="ORQ20" s="13"/>
      <c r="ORR20" s="13"/>
      <c r="ORS20" s="13"/>
      <c r="ORT20" s="13"/>
      <c r="ORU20" s="13"/>
      <c r="ORV20" s="13"/>
      <c r="ORW20" s="13"/>
      <c r="ORX20" s="13"/>
      <c r="ORY20" s="13"/>
      <c r="ORZ20" s="13"/>
      <c r="OSA20" s="13"/>
      <c r="OSB20" s="13"/>
      <c r="OSC20" s="13"/>
      <c r="OSD20" s="13"/>
      <c r="OSE20" s="13"/>
      <c r="OSF20" s="13"/>
      <c r="OSG20" s="13"/>
      <c r="OSH20" s="13"/>
      <c r="OSI20" s="13"/>
      <c r="OSJ20" s="13"/>
      <c r="OSK20" s="13"/>
      <c r="OSL20" s="13"/>
      <c r="OSM20" s="13"/>
      <c r="OSN20" s="13"/>
      <c r="OSO20" s="13"/>
      <c r="OSP20" s="13"/>
      <c r="OSQ20" s="13"/>
      <c r="OSR20" s="13"/>
      <c r="OSS20" s="13"/>
      <c r="OST20" s="13"/>
      <c r="OSU20" s="13"/>
      <c r="OSV20" s="13"/>
      <c r="OSW20" s="13"/>
      <c r="OSX20" s="13"/>
      <c r="OSY20" s="13"/>
      <c r="OSZ20" s="13"/>
      <c r="OTA20" s="13"/>
      <c r="OTB20" s="13"/>
      <c r="OTC20" s="13"/>
      <c r="OTD20" s="13"/>
      <c r="OTE20" s="13"/>
      <c r="OTF20" s="13"/>
      <c r="OTG20" s="13"/>
      <c r="OTH20" s="13"/>
      <c r="OTI20" s="13"/>
      <c r="OTJ20" s="13"/>
      <c r="OTK20" s="13"/>
      <c r="OTL20" s="13"/>
      <c r="OTM20" s="13"/>
      <c r="OTN20" s="13"/>
      <c r="OTO20" s="13"/>
      <c r="OTP20" s="13"/>
      <c r="OTQ20" s="13"/>
      <c r="OTR20" s="13"/>
      <c r="OTS20" s="13"/>
      <c r="OTT20" s="13"/>
      <c r="OTU20" s="13"/>
      <c r="OTV20" s="13"/>
      <c r="OTW20" s="13"/>
      <c r="OTX20" s="13"/>
      <c r="OTY20" s="13"/>
      <c r="OTZ20" s="13"/>
      <c r="OUA20" s="13"/>
      <c r="OUB20" s="13"/>
      <c r="OUC20" s="13"/>
      <c r="OUD20" s="13"/>
      <c r="OUE20" s="13"/>
      <c r="OUF20" s="13"/>
      <c r="OUG20" s="13"/>
      <c r="OUH20" s="13"/>
      <c r="OUI20" s="13"/>
      <c r="OUJ20" s="13"/>
      <c r="OUK20" s="13"/>
      <c r="OUL20" s="13"/>
      <c r="OUM20" s="13"/>
      <c r="OUN20" s="13"/>
      <c r="OUO20" s="13"/>
      <c r="OUP20" s="13"/>
      <c r="OUQ20" s="13"/>
      <c r="OUR20" s="13"/>
      <c r="OUS20" s="13"/>
      <c r="OUT20" s="13"/>
      <c r="OUU20" s="13"/>
      <c r="OUV20" s="13"/>
      <c r="OUW20" s="13"/>
      <c r="OUX20" s="13"/>
      <c r="OUY20" s="13"/>
      <c r="OUZ20" s="13"/>
      <c r="OVA20" s="13"/>
      <c r="OVB20" s="13"/>
      <c r="OVC20" s="13"/>
      <c r="OVD20" s="13"/>
      <c r="OVE20" s="13"/>
      <c r="OVF20" s="13"/>
      <c r="OVG20" s="13"/>
      <c r="OVH20" s="13"/>
      <c r="OVI20" s="13"/>
      <c r="OVJ20" s="13"/>
      <c r="OVK20" s="13"/>
      <c r="OVL20" s="13"/>
      <c r="OVM20" s="13"/>
      <c r="OVN20" s="13"/>
      <c r="OVO20" s="13"/>
      <c r="OVP20" s="13"/>
      <c r="OVQ20" s="13"/>
      <c r="OVR20" s="13"/>
      <c r="OVS20" s="13"/>
      <c r="OVT20" s="13"/>
      <c r="OVU20" s="13"/>
      <c r="OVV20" s="13"/>
      <c r="OVW20" s="13"/>
      <c r="OVX20" s="13"/>
      <c r="OVY20" s="13"/>
      <c r="OVZ20" s="13"/>
      <c r="OWA20" s="13"/>
      <c r="OWB20" s="13"/>
      <c r="OWC20" s="13"/>
      <c r="OWD20" s="13"/>
      <c r="OWE20" s="13"/>
      <c r="OWF20" s="13"/>
      <c r="OWG20" s="13"/>
      <c r="OWH20" s="13"/>
      <c r="OWI20" s="13"/>
      <c r="OWJ20" s="13"/>
      <c r="OWK20" s="13"/>
      <c r="OWL20" s="13"/>
      <c r="OWM20" s="13"/>
      <c r="OWN20" s="13"/>
      <c r="OWO20" s="13"/>
      <c r="OWP20" s="13"/>
      <c r="OWQ20" s="13"/>
      <c r="OWR20" s="13"/>
      <c r="OWS20" s="13"/>
      <c r="OWT20" s="13"/>
      <c r="OWU20" s="13"/>
      <c r="OWV20" s="13"/>
      <c r="OWW20" s="13"/>
      <c r="OWX20" s="13"/>
      <c r="OWY20" s="13"/>
      <c r="OWZ20" s="13"/>
      <c r="OXA20" s="13"/>
      <c r="OXB20" s="13"/>
      <c r="OXC20" s="13"/>
      <c r="OXD20" s="13"/>
      <c r="OXE20" s="13"/>
      <c r="OXF20" s="13"/>
      <c r="OXG20" s="13"/>
      <c r="OXH20" s="13"/>
      <c r="OXI20" s="13"/>
      <c r="OXJ20" s="13"/>
      <c r="OXK20" s="13"/>
      <c r="OXL20" s="13"/>
      <c r="OXM20" s="13"/>
      <c r="OXN20" s="13"/>
      <c r="OXO20" s="13"/>
      <c r="OXP20" s="13"/>
      <c r="OXQ20" s="13"/>
      <c r="OXR20" s="13"/>
      <c r="OXS20" s="13"/>
      <c r="OXT20" s="13"/>
      <c r="OXU20" s="13"/>
      <c r="OXV20" s="13"/>
      <c r="OXW20" s="13"/>
      <c r="OXX20" s="13"/>
      <c r="OXY20" s="13"/>
      <c r="OXZ20" s="13"/>
      <c r="OYA20" s="13"/>
      <c r="OYB20" s="13"/>
      <c r="OYC20" s="13"/>
      <c r="OYD20" s="13"/>
      <c r="OYE20" s="13"/>
      <c r="OYF20" s="13"/>
      <c r="OYG20" s="13"/>
      <c r="OYH20" s="13"/>
      <c r="OYI20" s="13"/>
      <c r="OYJ20" s="13"/>
      <c r="OYK20" s="13"/>
      <c r="OYL20" s="13"/>
      <c r="OYM20" s="13"/>
      <c r="OYN20" s="13"/>
      <c r="OYO20" s="13"/>
      <c r="OYP20" s="13"/>
      <c r="OYQ20" s="13"/>
      <c r="OYR20" s="13"/>
      <c r="OYS20" s="13"/>
      <c r="OYT20" s="13"/>
      <c r="OYU20" s="13"/>
      <c r="OYV20" s="13"/>
      <c r="OYW20" s="13"/>
      <c r="OYX20" s="13"/>
      <c r="OYY20" s="13"/>
      <c r="OYZ20" s="13"/>
      <c r="OZA20" s="13"/>
      <c r="OZB20" s="13"/>
      <c r="OZC20" s="13"/>
      <c r="OZD20" s="13"/>
      <c r="OZE20" s="13"/>
      <c r="OZF20" s="13"/>
      <c r="OZG20" s="13"/>
      <c r="OZH20" s="13"/>
      <c r="OZI20" s="13"/>
      <c r="OZJ20" s="13"/>
      <c r="OZK20" s="13"/>
      <c r="OZL20" s="13"/>
      <c r="OZM20" s="13"/>
      <c r="OZN20" s="13"/>
      <c r="OZO20" s="13"/>
      <c r="OZP20" s="13"/>
      <c r="OZQ20" s="13"/>
      <c r="OZR20" s="13"/>
      <c r="OZS20" s="13"/>
      <c r="OZT20" s="13"/>
      <c r="OZU20" s="13"/>
      <c r="OZV20" s="13"/>
      <c r="OZW20" s="13"/>
      <c r="OZX20" s="13"/>
      <c r="OZY20" s="13"/>
      <c r="OZZ20" s="13"/>
      <c r="PAA20" s="13"/>
      <c r="PAB20" s="13"/>
      <c r="PAC20" s="13"/>
      <c r="PAD20" s="13"/>
      <c r="PAE20" s="13"/>
      <c r="PAF20" s="13"/>
      <c r="PAG20" s="13"/>
      <c r="PAH20" s="13"/>
      <c r="PAI20" s="13"/>
      <c r="PAJ20" s="13"/>
      <c r="PAK20" s="13"/>
      <c r="PAL20" s="13"/>
      <c r="PAM20" s="13"/>
      <c r="PAN20" s="13"/>
      <c r="PAO20" s="13"/>
      <c r="PAP20" s="13"/>
      <c r="PAQ20" s="13"/>
      <c r="PAR20" s="13"/>
      <c r="PAS20" s="13"/>
      <c r="PAT20" s="13"/>
      <c r="PAU20" s="13"/>
      <c r="PAV20" s="13"/>
      <c r="PAW20" s="13"/>
      <c r="PAX20" s="13"/>
      <c r="PAY20" s="13"/>
      <c r="PAZ20" s="13"/>
      <c r="PBA20" s="13"/>
      <c r="PBB20" s="13"/>
      <c r="PBC20" s="13"/>
      <c r="PBD20" s="13"/>
      <c r="PBE20" s="13"/>
      <c r="PBF20" s="13"/>
      <c r="PBG20" s="13"/>
      <c r="PBH20" s="13"/>
      <c r="PBI20" s="13"/>
      <c r="PBJ20" s="13"/>
      <c r="PBK20" s="13"/>
      <c r="PBL20" s="13"/>
      <c r="PBM20" s="13"/>
      <c r="PBN20" s="13"/>
      <c r="PBO20" s="13"/>
      <c r="PBP20" s="13"/>
      <c r="PBQ20" s="13"/>
      <c r="PBR20" s="13"/>
      <c r="PBS20" s="13"/>
      <c r="PBT20" s="13"/>
      <c r="PBU20" s="13"/>
      <c r="PBV20" s="13"/>
      <c r="PBW20" s="13"/>
      <c r="PBX20" s="13"/>
      <c r="PBY20" s="13"/>
      <c r="PBZ20" s="13"/>
      <c r="PCA20" s="13"/>
      <c r="PCB20" s="13"/>
      <c r="PCC20" s="13"/>
      <c r="PCD20" s="13"/>
      <c r="PCE20" s="13"/>
      <c r="PCF20" s="13"/>
      <c r="PCG20" s="13"/>
      <c r="PCH20" s="13"/>
      <c r="PCI20" s="13"/>
      <c r="PCJ20" s="13"/>
      <c r="PCK20" s="13"/>
      <c r="PCL20" s="13"/>
      <c r="PCM20" s="13"/>
      <c r="PCN20" s="13"/>
      <c r="PCO20" s="13"/>
      <c r="PCP20" s="13"/>
      <c r="PCQ20" s="13"/>
      <c r="PCR20" s="13"/>
      <c r="PCS20" s="13"/>
      <c r="PCT20" s="13"/>
      <c r="PCU20" s="13"/>
      <c r="PCV20" s="13"/>
      <c r="PCW20" s="13"/>
      <c r="PCX20" s="13"/>
      <c r="PCY20" s="13"/>
      <c r="PCZ20" s="13"/>
      <c r="PDA20" s="13"/>
      <c r="PDB20" s="13"/>
      <c r="PDC20" s="13"/>
      <c r="PDD20" s="13"/>
      <c r="PDE20" s="13"/>
      <c r="PDF20" s="13"/>
      <c r="PDG20" s="13"/>
      <c r="PDH20" s="13"/>
      <c r="PDI20" s="13"/>
      <c r="PDJ20" s="13"/>
      <c r="PDK20" s="13"/>
      <c r="PDL20" s="13"/>
      <c r="PDM20" s="13"/>
      <c r="PDN20" s="13"/>
      <c r="PDO20" s="13"/>
      <c r="PDP20" s="13"/>
      <c r="PDQ20" s="13"/>
      <c r="PDR20" s="13"/>
      <c r="PDS20" s="13"/>
      <c r="PDT20" s="13"/>
      <c r="PDU20" s="13"/>
      <c r="PDV20" s="13"/>
      <c r="PDW20" s="13"/>
      <c r="PDX20" s="13"/>
      <c r="PDY20" s="13"/>
      <c r="PDZ20" s="13"/>
      <c r="PEA20" s="13"/>
      <c r="PEB20" s="13"/>
      <c r="PEC20" s="13"/>
      <c r="PED20" s="13"/>
      <c r="PEE20" s="13"/>
      <c r="PEF20" s="13"/>
      <c r="PEG20" s="13"/>
      <c r="PEH20" s="13"/>
      <c r="PEI20" s="13"/>
      <c r="PEJ20" s="13"/>
      <c r="PEK20" s="13"/>
      <c r="PEL20" s="13"/>
      <c r="PEM20" s="13"/>
      <c r="PEN20" s="13"/>
      <c r="PEO20" s="13"/>
      <c r="PEP20" s="13"/>
      <c r="PEQ20" s="13"/>
      <c r="PER20" s="13"/>
      <c r="PES20" s="13"/>
      <c r="PET20" s="13"/>
      <c r="PEU20" s="13"/>
      <c r="PEV20" s="13"/>
      <c r="PEW20" s="13"/>
      <c r="PEX20" s="13"/>
      <c r="PEY20" s="13"/>
      <c r="PEZ20" s="13"/>
      <c r="PFA20" s="13"/>
      <c r="PFB20" s="13"/>
      <c r="PFC20" s="13"/>
      <c r="PFD20" s="13"/>
      <c r="PFE20" s="13"/>
      <c r="PFF20" s="13"/>
      <c r="PFG20" s="13"/>
      <c r="PFH20" s="13"/>
      <c r="PFI20" s="13"/>
      <c r="PFJ20" s="13"/>
      <c r="PFK20" s="13"/>
      <c r="PFL20" s="13"/>
      <c r="PFM20" s="13"/>
      <c r="PFN20" s="13"/>
      <c r="PFO20" s="13"/>
      <c r="PFP20" s="13"/>
      <c r="PFQ20" s="13"/>
      <c r="PFR20" s="13"/>
      <c r="PFS20" s="13"/>
      <c r="PFT20" s="13"/>
      <c r="PFU20" s="13"/>
      <c r="PFV20" s="13"/>
      <c r="PFW20" s="13"/>
      <c r="PFX20" s="13"/>
      <c r="PFY20" s="13"/>
      <c r="PFZ20" s="13"/>
      <c r="PGA20" s="13"/>
      <c r="PGB20" s="13"/>
      <c r="PGC20" s="13"/>
      <c r="PGD20" s="13"/>
      <c r="PGE20" s="13"/>
      <c r="PGF20" s="13"/>
      <c r="PGG20" s="13"/>
      <c r="PGH20" s="13"/>
      <c r="PGI20" s="13"/>
      <c r="PGJ20" s="13"/>
      <c r="PGK20" s="13"/>
      <c r="PGL20" s="13"/>
      <c r="PGM20" s="13"/>
      <c r="PGN20" s="13"/>
      <c r="PGO20" s="13"/>
      <c r="PGP20" s="13"/>
      <c r="PGQ20" s="13"/>
      <c r="PGR20" s="13"/>
      <c r="PGS20" s="13"/>
      <c r="PGT20" s="13"/>
      <c r="PGU20" s="13"/>
      <c r="PGV20" s="13"/>
      <c r="PGW20" s="13"/>
      <c r="PGX20" s="13"/>
      <c r="PGY20" s="13"/>
      <c r="PGZ20" s="13"/>
      <c r="PHA20" s="13"/>
      <c r="PHB20" s="13"/>
      <c r="PHC20" s="13"/>
      <c r="PHD20" s="13"/>
      <c r="PHE20" s="13"/>
      <c r="PHF20" s="13"/>
      <c r="PHG20" s="13"/>
      <c r="PHH20" s="13"/>
      <c r="PHI20" s="13"/>
      <c r="PHJ20" s="13"/>
      <c r="PHK20" s="13"/>
      <c r="PHL20" s="13"/>
      <c r="PHM20" s="13"/>
      <c r="PHN20" s="13"/>
      <c r="PHO20" s="13"/>
      <c r="PHP20" s="13"/>
      <c r="PHQ20" s="13"/>
      <c r="PHR20" s="13"/>
      <c r="PHS20" s="13"/>
      <c r="PHT20" s="13"/>
      <c r="PHU20" s="13"/>
      <c r="PHV20" s="13"/>
      <c r="PHW20" s="13"/>
      <c r="PHX20" s="13"/>
      <c r="PHY20" s="13"/>
      <c r="PHZ20" s="13"/>
      <c r="PIA20" s="13"/>
      <c r="PIB20" s="13"/>
      <c r="PIC20" s="13"/>
      <c r="PID20" s="13"/>
      <c r="PIE20" s="13"/>
      <c r="PIF20" s="13"/>
      <c r="PIG20" s="13"/>
      <c r="PIH20" s="13"/>
      <c r="PII20" s="13"/>
      <c r="PIJ20" s="13"/>
      <c r="PIK20" s="13"/>
      <c r="PIL20" s="13"/>
      <c r="PIM20" s="13"/>
      <c r="PIN20" s="13"/>
      <c r="PIO20" s="13"/>
      <c r="PIP20" s="13"/>
      <c r="PIQ20" s="13"/>
      <c r="PIR20" s="13"/>
      <c r="PIS20" s="13"/>
      <c r="PIT20" s="13"/>
      <c r="PIU20" s="13"/>
      <c r="PIV20" s="13"/>
      <c r="PIW20" s="13"/>
      <c r="PIX20" s="13"/>
      <c r="PIY20" s="13"/>
      <c r="PIZ20" s="13"/>
      <c r="PJA20" s="13"/>
      <c r="PJB20" s="13"/>
      <c r="PJC20" s="13"/>
      <c r="PJD20" s="13"/>
      <c r="PJE20" s="13"/>
      <c r="PJF20" s="13"/>
      <c r="PJG20" s="13"/>
      <c r="PJH20" s="13"/>
      <c r="PJI20" s="13"/>
      <c r="PJJ20" s="13"/>
      <c r="PJK20" s="13"/>
      <c r="PJL20" s="13"/>
      <c r="PJM20" s="13"/>
      <c r="PJN20" s="13"/>
      <c r="PJO20" s="13"/>
      <c r="PJP20" s="13"/>
      <c r="PJQ20" s="13"/>
      <c r="PJR20" s="13"/>
      <c r="PJS20" s="13"/>
      <c r="PJT20" s="13"/>
      <c r="PJU20" s="13"/>
      <c r="PJV20" s="13"/>
      <c r="PJW20" s="13"/>
      <c r="PJX20" s="13"/>
      <c r="PJY20" s="13"/>
      <c r="PJZ20" s="13"/>
      <c r="PKA20" s="13"/>
      <c r="PKB20" s="13"/>
      <c r="PKC20" s="13"/>
      <c r="PKD20" s="13"/>
      <c r="PKE20" s="13"/>
      <c r="PKF20" s="13"/>
      <c r="PKG20" s="13"/>
      <c r="PKH20" s="13"/>
      <c r="PKI20" s="13"/>
      <c r="PKJ20" s="13"/>
      <c r="PKK20" s="13"/>
      <c r="PKL20" s="13"/>
      <c r="PKM20" s="13"/>
      <c r="PKN20" s="13"/>
      <c r="PKO20" s="13"/>
      <c r="PKP20" s="13"/>
      <c r="PKQ20" s="13"/>
      <c r="PKR20" s="13"/>
      <c r="PKS20" s="13"/>
      <c r="PKT20" s="13"/>
      <c r="PKU20" s="13"/>
      <c r="PKV20" s="13"/>
      <c r="PKW20" s="13"/>
      <c r="PKX20" s="13"/>
      <c r="PKY20" s="13"/>
      <c r="PKZ20" s="13"/>
      <c r="PLA20" s="13"/>
      <c r="PLB20" s="13"/>
      <c r="PLC20" s="13"/>
      <c r="PLD20" s="13"/>
      <c r="PLE20" s="13"/>
      <c r="PLF20" s="13"/>
      <c r="PLG20" s="13"/>
      <c r="PLH20" s="13"/>
      <c r="PLI20" s="13"/>
      <c r="PLJ20" s="13"/>
      <c r="PLK20" s="13"/>
      <c r="PLL20" s="13"/>
      <c r="PLM20" s="13"/>
      <c r="PLN20" s="13"/>
      <c r="PLO20" s="13"/>
      <c r="PLP20" s="13"/>
      <c r="PLQ20" s="13"/>
      <c r="PLR20" s="13"/>
      <c r="PLS20" s="13"/>
      <c r="PLT20" s="13"/>
      <c r="PLU20" s="13"/>
      <c r="PLV20" s="13"/>
      <c r="PLW20" s="13"/>
      <c r="PLX20" s="13"/>
      <c r="PLY20" s="13"/>
      <c r="PLZ20" s="13"/>
      <c r="PMA20" s="13"/>
      <c r="PMB20" s="13"/>
      <c r="PMC20" s="13"/>
      <c r="PMD20" s="13"/>
      <c r="PME20" s="13"/>
      <c r="PMF20" s="13"/>
      <c r="PMG20" s="13"/>
      <c r="PMH20" s="13"/>
      <c r="PMI20" s="13"/>
      <c r="PMJ20" s="13"/>
      <c r="PMK20" s="13"/>
      <c r="PML20" s="13"/>
      <c r="PMM20" s="13"/>
      <c r="PMN20" s="13"/>
      <c r="PMO20" s="13"/>
      <c r="PMP20" s="13"/>
      <c r="PMQ20" s="13"/>
      <c r="PMR20" s="13"/>
      <c r="PMS20" s="13"/>
      <c r="PMT20" s="13"/>
      <c r="PMU20" s="13"/>
      <c r="PMV20" s="13"/>
      <c r="PMW20" s="13"/>
      <c r="PMX20" s="13"/>
      <c r="PMY20" s="13"/>
      <c r="PMZ20" s="13"/>
      <c r="PNA20" s="13"/>
      <c r="PNB20" s="13"/>
      <c r="PNC20" s="13"/>
      <c r="PND20" s="13"/>
      <c r="PNE20" s="13"/>
      <c r="PNF20" s="13"/>
      <c r="PNG20" s="13"/>
      <c r="PNH20" s="13"/>
      <c r="PNI20" s="13"/>
      <c r="PNJ20" s="13"/>
      <c r="PNK20" s="13"/>
      <c r="PNL20" s="13"/>
      <c r="PNM20" s="13"/>
      <c r="PNN20" s="13"/>
      <c r="PNO20" s="13"/>
      <c r="PNP20" s="13"/>
      <c r="PNQ20" s="13"/>
      <c r="PNR20" s="13"/>
      <c r="PNS20" s="13"/>
      <c r="PNT20" s="13"/>
      <c r="PNU20" s="13"/>
      <c r="PNV20" s="13"/>
      <c r="PNW20" s="13"/>
      <c r="PNX20" s="13"/>
      <c r="PNY20" s="13"/>
      <c r="PNZ20" s="13"/>
      <c r="POA20" s="13"/>
      <c r="POB20" s="13"/>
      <c r="POC20" s="13"/>
      <c r="POD20" s="13"/>
      <c r="POE20" s="13"/>
      <c r="POF20" s="13"/>
      <c r="POG20" s="13"/>
      <c r="POH20" s="13"/>
      <c r="POI20" s="13"/>
      <c r="POJ20" s="13"/>
      <c r="POK20" s="13"/>
      <c r="POL20" s="13"/>
      <c r="POM20" s="13"/>
      <c r="PON20" s="13"/>
      <c r="POO20" s="13"/>
      <c r="POP20" s="13"/>
      <c r="POQ20" s="13"/>
      <c r="POR20" s="13"/>
      <c r="POS20" s="13"/>
      <c r="POT20" s="13"/>
      <c r="POU20" s="13"/>
      <c r="POV20" s="13"/>
      <c r="POW20" s="13"/>
      <c r="POX20" s="13"/>
      <c r="POY20" s="13"/>
      <c r="POZ20" s="13"/>
      <c r="PPA20" s="13"/>
      <c r="PPB20" s="13"/>
      <c r="PPC20" s="13"/>
      <c r="PPD20" s="13"/>
      <c r="PPE20" s="13"/>
      <c r="PPF20" s="13"/>
      <c r="PPG20" s="13"/>
      <c r="PPH20" s="13"/>
      <c r="PPI20" s="13"/>
      <c r="PPJ20" s="13"/>
      <c r="PPK20" s="13"/>
      <c r="PPL20" s="13"/>
      <c r="PPM20" s="13"/>
      <c r="PPN20" s="13"/>
      <c r="PPO20" s="13"/>
      <c r="PPP20" s="13"/>
      <c r="PPQ20" s="13"/>
      <c r="PPR20" s="13"/>
      <c r="PPS20" s="13"/>
      <c r="PPT20" s="13"/>
      <c r="PPU20" s="13"/>
      <c r="PPV20" s="13"/>
      <c r="PPW20" s="13"/>
      <c r="PPX20" s="13"/>
      <c r="PPY20" s="13"/>
      <c r="PPZ20" s="13"/>
      <c r="PQA20" s="13"/>
      <c r="PQB20" s="13"/>
      <c r="PQC20" s="13"/>
      <c r="PQD20" s="13"/>
      <c r="PQE20" s="13"/>
      <c r="PQF20" s="13"/>
      <c r="PQG20" s="13"/>
      <c r="PQH20" s="13"/>
      <c r="PQI20" s="13"/>
      <c r="PQJ20" s="13"/>
      <c r="PQK20" s="13"/>
      <c r="PQL20" s="13"/>
      <c r="PQM20" s="13"/>
      <c r="PQN20" s="13"/>
      <c r="PQO20" s="13"/>
      <c r="PQP20" s="13"/>
      <c r="PQQ20" s="13"/>
      <c r="PQR20" s="13"/>
      <c r="PQS20" s="13"/>
      <c r="PQT20" s="13"/>
      <c r="PQU20" s="13"/>
      <c r="PQV20" s="13"/>
      <c r="PQW20" s="13"/>
      <c r="PQX20" s="13"/>
      <c r="PQY20" s="13"/>
      <c r="PQZ20" s="13"/>
      <c r="PRA20" s="13"/>
      <c r="PRB20" s="13"/>
      <c r="PRC20" s="13"/>
      <c r="PRD20" s="13"/>
      <c r="PRE20" s="13"/>
      <c r="PRF20" s="13"/>
      <c r="PRG20" s="13"/>
      <c r="PRH20" s="13"/>
      <c r="PRI20" s="13"/>
      <c r="PRJ20" s="13"/>
      <c r="PRK20" s="13"/>
      <c r="PRL20" s="13"/>
      <c r="PRM20" s="13"/>
      <c r="PRN20" s="13"/>
      <c r="PRO20" s="13"/>
      <c r="PRP20" s="13"/>
      <c r="PRQ20" s="13"/>
      <c r="PRR20" s="13"/>
      <c r="PRS20" s="13"/>
      <c r="PRT20" s="13"/>
      <c r="PRU20" s="13"/>
      <c r="PRV20" s="13"/>
      <c r="PRW20" s="13"/>
      <c r="PRX20" s="13"/>
      <c r="PRY20" s="13"/>
      <c r="PRZ20" s="13"/>
      <c r="PSA20" s="13"/>
      <c r="PSB20" s="13"/>
      <c r="PSC20" s="13"/>
      <c r="PSD20" s="13"/>
      <c r="PSE20" s="13"/>
      <c r="PSF20" s="13"/>
      <c r="PSG20" s="13"/>
      <c r="PSH20" s="13"/>
      <c r="PSI20" s="13"/>
      <c r="PSJ20" s="13"/>
      <c r="PSK20" s="13"/>
      <c r="PSL20" s="13"/>
      <c r="PSM20" s="13"/>
      <c r="PSN20" s="13"/>
      <c r="PSO20" s="13"/>
      <c r="PSP20" s="13"/>
      <c r="PSQ20" s="13"/>
      <c r="PSR20" s="13"/>
      <c r="PSS20" s="13"/>
      <c r="PST20" s="13"/>
      <c r="PSU20" s="13"/>
      <c r="PSV20" s="13"/>
      <c r="PSW20" s="13"/>
      <c r="PSX20" s="13"/>
      <c r="PSY20" s="13"/>
      <c r="PSZ20" s="13"/>
      <c r="PTA20" s="13"/>
      <c r="PTB20" s="13"/>
      <c r="PTC20" s="13"/>
      <c r="PTD20" s="13"/>
      <c r="PTE20" s="13"/>
      <c r="PTF20" s="13"/>
      <c r="PTG20" s="13"/>
      <c r="PTH20" s="13"/>
      <c r="PTI20" s="13"/>
      <c r="PTJ20" s="13"/>
      <c r="PTK20" s="13"/>
      <c r="PTL20" s="13"/>
      <c r="PTM20" s="13"/>
      <c r="PTN20" s="13"/>
      <c r="PTO20" s="13"/>
      <c r="PTP20" s="13"/>
      <c r="PTQ20" s="13"/>
      <c r="PTR20" s="13"/>
      <c r="PTS20" s="13"/>
      <c r="PTT20" s="13"/>
      <c r="PTU20" s="13"/>
      <c r="PTV20" s="13"/>
      <c r="PTW20" s="13"/>
      <c r="PTX20" s="13"/>
      <c r="PTY20" s="13"/>
      <c r="PTZ20" s="13"/>
      <c r="PUA20" s="13"/>
      <c r="PUB20" s="13"/>
      <c r="PUC20" s="13"/>
      <c r="PUD20" s="13"/>
      <c r="PUE20" s="13"/>
      <c r="PUF20" s="13"/>
      <c r="PUG20" s="13"/>
      <c r="PUH20" s="13"/>
      <c r="PUI20" s="13"/>
      <c r="PUJ20" s="13"/>
      <c r="PUK20" s="13"/>
      <c r="PUL20" s="13"/>
      <c r="PUM20" s="13"/>
      <c r="PUN20" s="13"/>
      <c r="PUO20" s="13"/>
      <c r="PUP20" s="13"/>
      <c r="PUQ20" s="13"/>
      <c r="PUR20" s="13"/>
      <c r="PUS20" s="13"/>
      <c r="PUT20" s="13"/>
      <c r="PUU20" s="13"/>
      <c r="PUV20" s="13"/>
      <c r="PUW20" s="13"/>
      <c r="PUX20" s="13"/>
      <c r="PUY20" s="13"/>
      <c r="PUZ20" s="13"/>
      <c r="PVA20" s="13"/>
      <c r="PVB20" s="13"/>
      <c r="PVC20" s="13"/>
      <c r="PVD20" s="13"/>
      <c r="PVE20" s="13"/>
      <c r="PVF20" s="13"/>
      <c r="PVG20" s="13"/>
      <c r="PVH20" s="13"/>
      <c r="PVI20" s="13"/>
      <c r="PVJ20" s="13"/>
      <c r="PVK20" s="13"/>
      <c r="PVL20" s="13"/>
      <c r="PVM20" s="13"/>
      <c r="PVN20" s="13"/>
      <c r="PVO20" s="13"/>
      <c r="PVP20" s="13"/>
      <c r="PVQ20" s="13"/>
      <c r="PVR20" s="13"/>
      <c r="PVS20" s="13"/>
      <c r="PVT20" s="13"/>
      <c r="PVU20" s="13"/>
      <c r="PVV20" s="13"/>
      <c r="PVW20" s="13"/>
      <c r="PVX20" s="13"/>
      <c r="PVY20" s="13"/>
      <c r="PVZ20" s="13"/>
      <c r="PWA20" s="13"/>
      <c r="PWB20" s="13"/>
      <c r="PWC20" s="13"/>
      <c r="PWD20" s="13"/>
      <c r="PWE20" s="13"/>
      <c r="PWF20" s="13"/>
      <c r="PWG20" s="13"/>
      <c r="PWH20" s="13"/>
      <c r="PWI20" s="13"/>
      <c r="PWJ20" s="13"/>
      <c r="PWK20" s="13"/>
      <c r="PWL20" s="13"/>
      <c r="PWM20" s="13"/>
      <c r="PWN20" s="13"/>
      <c r="PWO20" s="13"/>
      <c r="PWP20" s="13"/>
      <c r="PWQ20" s="13"/>
      <c r="PWR20" s="13"/>
      <c r="PWS20" s="13"/>
      <c r="PWT20" s="13"/>
      <c r="PWU20" s="13"/>
      <c r="PWV20" s="13"/>
      <c r="PWW20" s="13"/>
      <c r="PWX20" s="13"/>
      <c r="PWY20" s="13"/>
      <c r="PWZ20" s="13"/>
      <c r="PXA20" s="13"/>
      <c r="PXB20" s="13"/>
      <c r="PXC20" s="13"/>
      <c r="PXD20" s="13"/>
      <c r="PXE20" s="13"/>
      <c r="PXF20" s="13"/>
      <c r="PXG20" s="13"/>
      <c r="PXH20" s="13"/>
      <c r="PXI20" s="13"/>
      <c r="PXJ20" s="13"/>
      <c r="PXK20" s="13"/>
      <c r="PXL20" s="13"/>
      <c r="PXM20" s="13"/>
      <c r="PXN20" s="13"/>
      <c r="PXO20" s="13"/>
      <c r="PXP20" s="13"/>
      <c r="PXQ20" s="13"/>
      <c r="PXR20" s="13"/>
      <c r="PXS20" s="13"/>
      <c r="PXT20" s="13"/>
      <c r="PXU20" s="13"/>
      <c r="PXV20" s="13"/>
      <c r="PXW20" s="13"/>
      <c r="PXX20" s="13"/>
      <c r="PXY20" s="13"/>
      <c r="PXZ20" s="13"/>
      <c r="PYA20" s="13"/>
      <c r="PYB20" s="13"/>
      <c r="PYC20" s="13"/>
      <c r="PYD20" s="13"/>
      <c r="PYE20" s="13"/>
      <c r="PYF20" s="13"/>
      <c r="PYG20" s="13"/>
      <c r="PYH20" s="13"/>
      <c r="PYI20" s="13"/>
      <c r="PYJ20" s="13"/>
      <c r="PYK20" s="13"/>
      <c r="PYL20" s="13"/>
      <c r="PYM20" s="13"/>
      <c r="PYN20" s="13"/>
      <c r="PYO20" s="13"/>
      <c r="PYP20" s="13"/>
      <c r="PYQ20" s="13"/>
      <c r="PYR20" s="13"/>
      <c r="PYS20" s="13"/>
      <c r="PYT20" s="13"/>
      <c r="PYU20" s="13"/>
      <c r="PYV20" s="13"/>
      <c r="PYW20" s="13"/>
      <c r="PYX20" s="13"/>
      <c r="PYY20" s="13"/>
      <c r="PYZ20" s="13"/>
      <c r="PZA20" s="13"/>
      <c r="PZB20" s="13"/>
      <c r="PZC20" s="13"/>
      <c r="PZD20" s="13"/>
      <c r="PZE20" s="13"/>
      <c r="PZF20" s="13"/>
      <c r="PZG20" s="13"/>
      <c r="PZH20" s="13"/>
      <c r="PZI20" s="13"/>
      <c r="PZJ20" s="13"/>
      <c r="PZK20" s="13"/>
      <c r="PZL20" s="13"/>
      <c r="PZM20" s="13"/>
      <c r="PZN20" s="13"/>
      <c r="PZO20" s="13"/>
      <c r="PZP20" s="13"/>
      <c r="PZQ20" s="13"/>
      <c r="PZR20" s="13"/>
      <c r="PZS20" s="13"/>
      <c r="PZT20" s="13"/>
      <c r="PZU20" s="13"/>
      <c r="PZV20" s="13"/>
      <c r="PZW20" s="13"/>
      <c r="PZX20" s="13"/>
      <c r="PZY20" s="13"/>
      <c r="PZZ20" s="13"/>
      <c r="QAA20" s="13"/>
      <c r="QAB20" s="13"/>
      <c r="QAC20" s="13"/>
      <c r="QAD20" s="13"/>
      <c r="QAE20" s="13"/>
      <c r="QAF20" s="13"/>
      <c r="QAG20" s="13"/>
      <c r="QAH20" s="13"/>
      <c r="QAI20" s="13"/>
      <c r="QAJ20" s="13"/>
      <c r="QAK20" s="13"/>
      <c r="QAL20" s="13"/>
      <c r="QAM20" s="13"/>
      <c r="QAN20" s="13"/>
      <c r="QAO20" s="13"/>
      <c r="QAP20" s="13"/>
      <c r="QAQ20" s="13"/>
      <c r="QAR20" s="13"/>
      <c r="QAS20" s="13"/>
      <c r="QAT20" s="13"/>
      <c r="QAU20" s="13"/>
      <c r="QAV20" s="13"/>
      <c r="QAW20" s="13"/>
      <c r="QAX20" s="13"/>
      <c r="QAY20" s="13"/>
      <c r="QAZ20" s="13"/>
      <c r="QBA20" s="13"/>
      <c r="QBB20" s="13"/>
      <c r="QBC20" s="13"/>
      <c r="QBD20" s="13"/>
      <c r="QBE20" s="13"/>
      <c r="QBF20" s="13"/>
      <c r="QBG20" s="13"/>
      <c r="QBH20" s="13"/>
      <c r="QBI20" s="13"/>
      <c r="QBJ20" s="13"/>
      <c r="QBK20" s="13"/>
      <c r="QBL20" s="13"/>
      <c r="QBM20" s="13"/>
      <c r="QBN20" s="13"/>
      <c r="QBO20" s="13"/>
      <c r="QBP20" s="13"/>
      <c r="QBQ20" s="13"/>
      <c r="QBR20" s="13"/>
      <c r="QBS20" s="13"/>
      <c r="QBT20" s="13"/>
      <c r="QBU20" s="13"/>
      <c r="QBV20" s="13"/>
      <c r="QBW20" s="13"/>
      <c r="QBX20" s="13"/>
      <c r="QBY20" s="13"/>
      <c r="QBZ20" s="13"/>
      <c r="QCA20" s="13"/>
      <c r="QCB20" s="13"/>
      <c r="QCC20" s="13"/>
      <c r="QCD20" s="13"/>
      <c r="QCE20" s="13"/>
      <c r="QCF20" s="13"/>
      <c r="QCG20" s="13"/>
      <c r="QCH20" s="13"/>
      <c r="QCI20" s="13"/>
      <c r="QCJ20" s="13"/>
      <c r="QCK20" s="13"/>
      <c r="QCL20" s="13"/>
      <c r="QCM20" s="13"/>
      <c r="QCN20" s="13"/>
      <c r="QCO20" s="13"/>
      <c r="QCP20" s="13"/>
      <c r="QCQ20" s="13"/>
      <c r="QCR20" s="13"/>
      <c r="QCS20" s="13"/>
      <c r="QCT20" s="13"/>
      <c r="QCU20" s="13"/>
      <c r="QCV20" s="13"/>
      <c r="QCW20" s="13"/>
      <c r="QCX20" s="13"/>
      <c r="QCY20" s="13"/>
      <c r="QCZ20" s="13"/>
      <c r="QDA20" s="13"/>
      <c r="QDB20" s="13"/>
      <c r="QDC20" s="13"/>
      <c r="QDD20" s="13"/>
      <c r="QDE20" s="13"/>
      <c r="QDF20" s="13"/>
      <c r="QDG20" s="13"/>
      <c r="QDH20" s="13"/>
      <c r="QDI20" s="13"/>
      <c r="QDJ20" s="13"/>
      <c r="QDK20" s="13"/>
      <c r="QDL20" s="13"/>
      <c r="QDM20" s="13"/>
      <c r="QDN20" s="13"/>
      <c r="QDO20" s="13"/>
      <c r="QDP20" s="13"/>
      <c r="QDQ20" s="13"/>
      <c r="QDR20" s="13"/>
      <c r="QDS20" s="13"/>
      <c r="QDT20" s="13"/>
      <c r="QDU20" s="13"/>
      <c r="QDV20" s="13"/>
      <c r="QDW20" s="13"/>
      <c r="QDX20" s="13"/>
      <c r="QDY20" s="13"/>
      <c r="QDZ20" s="13"/>
      <c r="QEA20" s="13"/>
      <c r="QEB20" s="13"/>
      <c r="QEC20" s="13"/>
      <c r="QED20" s="13"/>
      <c r="QEE20" s="13"/>
      <c r="QEF20" s="13"/>
      <c r="QEG20" s="13"/>
      <c r="QEH20" s="13"/>
      <c r="QEI20" s="13"/>
      <c r="QEJ20" s="13"/>
      <c r="QEK20" s="13"/>
      <c r="QEL20" s="13"/>
      <c r="QEM20" s="13"/>
      <c r="QEN20" s="13"/>
      <c r="QEO20" s="13"/>
      <c r="QEP20" s="13"/>
      <c r="QEQ20" s="13"/>
      <c r="QER20" s="13"/>
      <c r="QES20" s="13"/>
      <c r="QET20" s="13"/>
      <c r="QEU20" s="13"/>
      <c r="QEV20" s="13"/>
      <c r="QEW20" s="13"/>
      <c r="QEX20" s="13"/>
      <c r="QEY20" s="13"/>
      <c r="QEZ20" s="13"/>
      <c r="QFA20" s="13"/>
      <c r="QFB20" s="13"/>
      <c r="QFC20" s="13"/>
      <c r="QFD20" s="13"/>
      <c r="QFE20" s="13"/>
      <c r="QFF20" s="13"/>
      <c r="QFG20" s="13"/>
      <c r="QFH20" s="13"/>
      <c r="QFI20" s="13"/>
      <c r="QFJ20" s="13"/>
      <c r="QFK20" s="13"/>
      <c r="QFL20" s="13"/>
      <c r="QFM20" s="13"/>
      <c r="QFN20" s="13"/>
      <c r="QFO20" s="13"/>
      <c r="QFP20" s="13"/>
      <c r="QFQ20" s="13"/>
      <c r="QFR20" s="13"/>
      <c r="QFS20" s="13"/>
      <c r="QFT20" s="13"/>
      <c r="QFU20" s="13"/>
      <c r="QFV20" s="13"/>
      <c r="QFW20" s="13"/>
      <c r="QFX20" s="13"/>
      <c r="QFY20" s="13"/>
      <c r="QFZ20" s="13"/>
      <c r="QGA20" s="13"/>
      <c r="QGB20" s="13"/>
      <c r="QGC20" s="13"/>
      <c r="QGD20" s="13"/>
      <c r="QGE20" s="13"/>
      <c r="QGF20" s="13"/>
      <c r="QGG20" s="13"/>
      <c r="QGH20" s="13"/>
      <c r="QGI20" s="13"/>
      <c r="QGJ20" s="13"/>
      <c r="QGK20" s="13"/>
      <c r="QGL20" s="13"/>
      <c r="QGM20" s="13"/>
      <c r="QGN20" s="13"/>
      <c r="QGO20" s="13"/>
      <c r="QGP20" s="13"/>
      <c r="QGQ20" s="13"/>
      <c r="QGR20" s="13"/>
      <c r="QGS20" s="13"/>
      <c r="QGT20" s="13"/>
      <c r="QGU20" s="13"/>
      <c r="QGV20" s="13"/>
      <c r="QGW20" s="13"/>
      <c r="QGX20" s="13"/>
      <c r="QGY20" s="13"/>
      <c r="QGZ20" s="13"/>
      <c r="QHA20" s="13"/>
      <c r="QHB20" s="13"/>
      <c r="QHC20" s="13"/>
      <c r="QHD20" s="13"/>
      <c r="QHE20" s="13"/>
      <c r="QHF20" s="13"/>
      <c r="QHG20" s="13"/>
      <c r="QHH20" s="13"/>
      <c r="QHI20" s="13"/>
      <c r="QHJ20" s="13"/>
      <c r="QHK20" s="13"/>
      <c r="QHL20" s="13"/>
      <c r="QHM20" s="13"/>
      <c r="QHN20" s="13"/>
      <c r="QHO20" s="13"/>
      <c r="QHP20" s="13"/>
      <c r="QHQ20" s="13"/>
      <c r="QHR20" s="13"/>
      <c r="QHS20" s="13"/>
      <c r="QHT20" s="13"/>
      <c r="QHU20" s="13"/>
      <c r="QHV20" s="13"/>
      <c r="QHW20" s="13"/>
      <c r="QHX20" s="13"/>
      <c r="QHY20" s="13"/>
      <c r="QHZ20" s="13"/>
      <c r="QIA20" s="13"/>
      <c r="QIB20" s="13"/>
      <c r="QIC20" s="13"/>
      <c r="QID20" s="13"/>
      <c r="QIE20" s="13"/>
      <c r="QIF20" s="13"/>
      <c r="QIG20" s="13"/>
      <c r="QIH20" s="13"/>
      <c r="QII20" s="13"/>
      <c r="QIJ20" s="13"/>
      <c r="QIK20" s="13"/>
      <c r="QIL20" s="13"/>
      <c r="QIM20" s="13"/>
      <c r="QIN20" s="13"/>
      <c r="QIO20" s="13"/>
      <c r="QIP20" s="13"/>
      <c r="QIQ20" s="13"/>
      <c r="QIR20" s="13"/>
      <c r="QIS20" s="13"/>
      <c r="QIT20" s="13"/>
      <c r="QIU20" s="13"/>
      <c r="QIV20" s="13"/>
      <c r="QIW20" s="13"/>
      <c r="QIX20" s="13"/>
      <c r="QIY20" s="13"/>
      <c r="QIZ20" s="13"/>
      <c r="QJA20" s="13"/>
      <c r="QJB20" s="13"/>
      <c r="QJC20" s="13"/>
      <c r="QJD20" s="13"/>
      <c r="QJE20" s="13"/>
      <c r="QJF20" s="13"/>
      <c r="QJG20" s="13"/>
      <c r="QJH20" s="13"/>
      <c r="QJI20" s="13"/>
      <c r="QJJ20" s="13"/>
      <c r="QJK20" s="13"/>
      <c r="QJL20" s="13"/>
      <c r="QJM20" s="13"/>
      <c r="QJN20" s="13"/>
      <c r="QJO20" s="13"/>
      <c r="QJP20" s="13"/>
      <c r="QJQ20" s="13"/>
      <c r="QJR20" s="13"/>
      <c r="QJS20" s="13"/>
      <c r="QJT20" s="13"/>
      <c r="QJU20" s="13"/>
      <c r="QJV20" s="13"/>
      <c r="QJW20" s="13"/>
      <c r="QJX20" s="13"/>
      <c r="QJY20" s="13"/>
      <c r="QJZ20" s="13"/>
      <c r="QKA20" s="13"/>
      <c r="QKB20" s="13"/>
      <c r="QKC20" s="13"/>
      <c r="QKD20" s="13"/>
      <c r="QKE20" s="13"/>
      <c r="QKF20" s="13"/>
      <c r="QKG20" s="13"/>
      <c r="QKH20" s="13"/>
      <c r="QKI20" s="13"/>
      <c r="QKJ20" s="13"/>
      <c r="QKK20" s="13"/>
      <c r="QKL20" s="13"/>
      <c r="QKM20" s="13"/>
      <c r="QKN20" s="13"/>
      <c r="QKO20" s="13"/>
      <c r="QKP20" s="13"/>
      <c r="QKQ20" s="13"/>
      <c r="QKR20" s="13"/>
      <c r="QKS20" s="13"/>
      <c r="QKT20" s="13"/>
      <c r="QKU20" s="13"/>
      <c r="QKV20" s="13"/>
      <c r="QKW20" s="13"/>
      <c r="QKX20" s="13"/>
      <c r="QKY20" s="13"/>
      <c r="QKZ20" s="13"/>
      <c r="QLA20" s="13"/>
      <c r="QLB20" s="13"/>
      <c r="QLC20" s="13"/>
      <c r="QLD20" s="13"/>
      <c r="QLE20" s="13"/>
      <c r="QLF20" s="13"/>
      <c r="QLG20" s="13"/>
      <c r="QLH20" s="13"/>
      <c r="QLI20" s="13"/>
      <c r="QLJ20" s="13"/>
      <c r="QLK20" s="13"/>
      <c r="QLL20" s="13"/>
      <c r="QLM20" s="13"/>
      <c r="QLN20" s="13"/>
      <c r="QLO20" s="13"/>
      <c r="QLP20" s="13"/>
      <c r="QLQ20" s="13"/>
      <c r="QLR20" s="13"/>
      <c r="QLS20" s="13"/>
      <c r="QLT20" s="13"/>
      <c r="QLU20" s="13"/>
      <c r="QLV20" s="13"/>
      <c r="QLW20" s="13"/>
      <c r="QLX20" s="13"/>
      <c r="QLY20" s="13"/>
      <c r="QLZ20" s="13"/>
      <c r="QMA20" s="13"/>
      <c r="QMB20" s="13"/>
      <c r="QMC20" s="13"/>
      <c r="QMD20" s="13"/>
      <c r="QME20" s="13"/>
      <c r="QMF20" s="13"/>
      <c r="QMG20" s="13"/>
      <c r="QMH20" s="13"/>
      <c r="QMI20" s="13"/>
      <c r="QMJ20" s="13"/>
      <c r="QMK20" s="13"/>
      <c r="QML20" s="13"/>
      <c r="QMM20" s="13"/>
      <c r="QMN20" s="13"/>
      <c r="QMO20" s="13"/>
      <c r="QMP20" s="13"/>
      <c r="QMQ20" s="13"/>
      <c r="QMR20" s="13"/>
      <c r="QMS20" s="13"/>
      <c r="QMT20" s="13"/>
      <c r="QMU20" s="13"/>
      <c r="QMV20" s="13"/>
      <c r="QMW20" s="13"/>
      <c r="QMX20" s="13"/>
      <c r="QMY20" s="13"/>
      <c r="QMZ20" s="13"/>
      <c r="QNA20" s="13"/>
      <c r="QNB20" s="13"/>
      <c r="QNC20" s="13"/>
      <c r="QND20" s="13"/>
      <c r="QNE20" s="13"/>
      <c r="QNF20" s="13"/>
      <c r="QNG20" s="13"/>
      <c r="QNH20" s="13"/>
      <c r="QNI20" s="13"/>
      <c r="QNJ20" s="13"/>
      <c r="QNK20" s="13"/>
      <c r="QNL20" s="13"/>
      <c r="QNM20" s="13"/>
      <c r="QNN20" s="13"/>
      <c r="QNO20" s="13"/>
      <c r="QNP20" s="13"/>
      <c r="QNQ20" s="13"/>
      <c r="QNR20" s="13"/>
      <c r="QNS20" s="13"/>
      <c r="QNT20" s="13"/>
      <c r="QNU20" s="13"/>
      <c r="QNV20" s="13"/>
      <c r="QNW20" s="13"/>
      <c r="QNX20" s="13"/>
      <c r="QNY20" s="13"/>
      <c r="QNZ20" s="13"/>
      <c r="QOA20" s="13"/>
      <c r="QOB20" s="13"/>
      <c r="QOC20" s="13"/>
      <c r="QOD20" s="13"/>
      <c r="QOE20" s="13"/>
      <c r="QOF20" s="13"/>
      <c r="QOG20" s="13"/>
      <c r="QOH20" s="13"/>
      <c r="QOI20" s="13"/>
      <c r="QOJ20" s="13"/>
      <c r="QOK20" s="13"/>
      <c r="QOL20" s="13"/>
      <c r="QOM20" s="13"/>
      <c r="QON20" s="13"/>
      <c r="QOO20" s="13"/>
      <c r="QOP20" s="13"/>
      <c r="QOQ20" s="13"/>
      <c r="QOR20" s="13"/>
      <c r="QOS20" s="13"/>
      <c r="QOT20" s="13"/>
      <c r="QOU20" s="13"/>
      <c r="QOV20" s="13"/>
      <c r="QOW20" s="13"/>
      <c r="QOX20" s="13"/>
      <c r="QOY20" s="13"/>
      <c r="QOZ20" s="13"/>
      <c r="QPA20" s="13"/>
      <c r="QPB20" s="13"/>
      <c r="QPC20" s="13"/>
      <c r="QPD20" s="13"/>
      <c r="QPE20" s="13"/>
      <c r="QPF20" s="13"/>
      <c r="QPG20" s="13"/>
      <c r="QPH20" s="13"/>
      <c r="QPI20" s="13"/>
      <c r="QPJ20" s="13"/>
      <c r="QPK20" s="13"/>
      <c r="QPL20" s="13"/>
      <c r="QPM20" s="13"/>
      <c r="QPN20" s="13"/>
      <c r="QPO20" s="13"/>
      <c r="QPP20" s="13"/>
      <c r="QPQ20" s="13"/>
      <c r="QPR20" s="13"/>
      <c r="QPS20" s="13"/>
      <c r="QPT20" s="13"/>
      <c r="QPU20" s="13"/>
      <c r="QPV20" s="13"/>
      <c r="QPW20" s="13"/>
      <c r="QPX20" s="13"/>
      <c r="QPY20" s="13"/>
      <c r="QPZ20" s="13"/>
      <c r="QQA20" s="13"/>
      <c r="QQB20" s="13"/>
      <c r="QQC20" s="13"/>
      <c r="QQD20" s="13"/>
      <c r="QQE20" s="13"/>
      <c r="QQF20" s="13"/>
      <c r="QQG20" s="13"/>
      <c r="QQH20" s="13"/>
      <c r="QQI20" s="13"/>
      <c r="QQJ20" s="13"/>
      <c r="QQK20" s="13"/>
      <c r="QQL20" s="13"/>
      <c r="QQM20" s="13"/>
      <c r="QQN20" s="13"/>
      <c r="QQO20" s="13"/>
      <c r="QQP20" s="13"/>
      <c r="QQQ20" s="13"/>
      <c r="QQR20" s="13"/>
      <c r="QQS20" s="13"/>
      <c r="QQT20" s="13"/>
      <c r="QQU20" s="13"/>
      <c r="QQV20" s="13"/>
      <c r="QQW20" s="13"/>
      <c r="QQX20" s="13"/>
      <c r="QQY20" s="13"/>
      <c r="QQZ20" s="13"/>
      <c r="QRA20" s="13"/>
      <c r="QRB20" s="13"/>
      <c r="QRC20" s="13"/>
      <c r="QRD20" s="13"/>
      <c r="QRE20" s="13"/>
      <c r="QRF20" s="13"/>
      <c r="QRG20" s="13"/>
      <c r="QRH20" s="13"/>
      <c r="QRI20" s="13"/>
      <c r="QRJ20" s="13"/>
      <c r="QRK20" s="13"/>
      <c r="QRL20" s="13"/>
      <c r="QRM20" s="13"/>
      <c r="QRN20" s="13"/>
      <c r="QRO20" s="13"/>
      <c r="QRP20" s="13"/>
      <c r="QRQ20" s="13"/>
      <c r="QRR20" s="13"/>
      <c r="QRS20" s="13"/>
      <c r="QRT20" s="13"/>
      <c r="QRU20" s="13"/>
      <c r="QRV20" s="13"/>
      <c r="QRW20" s="13"/>
      <c r="QRX20" s="13"/>
      <c r="QRY20" s="13"/>
      <c r="QRZ20" s="13"/>
      <c r="QSA20" s="13"/>
      <c r="QSB20" s="13"/>
      <c r="QSC20" s="13"/>
      <c r="QSD20" s="13"/>
      <c r="QSE20" s="13"/>
      <c r="QSF20" s="13"/>
      <c r="QSG20" s="13"/>
      <c r="QSH20" s="13"/>
      <c r="QSI20" s="13"/>
      <c r="QSJ20" s="13"/>
      <c r="QSK20" s="13"/>
      <c r="QSL20" s="13"/>
      <c r="QSM20" s="13"/>
      <c r="QSN20" s="13"/>
      <c r="QSO20" s="13"/>
      <c r="QSP20" s="13"/>
      <c r="QSQ20" s="13"/>
      <c r="QSR20" s="13"/>
      <c r="QSS20" s="13"/>
      <c r="QST20" s="13"/>
      <c r="QSU20" s="13"/>
      <c r="QSV20" s="13"/>
      <c r="QSW20" s="13"/>
      <c r="QSX20" s="13"/>
      <c r="QSY20" s="13"/>
      <c r="QSZ20" s="13"/>
      <c r="QTA20" s="13"/>
      <c r="QTB20" s="13"/>
      <c r="QTC20" s="13"/>
      <c r="QTD20" s="13"/>
      <c r="QTE20" s="13"/>
      <c r="QTF20" s="13"/>
      <c r="QTG20" s="13"/>
      <c r="QTH20" s="13"/>
      <c r="QTI20" s="13"/>
      <c r="QTJ20" s="13"/>
      <c r="QTK20" s="13"/>
      <c r="QTL20" s="13"/>
      <c r="QTM20" s="13"/>
      <c r="QTN20" s="13"/>
      <c r="QTO20" s="13"/>
      <c r="QTP20" s="13"/>
      <c r="QTQ20" s="13"/>
      <c r="QTR20" s="13"/>
      <c r="QTS20" s="13"/>
      <c r="QTT20" s="13"/>
      <c r="QTU20" s="13"/>
      <c r="QTV20" s="13"/>
      <c r="QTW20" s="13"/>
      <c r="QTX20" s="13"/>
      <c r="QTY20" s="13"/>
      <c r="QTZ20" s="13"/>
      <c r="QUA20" s="13"/>
      <c r="QUB20" s="13"/>
      <c r="QUC20" s="13"/>
      <c r="QUD20" s="13"/>
      <c r="QUE20" s="13"/>
      <c r="QUF20" s="13"/>
      <c r="QUG20" s="13"/>
      <c r="QUH20" s="13"/>
      <c r="QUI20" s="13"/>
      <c r="QUJ20" s="13"/>
      <c r="QUK20" s="13"/>
      <c r="QUL20" s="13"/>
      <c r="QUM20" s="13"/>
      <c r="QUN20" s="13"/>
      <c r="QUO20" s="13"/>
      <c r="QUP20" s="13"/>
      <c r="QUQ20" s="13"/>
      <c r="QUR20" s="13"/>
      <c r="QUS20" s="13"/>
      <c r="QUT20" s="13"/>
      <c r="QUU20" s="13"/>
      <c r="QUV20" s="13"/>
      <c r="QUW20" s="13"/>
      <c r="QUX20" s="13"/>
      <c r="QUY20" s="13"/>
      <c r="QUZ20" s="13"/>
      <c r="QVA20" s="13"/>
      <c r="QVB20" s="13"/>
      <c r="QVC20" s="13"/>
      <c r="QVD20" s="13"/>
      <c r="QVE20" s="13"/>
      <c r="QVF20" s="13"/>
      <c r="QVG20" s="13"/>
      <c r="QVH20" s="13"/>
      <c r="QVI20" s="13"/>
      <c r="QVJ20" s="13"/>
      <c r="QVK20" s="13"/>
      <c r="QVL20" s="13"/>
      <c r="QVM20" s="13"/>
      <c r="QVN20" s="13"/>
      <c r="QVO20" s="13"/>
      <c r="QVP20" s="13"/>
      <c r="QVQ20" s="13"/>
      <c r="QVR20" s="13"/>
      <c r="QVS20" s="13"/>
      <c r="QVT20" s="13"/>
      <c r="QVU20" s="13"/>
      <c r="QVV20" s="13"/>
      <c r="QVW20" s="13"/>
      <c r="QVX20" s="13"/>
      <c r="QVY20" s="13"/>
      <c r="QVZ20" s="13"/>
      <c r="QWA20" s="13"/>
      <c r="QWB20" s="13"/>
      <c r="QWC20" s="13"/>
      <c r="QWD20" s="13"/>
      <c r="QWE20" s="13"/>
      <c r="QWF20" s="13"/>
      <c r="QWG20" s="13"/>
      <c r="QWH20" s="13"/>
      <c r="QWI20" s="13"/>
      <c r="QWJ20" s="13"/>
      <c r="QWK20" s="13"/>
      <c r="QWL20" s="13"/>
      <c r="QWM20" s="13"/>
      <c r="QWN20" s="13"/>
      <c r="QWO20" s="13"/>
      <c r="QWP20" s="13"/>
      <c r="QWQ20" s="13"/>
      <c r="QWR20" s="13"/>
      <c r="QWS20" s="13"/>
      <c r="QWT20" s="13"/>
      <c r="QWU20" s="13"/>
      <c r="QWV20" s="13"/>
      <c r="QWW20" s="13"/>
      <c r="QWX20" s="13"/>
      <c r="QWY20" s="13"/>
      <c r="QWZ20" s="13"/>
      <c r="QXA20" s="13"/>
      <c r="QXB20" s="13"/>
      <c r="QXC20" s="13"/>
      <c r="QXD20" s="13"/>
      <c r="QXE20" s="13"/>
      <c r="QXF20" s="13"/>
      <c r="QXG20" s="13"/>
      <c r="QXH20" s="13"/>
      <c r="QXI20" s="13"/>
      <c r="QXJ20" s="13"/>
      <c r="QXK20" s="13"/>
      <c r="QXL20" s="13"/>
      <c r="QXM20" s="13"/>
      <c r="QXN20" s="13"/>
      <c r="QXO20" s="13"/>
      <c r="QXP20" s="13"/>
      <c r="QXQ20" s="13"/>
      <c r="QXR20" s="13"/>
      <c r="QXS20" s="13"/>
      <c r="QXT20" s="13"/>
      <c r="QXU20" s="13"/>
      <c r="QXV20" s="13"/>
      <c r="QXW20" s="13"/>
      <c r="QXX20" s="13"/>
      <c r="QXY20" s="13"/>
      <c r="QXZ20" s="13"/>
      <c r="QYA20" s="13"/>
      <c r="QYB20" s="13"/>
      <c r="QYC20" s="13"/>
      <c r="QYD20" s="13"/>
      <c r="QYE20" s="13"/>
      <c r="QYF20" s="13"/>
      <c r="QYG20" s="13"/>
      <c r="QYH20" s="13"/>
      <c r="QYI20" s="13"/>
      <c r="QYJ20" s="13"/>
      <c r="QYK20" s="13"/>
      <c r="QYL20" s="13"/>
      <c r="QYM20" s="13"/>
      <c r="QYN20" s="13"/>
      <c r="QYO20" s="13"/>
      <c r="QYP20" s="13"/>
      <c r="QYQ20" s="13"/>
      <c r="QYR20" s="13"/>
      <c r="QYS20" s="13"/>
      <c r="QYT20" s="13"/>
      <c r="QYU20" s="13"/>
      <c r="QYV20" s="13"/>
      <c r="QYW20" s="13"/>
      <c r="QYX20" s="13"/>
      <c r="QYY20" s="13"/>
      <c r="QYZ20" s="13"/>
      <c r="QZA20" s="13"/>
      <c r="QZB20" s="13"/>
      <c r="QZC20" s="13"/>
      <c r="QZD20" s="13"/>
      <c r="QZE20" s="13"/>
      <c r="QZF20" s="13"/>
      <c r="QZG20" s="13"/>
      <c r="QZH20" s="13"/>
      <c r="QZI20" s="13"/>
      <c r="QZJ20" s="13"/>
      <c r="QZK20" s="13"/>
      <c r="QZL20" s="13"/>
      <c r="QZM20" s="13"/>
      <c r="QZN20" s="13"/>
      <c r="QZO20" s="13"/>
      <c r="QZP20" s="13"/>
      <c r="QZQ20" s="13"/>
      <c r="QZR20" s="13"/>
      <c r="QZS20" s="13"/>
      <c r="QZT20" s="13"/>
      <c r="QZU20" s="13"/>
      <c r="QZV20" s="13"/>
      <c r="QZW20" s="13"/>
      <c r="QZX20" s="13"/>
      <c r="QZY20" s="13"/>
      <c r="QZZ20" s="13"/>
      <c r="RAA20" s="13"/>
      <c r="RAB20" s="13"/>
      <c r="RAC20" s="13"/>
      <c r="RAD20" s="13"/>
      <c r="RAE20" s="13"/>
      <c r="RAF20" s="13"/>
      <c r="RAG20" s="13"/>
      <c r="RAH20" s="13"/>
      <c r="RAI20" s="13"/>
      <c r="RAJ20" s="13"/>
      <c r="RAK20" s="13"/>
      <c r="RAL20" s="13"/>
      <c r="RAM20" s="13"/>
      <c r="RAN20" s="13"/>
      <c r="RAO20" s="13"/>
      <c r="RAP20" s="13"/>
      <c r="RAQ20" s="13"/>
      <c r="RAR20" s="13"/>
      <c r="RAS20" s="13"/>
      <c r="RAT20" s="13"/>
      <c r="RAU20" s="13"/>
      <c r="RAV20" s="13"/>
      <c r="RAW20" s="13"/>
      <c r="RAX20" s="13"/>
      <c r="RAY20" s="13"/>
      <c r="RAZ20" s="13"/>
      <c r="RBA20" s="13"/>
      <c r="RBB20" s="13"/>
      <c r="RBC20" s="13"/>
      <c r="RBD20" s="13"/>
      <c r="RBE20" s="13"/>
      <c r="RBF20" s="13"/>
      <c r="RBG20" s="13"/>
      <c r="RBH20" s="13"/>
      <c r="RBI20" s="13"/>
      <c r="RBJ20" s="13"/>
      <c r="RBK20" s="13"/>
      <c r="RBL20" s="13"/>
      <c r="RBM20" s="13"/>
      <c r="RBN20" s="13"/>
      <c r="RBO20" s="13"/>
      <c r="RBP20" s="13"/>
      <c r="RBQ20" s="13"/>
      <c r="RBR20" s="13"/>
      <c r="RBS20" s="13"/>
      <c r="RBT20" s="13"/>
      <c r="RBU20" s="13"/>
      <c r="RBV20" s="13"/>
      <c r="RBW20" s="13"/>
      <c r="RBX20" s="13"/>
      <c r="RBY20" s="13"/>
      <c r="RBZ20" s="13"/>
      <c r="RCA20" s="13"/>
      <c r="RCB20" s="13"/>
      <c r="RCC20" s="13"/>
      <c r="RCD20" s="13"/>
      <c r="RCE20" s="13"/>
      <c r="RCF20" s="13"/>
      <c r="RCG20" s="13"/>
      <c r="RCH20" s="13"/>
      <c r="RCI20" s="13"/>
      <c r="RCJ20" s="13"/>
      <c r="RCK20" s="13"/>
      <c r="RCL20" s="13"/>
      <c r="RCM20" s="13"/>
      <c r="RCN20" s="13"/>
      <c r="RCO20" s="13"/>
      <c r="RCP20" s="13"/>
      <c r="RCQ20" s="13"/>
      <c r="RCR20" s="13"/>
      <c r="RCS20" s="13"/>
      <c r="RCT20" s="13"/>
      <c r="RCU20" s="13"/>
      <c r="RCV20" s="13"/>
      <c r="RCW20" s="13"/>
      <c r="RCX20" s="13"/>
      <c r="RCY20" s="13"/>
      <c r="RCZ20" s="13"/>
      <c r="RDA20" s="13"/>
      <c r="RDB20" s="13"/>
      <c r="RDC20" s="13"/>
      <c r="RDD20" s="13"/>
      <c r="RDE20" s="13"/>
      <c r="RDF20" s="13"/>
      <c r="RDG20" s="13"/>
      <c r="RDH20" s="13"/>
      <c r="RDI20" s="13"/>
      <c r="RDJ20" s="13"/>
      <c r="RDK20" s="13"/>
      <c r="RDL20" s="13"/>
      <c r="RDM20" s="13"/>
      <c r="RDN20" s="13"/>
      <c r="RDO20" s="13"/>
      <c r="RDP20" s="13"/>
      <c r="RDQ20" s="13"/>
      <c r="RDR20" s="13"/>
      <c r="RDS20" s="13"/>
      <c r="RDT20" s="13"/>
      <c r="RDU20" s="13"/>
      <c r="RDV20" s="13"/>
      <c r="RDW20" s="13"/>
      <c r="RDX20" s="13"/>
      <c r="RDY20" s="13"/>
      <c r="RDZ20" s="13"/>
      <c r="REA20" s="13"/>
      <c r="REB20" s="13"/>
      <c r="REC20" s="13"/>
      <c r="RED20" s="13"/>
      <c r="REE20" s="13"/>
      <c r="REF20" s="13"/>
      <c r="REG20" s="13"/>
      <c r="REH20" s="13"/>
      <c r="REI20" s="13"/>
      <c r="REJ20" s="13"/>
      <c r="REK20" s="13"/>
      <c r="REL20" s="13"/>
      <c r="REM20" s="13"/>
      <c r="REN20" s="13"/>
      <c r="REO20" s="13"/>
      <c r="REP20" s="13"/>
      <c r="REQ20" s="13"/>
      <c r="RER20" s="13"/>
      <c r="RES20" s="13"/>
      <c r="RET20" s="13"/>
      <c r="REU20" s="13"/>
      <c r="REV20" s="13"/>
      <c r="REW20" s="13"/>
      <c r="REX20" s="13"/>
      <c r="REY20" s="13"/>
      <c r="REZ20" s="13"/>
      <c r="RFA20" s="13"/>
      <c r="RFB20" s="13"/>
      <c r="RFC20" s="13"/>
      <c r="RFD20" s="13"/>
      <c r="RFE20" s="13"/>
      <c r="RFF20" s="13"/>
      <c r="RFG20" s="13"/>
      <c r="RFH20" s="13"/>
      <c r="RFI20" s="13"/>
      <c r="RFJ20" s="13"/>
      <c r="RFK20" s="13"/>
      <c r="RFL20" s="13"/>
      <c r="RFM20" s="13"/>
      <c r="RFN20" s="13"/>
      <c r="RFO20" s="13"/>
      <c r="RFP20" s="13"/>
      <c r="RFQ20" s="13"/>
      <c r="RFR20" s="13"/>
      <c r="RFS20" s="13"/>
      <c r="RFT20" s="13"/>
      <c r="RFU20" s="13"/>
      <c r="RFV20" s="13"/>
      <c r="RFW20" s="13"/>
      <c r="RFX20" s="13"/>
      <c r="RFY20" s="13"/>
      <c r="RFZ20" s="13"/>
      <c r="RGA20" s="13"/>
      <c r="RGB20" s="13"/>
      <c r="RGC20" s="13"/>
      <c r="RGD20" s="13"/>
      <c r="RGE20" s="13"/>
      <c r="RGF20" s="13"/>
      <c r="RGG20" s="13"/>
      <c r="RGH20" s="13"/>
      <c r="RGI20" s="13"/>
      <c r="RGJ20" s="13"/>
      <c r="RGK20" s="13"/>
      <c r="RGL20" s="13"/>
      <c r="RGM20" s="13"/>
      <c r="RGN20" s="13"/>
      <c r="RGO20" s="13"/>
      <c r="RGP20" s="13"/>
      <c r="RGQ20" s="13"/>
      <c r="RGR20" s="13"/>
      <c r="RGS20" s="13"/>
      <c r="RGT20" s="13"/>
      <c r="RGU20" s="13"/>
      <c r="RGV20" s="13"/>
      <c r="RGW20" s="13"/>
      <c r="RGX20" s="13"/>
      <c r="RGY20" s="13"/>
      <c r="RGZ20" s="13"/>
      <c r="RHA20" s="13"/>
      <c r="RHB20" s="13"/>
      <c r="RHC20" s="13"/>
      <c r="RHD20" s="13"/>
      <c r="RHE20" s="13"/>
      <c r="RHF20" s="13"/>
      <c r="RHG20" s="13"/>
      <c r="RHH20" s="13"/>
      <c r="RHI20" s="13"/>
      <c r="RHJ20" s="13"/>
      <c r="RHK20" s="13"/>
      <c r="RHL20" s="13"/>
      <c r="RHM20" s="13"/>
      <c r="RHN20" s="13"/>
      <c r="RHO20" s="13"/>
      <c r="RHP20" s="13"/>
      <c r="RHQ20" s="13"/>
      <c r="RHR20" s="13"/>
      <c r="RHS20" s="13"/>
      <c r="RHT20" s="13"/>
      <c r="RHU20" s="13"/>
      <c r="RHV20" s="13"/>
      <c r="RHW20" s="13"/>
      <c r="RHX20" s="13"/>
      <c r="RHY20" s="13"/>
      <c r="RHZ20" s="13"/>
      <c r="RIA20" s="13"/>
      <c r="RIB20" s="13"/>
      <c r="RIC20" s="13"/>
      <c r="RID20" s="13"/>
      <c r="RIE20" s="13"/>
      <c r="RIF20" s="13"/>
      <c r="RIG20" s="13"/>
      <c r="RIH20" s="13"/>
      <c r="RII20" s="13"/>
      <c r="RIJ20" s="13"/>
      <c r="RIK20" s="13"/>
      <c r="RIL20" s="13"/>
      <c r="RIM20" s="13"/>
      <c r="RIN20" s="13"/>
      <c r="RIO20" s="13"/>
      <c r="RIP20" s="13"/>
      <c r="RIQ20" s="13"/>
      <c r="RIR20" s="13"/>
      <c r="RIS20" s="13"/>
      <c r="RIT20" s="13"/>
      <c r="RIU20" s="13"/>
      <c r="RIV20" s="13"/>
      <c r="RIW20" s="13"/>
      <c r="RIX20" s="13"/>
      <c r="RIY20" s="13"/>
      <c r="RIZ20" s="13"/>
      <c r="RJA20" s="13"/>
      <c r="RJB20" s="13"/>
      <c r="RJC20" s="13"/>
      <c r="RJD20" s="13"/>
      <c r="RJE20" s="13"/>
      <c r="RJF20" s="13"/>
      <c r="RJG20" s="13"/>
      <c r="RJH20" s="13"/>
      <c r="RJI20" s="13"/>
      <c r="RJJ20" s="13"/>
      <c r="RJK20" s="13"/>
      <c r="RJL20" s="13"/>
      <c r="RJM20" s="13"/>
      <c r="RJN20" s="13"/>
      <c r="RJO20" s="13"/>
      <c r="RJP20" s="13"/>
      <c r="RJQ20" s="13"/>
      <c r="RJR20" s="13"/>
      <c r="RJS20" s="13"/>
      <c r="RJT20" s="13"/>
      <c r="RJU20" s="13"/>
      <c r="RJV20" s="13"/>
      <c r="RJW20" s="13"/>
      <c r="RJX20" s="13"/>
      <c r="RJY20" s="13"/>
      <c r="RJZ20" s="13"/>
      <c r="RKA20" s="13"/>
      <c r="RKB20" s="13"/>
      <c r="RKC20" s="13"/>
      <c r="RKD20" s="13"/>
      <c r="RKE20" s="13"/>
      <c r="RKF20" s="13"/>
      <c r="RKG20" s="13"/>
      <c r="RKH20" s="13"/>
      <c r="RKI20" s="13"/>
      <c r="RKJ20" s="13"/>
      <c r="RKK20" s="13"/>
      <c r="RKL20" s="13"/>
      <c r="RKM20" s="13"/>
      <c r="RKN20" s="13"/>
      <c r="RKO20" s="13"/>
      <c r="RKP20" s="13"/>
      <c r="RKQ20" s="13"/>
      <c r="RKR20" s="13"/>
      <c r="RKS20" s="13"/>
      <c r="RKT20" s="13"/>
      <c r="RKU20" s="13"/>
      <c r="RKV20" s="13"/>
      <c r="RKW20" s="13"/>
      <c r="RKX20" s="13"/>
      <c r="RKY20" s="13"/>
      <c r="RKZ20" s="13"/>
      <c r="RLA20" s="13"/>
      <c r="RLB20" s="13"/>
      <c r="RLC20" s="13"/>
      <c r="RLD20" s="13"/>
      <c r="RLE20" s="13"/>
      <c r="RLF20" s="13"/>
      <c r="RLG20" s="13"/>
      <c r="RLH20" s="13"/>
      <c r="RLI20" s="13"/>
      <c r="RLJ20" s="13"/>
      <c r="RLK20" s="13"/>
      <c r="RLL20" s="13"/>
      <c r="RLM20" s="13"/>
      <c r="RLN20" s="13"/>
      <c r="RLO20" s="13"/>
      <c r="RLP20" s="13"/>
      <c r="RLQ20" s="13"/>
      <c r="RLR20" s="13"/>
      <c r="RLS20" s="13"/>
      <c r="RLT20" s="13"/>
      <c r="RLU20" s="13"/>
      <c r="RLV20" s="13"/>
      <c r="RLW20" s="13"/>
      <c r="RLX20" s="13"/>
      <c r="RLY20" s="13"/>
      <c r="RLZ20" s="13"/>
      <c r="RMA20" s="13"/>
      <c r="RMB20" s="13"/>
      <c r="RMC20" s="13"/>
      <c r="RMD20" s="13"/>
      <c r="RME20" s="13"/>
      <c r="RMF20" s="13"/>
      <c r="RMG20" s="13"/>
      <c r="RMH20" s="13"/>
      <c r="RMI20" s="13"/>
      <c r="RMJ20" s="13"/>
      <c r="RMK20" s="13"/>
      <c r="RML20" s="13"/>
      <c r="RMM20" s="13"/>
      <c r="RMN20" s="13"/>
      <c r="RMO20" s="13"/>
      <c r="RMP20" s="13"/>
      <c r="RMQ20" s="13"/>
      <c r="RMR20" s="13"/>
      <c r="RMS20" s="13"/>
      <c r="RMT20" s="13"/>
      <c r="RMU20" s="13"/>
      <c r="RMV20" s="13"/>
      <c r="RMW20" s="13"/>
      <c r="RMX20" s="13"/>
      <c r="RMY20" s="13"/>
      <c r="RMZ20" s="13"/>
      <c r="RNA20" s="13"/>
      <c r="RNB20" s="13"/>
      <c r="RNC20" s="13"/>
      <c r="RND20" s="13"/>
      <c r="RNE20" s="13"/>
      <c r="RNF20" s="13"/>
      <c r="RNG20" s="13"/>
      <c r="RNH20" s="13"/>
      <c r="RNI20" s="13"/>
      <c r="RNJ20" s="13"/>
      <c r="RNK20" s="13"/>
      <c r="RNL20" s="13"/>
      <c r="RNM20" s="13"/>
      <c r="RNN20" s="13"/>
      <c r="RNO20" s="13"/>
      <c r="RNP20" s="13"/>
      <c r="RNQ20" s="13"/>
      <c r="RNR20" s="13"/>
      <c r="RNS20" s="13"/>
      <c r="RNT20" s="13"/>
      <c r="RNU20" s="13"/>
      <c r="RNV20" s="13"/>
      <c r="RNW20" s="13"/>
      <c r="RNX20" s="13"/>
      <c r="RNY20" s="13"/>
      <c r="RNZ20" s="13"/>
      <c r="ROA20" s="13"/>
      <c r="ROB20" s="13"/>
      <c r="ROC20" s="13"/>
      <c r="ROD20" s="13"/>
      <c r="ROE20" s="13"/>
      <c r="ROF20" s="13"/>
      <c r="ROG20" s="13"/>
      <c r="ROH20" s="13"/>
      <c r="ROI20" s="13"/>
      <c r="ROJ20" s="13"/>
      <c r="ROK20" s="13"/>
      <c r="ROL20" s="13"/>
      <c r="ROM20" s="13"/>
      <c r="RON20" s="13"/>
      <c r="ROO20" s="13"/>
      <c r="ROP20" s="13"/>
      <c r="ROQ20" s="13"/>
      <c r="ROR20" s="13"/>
      <c r="ROS20" s="13"/>
      <c r="ROT20" s="13"/>
      <c r="ROU20" s="13"/>
      <c r="ROV20" s="13"/>
      <c r="ROW20" s="13"/>
      <c r="ROX20" s="13"/>
      <c r="ROY20" s="13"/>
      <c r="ROZ20" s="13"/>
      <c r="RPA20" s="13"/>
      <c r="RPB20" s="13"/>
      <c r="RPC20" s="13"/>
      <c r="RPD20" s="13"/>
      <c r="RPE20" s="13"/>
      <c r="RPF20" s="13"/>
      <c r="RPG20" s="13"/>
      <c r="RPH20" s="13"/>
      <c r="RPI20" s="13"/>
      <c r="RPJ20" s="13"/>
      <c r="RPK20" s="13"/>
      <c r="RPL20" s="13"/>
      <c r="RPM20" s="13"/>
      <c r="RPN20" s="13"/>
      <c r="RPO20" s="13"/>
      <c r="RPP20" s="13"/>
      <c r="RPQ20" s="13"/>
      <c r="RPR20" s="13"/>
      <c r="RPS20" s="13"/>
      <c r="RPT20" s="13"/>
      <c r="RPU20" s="13"/>
      <c r="RPV20" s="13"/>
      <c r="RPW20" s="13"/>
      <c r="RPX20" s="13"/>
      <c r="RPY20" s="13"/>
      <c r="RPZ20" s="13"/>
      <c r="RQA20" s="13"/>
      <c r="RQB20" s="13"/>
      <c r="RQC20" s="13"/>
      <c r="RQD20" s="13"/>
      <c r="RQE20" s="13"/>
      <c r="RQF20" s="13"/>
      <c r="RQG20" s="13"/>
      <c r="RQH20" s="13"/>
      <c r="RQI20" s="13"/>
      <c r="RQJ20" s="13"/>
      <c r="RQK20" s="13"/>
      <c r="RQL20" s="13"/>
      <c r="RQM20" s="13"/>
      <c r="RQN20" s="13"/>
      <c r="RQO20" s="13"/>
      <c r="RQP20" s="13"/>
      <c r="RQQ20" s="13"/>
      <c r="RQR20" s="13"/>
      <c r="RQS20" s="13"/>
      <c r="RQT20" s="13"/>
      <c r="RQU20" s="13"/>
      <c r="RQV20" s="13"/>
      <c r="RQW20" s="13"/>
      <c r="RQX20" s="13"/>
      <c r="RQY20" s="13"/>
      <c r="RQZ20" s="13"/>
      <c r="RRA20" s="13"/>
      <c r="RRB20" s="13"/>
      <c r="RRC20" s="13"/>
      <c r="RRD20" s="13"/>
      <c r="RRE20" s="13"/>
      <c r="RRF20" s="13"/>
      <c r="RRG20" s="13"/>
      <c r="RRH20" s="13"/>
      <c r="RRI20" s="13"/>
      <c r="RRJ20" s="13"/>
      <c r="RRK20" s="13"/>
      <c r="RRL20" s="13"/>
      <c r="RRM20" s="13"/>
      <c r="RRN20" s="13"/>
      <c r="RRO20" s="13"/>
      <c r="RRP20" s="13"/>
      <c r="RRQ20" s="13"/>
      <c r="RRR20" s="13"/>
      <c r="RRS20" s="13"/>
      <c r="RRT20" s="13"/>
      <c r="RRU20" s="13"/>
      <c r="RRV20" s="13"/>
      <c r="RRW20" s="13"/>
      <c r="RRX20" s="13"/>
      <c r="RRY20" s="13"/>
      <c r="RRZ20" s="13"/>
      <c r="RSA20" s="13"/>
      <c r="RSB20" s="13"/>
      <c r="RSC20" s="13"/>
      <c r="RSD20" s="13"/>
      <c r="RSE20" s="13"/>
      <c r="RSF20" s="13"/>
      <c r="RSG20" s="13"/>
      <c r="RSH20" s="13"/>
      <c r="RSI20" s="13"/>
      <c r="RSJ20" s="13"/>
      <c r="RSK20" s="13"/>
      <c r="RSL20" s="13"/>
      <c r="RSM20" s="13"/>
      <c r="RSN20" s="13"/>
      <c r="RSO20" s="13"/>
      <c r="RSP20" s="13"/>
      <c r="RSQ20" s="13"/>
      <c r="RSR20" s="13"/>
      <c r="RSS20" s="13"/>
      <c r="RST20" s="13"/>
      <c r="RSU20" s="13"/>
      <c r="RSV20" s="13"/>
      <c r="RSW20" s="13"/>
      <c r="RSX20" s="13"/>
      <c r="RSY20" s="13"/>
      <c r="RSZ20" s="13"/>
      <c r="RTA20" s="13"/>
      <c r="RTB20" s="13"/>
      <c r="RTC20" s="13"/>
      <c r="RTD20" s="13"/>
      <c r="RTE20" s="13"/>
      <c r="RTF20" s="13"/>
      <c r="RTG20" s="13"/>
      <c r="RTH20" s="13"/>
      <c r="RTI20" s="13"/>
      <c r="RTJ20" s="13"/>
      <c r="RTK20" s="13"/>
      <c r="RTL20" s="13"/>
      <c r="RTM20" s="13"/>
      <c r="RTN20" s="13"/>
      <c r="RTO20" s="13"/>
      <c r="RTP20" s="13"/>
      <c r="RTQ20" s="13"/>
      <c r="RTR20" s="13"/>
      <c r="RTS20" s="13"/>
      <c r="RTT20" s="13"/>
      <c r="RTU20" s="13"/>
      <c r="RTV20" s="13"/>
      <c r="RTW20" s="13"/>
      <c r="RTX20" s="13"/>
      <c r="RTY20" s="13"/>
      <c r="RTZ20" s="13"/>
      <c r="RUA20" s="13"/>
      <c r="RUB20" s="13"/>
      <c r="RUC20" s="13"/>
      <c r="RUD20" s="13"/>
      <c r="RUE20" s="13"/>
      <c r="RUF20" s="13"/>
      <c r="RUG20" s="13"/>
      <c r="RUH20" s="13"/>
      <c r="RUI20" s="13"/>
      <c r="RUJ20" s="13"/>
      <c r="RUK20" s="13"/>
      <c r="RUL20" s="13"/>
      <c r="RUM20" s="13"/>
      <c r="RUN20" s="13"/>
      <c r="RUO20" s="13"/>
      <c r="RUP20" s="13"/>
      <c r="RUQ20" s="13"/>
      <c r="RUR20" s="13"/>
      <c r="RUS20" s="13"/>
      <c r="RUT20" s="13"/>
      <c r="RUU20" s="13"/>
      <c r="RUV20" s="13"/>
      <c r="RUW20" s="13"/>
      <c r="RUX20" s="13"/>
      <c r="RUY20" s="13"/>
      <c r="RUZ20" s="13"/>
      <c r="RVA20" s="13"/>
      <c r="RVB20" s="13"/>
      <c r="RVC20" s="13"/>
      <c r="RVD20" s="13"/>
      <c r="RVE20" s="13"/>
      <c r="RVF20" s="13"/>
      <c r="RVG20" s="13"/>
      <c r="RVH20" s="13"/>
      <c r="RVI20" s="13"/>
      <c r="RVJ20" s="13"/>
      <c r="RVK20" s="13"/>
      <c r="RVL20" s="13"/>
      <c r="RVM20" s="13"/>
      <c r="RVN20" s="13"/>
      <c r="RVO20" s="13"/>
      <c r="RVP20" s="13"/>
      <c r="RVQ20" s="13"/>
      <c r="RVR20" s="13"/>
      <c r="RVS20" s="13"/>
      <c r="RVT20" s="13"/>
      <c r="RVU20" s="13"/>
      <c r="RVV20" s="13"/>
      <c r="RVW20" s="13"/>
      <c r="RVX20" s="13"/>
      <c r="RVY20" s="13"/>
      <c r="RVZ20" s="13"/>
      <c r="RWA20" s="13"/>
      <c r="RWB20" s="13"/>
      <c r="RWC20" s="13"/>
      <c r="RWD20" s="13"/>
      <c r="RWE20" s="13"/>
      <c r="RWF20" s="13"/>
      <c r="RWG20" s="13"/>
      <c r="RWH20" s="13"/>
      <c r="RWI20" s="13"/>
      <c r="RWJ20" s="13"/>
      <c r="RWK20" s="13"/>
      <c r="RWL20" s="13"/>
      <c r="RWM20" s="13"/>
      <c r="RWN20" s="13"/>
      <c r="RWO20" s="13"/>
      <c r="RWP20" s="13"/>
      <c r="RWQ20" s="13"/>
      <c r="RWR20" s="13"/>
      <c r="RWS20" s="13"/>
      <c r="RWT20" s="13"/>
      <c r="RWU20" s="13"/>
      <c r="RWV20" s="13"/>
      <c r="RWW20" s="13"/>
      <c r="RWX20" s="13"/>
      <c r="RWY20" s="13"/>
      <c r="RWZ20" s="13"/>
      <c r="RXA20" s="13"/>
      <c r="RXB20" s="13"/>
      <c r="RXC20" s="13"/>
      <c r="RXD20" s="13"/>
      <c r="RXE20" s="13"/>
      <c r="RXF20" s="13"/>
      <c r="RXG20" s="13"/>
      <c r="RXH20" s="13"/>
      <c r="RXI20" s="13"/>
      <c r="RXJ20" s="13"/>
      <c r="RXK20" s="13"/>
      <c r="RXL20" s="13"/>
      <c r="RXM20" s="13"/>
      <c r="RXN20" s="13"/>
      <c r="RXO20" s="13"/>
      <c r="RXP20" s="13"/>
      <c r="RXQ20" s="13"/>
      <c r="RXR20" s="13"/>
      <c r="RXS20" s="13"/>
      <c r="RXT20" s="13"/>
      <c r="RXU20" s="13"/>
      <c r="RXV20" s="13"/>
      <c r="RXW20" s="13"/>
      <c r="RXX20" s="13"/>
      <c r="RXY20" s="13"/>
      <c r="RXZ20" s="13"/>
      <c r="RYA20" s="13"/>
      <c r="RYB20" s="13"/>
      <c r="RYC20" s="13"/>
      <c r="RYD20" s="13"/>
      <c r="RYE20" s="13"/>
      <c r="RYF20" s="13"/>
      <c r="RYG20" s="13"/>
      <c r="RYH20" s="13"/>
      <c r="RYI20" s="13"/>
      <c r="RYJ20" s="13"/>
      <c r="RYK20" s="13"/>
      <c r="RYL20" s="13"/>
      <c r="RYM20" s="13"/>
      <c r="RYN20" s="13"/>
      <c r="RYO20" s="13"/>
      <c r="RYP20" s="13"/>
      <c r="RYQ20" s="13"/>
      <c r="RYR20" s="13"/>
      <c r="RYS20" s="13"/>
      <c r="RYT20" s="13"/>
      <c r="RYU20" s="13"/>
      <c r="RYV20" s="13"/>
      <c r="RYW20" s="13"/>
      <c r="RYX20" s="13"/>
      <c r="RYY20" s="13"/>
      <c r="RYZ20" s="13"/>
      <c r="RZA20" s="13"/>
      <c r="RZB20" s="13"/>
      <c r="RZC20" s="13"/>
      <c r="RZD20" s="13"/>
      <c r="RZE20" s="13"/>
      <c r="RZF20" s="13"/>
      <c r="RZG20" s="13"/>
      <c r="RZH20" s="13"/>
      <c r="RZI20" s="13"/>
      <c r="RZJ20" s="13"/>
      <c r="RZK20" s="13"/>
      <c r="RZL20" s="13"/>
      <c r="RZM20" s="13"/>
      <c r="RZN20" s="13"/>
      <c r="RZO20" s="13"/>
      <c r="RZP20" s="13"/>
      <c r="RZQ20" s="13"/>
      <c r="RZR20" s="13"/>
      <c r="RZS20" s="13"/>
      <c r="RZT20" s="13"/>
      <c r="RZU20" s="13"/>
      <c r="RZV20" s="13"/>
      <c r="RZW20" s="13"/>
      <c r="RZX20" s="13"/>
      <c r="RZY20" s="13"/>
      <c r="RZZ20" s="13"/>
      <c r="SAA20" s="13"/>
      <c r="SAB20" s="13"/>
      <c r="SAC20" s="13"/>
      <c r="SAD20" s="13"/>
      <c r="SAE20" s="13"/>
      <c r="SAF20" s="13"/>
      <c r="SAG20" s="13"/>
      <c r="SAH20" s="13"/>
      <c r="SAI20" s="13"/>
      <c r="SAJ20" s="13"/>
      <c r="SAK20" s="13"/>
      <c r="SAL20" s="13"/>
      <c r="SAM20" s="13"/>
      <c r="SAN20" s="13"/>
      <c r="SAO20" s="13"/>
      <c r="SAP20" s="13"/>
      <c r="SAQ20" s="13"/>
      <c r="SAR20" s="13"/>
      <c r="SAS20" s="13"/>
      <c r="SAT20" s="13"/>
      <c r="SAU20" s="13"/>
      <c r="SAV20" s="13"/>
      <c r="SAW20" s="13"/>
      <c r="SAX20" s="13"/>
      <c r="SAY20" s="13"/>
      <c r="SAZ20" s="13"/>
      <c r="SBA20" s="13"/>
      <c r="SBB20" s="13"/>
      <c r="SBC20" s="13"/>
      <c r="SBD20" s="13"/>
      <c r="SBE20" s="13"/>
      <c r="SBF20" s="13"/>
      <c r="SBG20" s="13"/>
      <c r="SBH20" s="13"/>
      <c r="SBI20" s="13"/>
      <c r="SBJ20" s="13"/>
      <c r="SBK20" s="13"/>
      <c r="SBL20" s="13"/>
      <c r="SBM20" s="13"/>
      <c r="SBN20" s="13"/>
      <c r="SBO20" s="13"/>
      <c r="SBP20" s="13"/>
      <c r="SBQ20" s="13"/>
      <c r="SBR20" s="13"/>
      <c r="SBS20" s="13"/>
      <c r="SBT20" s="13"/>
      <c r="SBU20" s="13"/>
      <c r="SBV20" s="13"/>
      <c r="SBW20" s="13"/>
      <c r="SBX20" s="13"/>
      <c r="SBY20" s="13"/>
      <c r="SBZ20" s="13"/>
      <c r="SCA20" s="13"/>
      <c r="SCB20" s="13"/>
      <c r="SCC20" s="13"/>
      <c r="SCD20" s="13"/>
      <c r="SCE20" s="13"/>
      <c r="SCF20" s="13"/>
      <c r="SCG20" s="13"/>
      <c r="SCH20" s="13"/>
      <c r="SCI20" s="13"/>
      <c r="SCJ20" s="13"/>
      <c r="SCK20" s="13"/>
      <c r="SCL20" s="13"/>
      <c r="SCM20" s="13"/>
      <c r="SCN20" s="13"/>
      <c r="SCO20" s="13"/>
      <c r="SCP20" s="13"/>
      <c r="SCQ20" s="13"/>
      <c r="SCR20" s="13"/>
      <c r="SCS20" s="13"/>
      <c r="SCT20" s="13"/>
      <c r="SCU20" s="13"/>
      <c r="SCV20" s="13"/>
      <c r="SCW20" s="13"/>
      <c r="SCX20" s="13"/>
      <c r="SCY20" s="13"/>
      <c r="SCZ20" s="13"/>
      <c r="SDA20" s="13"/>
      <c r="SDB20" s="13"/>
      <c r="SDC20" s="13"/>
      <c r="SDD20" s="13"/>
      <c r="SDE20" s="13"/>
      <c r="SDF20" s="13"/>
      <c r="SDG20" s="13"/>
      <c r="SDH20" s="13"/>
      <c r="SDI20" s="13"/>
      <c r="SDJ20" s="13"/>
      <c r="SDK20" s="13"/>
      <c r="SDL20" s="13"/>
      <c r="SDM20" s="13"/>
      <c r="SDN20" s="13"/>
      <c r="SDO20" s="13"/>
      <c r="SDP20" s="13"/>
      <c r="SDQ20" s="13"/>
      <c r="SDR20" s="13"/>
      <c r="SDS20" s="13"/>
      <c r="SDT20" s="13"/>
      <c r="SDU20" s="13"/>
      <c r="SDV20" s="13"/>
      <c r="SDW20" s="13"/>
      <c r="SDX20" s="13"/>
      <c r="SDY20" s="13"/>
      <c r="SDZ20" s="13"/>
      <c r="SEA20" s="13"/>
      <c r="SEB20" s="13"/>
      <c r="SEC20" s="13"/>
      <c r="SED20" s="13"/>
      <c r="SEE20" s="13"/>
      <c r="SEF20" s="13"/>
      <c r="SEG20" s="13"/>
      <c r="SEH20" s="13"/>
      <c r="SEI20" s="13"/>
      <c r="SEJ20" s="13"/>
      <c r="SEK20" s="13"/>
      <c r="SEL20" s="13"/>
      <c r="SEM20" s="13"/>
      <c r="SEN20" s="13"/>
      <c r="SEO20" s="13"/>
      <c r="SEP20" s="13"/>
      <c r="SEQ20" s="13"/>
      <c r="SER20" s="13"/>
      <c r="SES20" s="13"/>
      <c r="SET20" s="13"/>
      <c r="SEU20" s="13"/>
      <c r="SEV20" s="13"/>
      <c r="SEW20" s="13"/>
      <c r="SEX20" s="13"/>
      <c r="SEY20" s="13"/>
      <c r="SEZ20" s="13"/>
      <c r="SFA20" s="13"/>
      <c r="SFB20" s="13"/>
      <c r="SFC20" s="13"/>
      <c r="SFD20" s="13"/>
      <c r="SFE20" s="13"/>
      <c r="SFF20" s="13"/>
      <c r="SFG20" s="13"/>
      <c r="SFH20" s="13"/>
      <c r="SFI20" s="13"/>
      <c r="SFJ20" s="13"/>
      <c r="SFK20" s="13"/>
      <c r="SFL20" s="13"/>
      <c r="SFM20" s="13"/>
      <c r="SFN20" s="13"/>
      <c r="SFO20" s="13"/>
      <c r="SFP20" s="13"/>
      <c r="SFQ20" s="13"/>
      <c r="SFR20" s="13"/>
      <c r="SFS20" s="13"/>
      <c r="SFT20" s="13"/>
      <c r="SFU20" s="13"/>
      <c r="SFV20" s="13"/>
      <c r="SFW20" s="13"/>
      <c r="SFX20" s="13"/>
      <c r="SFY20" s="13"/>
      <c r="SFZ20" s="13"/>
      <c r="SGA20" s="13"/>
      <c r="SGB20" s="13"/>
      <c r="SGC20" s="13"/>
      <c r="SGD20" s="13"/>
      <c r="SGE20" s="13"/>
      <c r="SGF20" s="13"/>
      <c r="SGG20" s="13"/>
      <c r="SGH20" s="13"/>
      <c r="SGI20" s="13"/>
      <c r="SGJ20" s="13"/>
      <c r="SGK20" s="13"/>
      <c r="SGL20" s="13"/>
      <c r="SGM20" s="13"/>
      <c r="SGN20" s="13"/>
      <c r="SGO20" s="13"/>
      <c r="SGP20" s="13"/>
      <c r="SGQ20" s="13"/>
      <c r="SGR20" s="13"/>
      <c r="SGS20" s="13"/>
      <c r="SGT20" s="13"/>
      <c r="SGU20" s="13"/>
      <c r="SGV20" s="13"/>
      <c r="SGW20" s="13"/>
      <c r="SGX20" s="13"/>
      <c r="SGY20" s="13"/>
      <c r="SGZ20" s="13"/>
      <c r="SHA20" s="13"/>
      <c r="SHB20" s="13"/>
      <c r="SHC20" s="13"/>
      <c r="SHD20" s="13"/>
      <c r="SHE20" s="13"/>
      <c r="SHF20" s="13"/>
      <c r="SHG20" s="13"/>
      <c r="SHH20" s="13"/>
      <c r="SHI20" s="13"/>
      <c r="SHJ20" s="13"/>
      <c r="SHK20" s="13"/>
      <c r="SHL20" s="13"/>
      <c r="SHM20" s="13"/>
      <c r="SHN20" s="13"/>
      <c r="SHO20" s="13"/>
      <c r="SHP20" s="13"/>
      <c r="SHQ20" s="13"/>
      <c r="SHR20" s="13"/>
      <c r="SHS20" s="13"/>
      <c r="SHT20" s="13"/>
      <c r="SHU20" s="13"/>
      <c r="SHV20" s="13"/>
      <c r="SHW20" s="13"/>
      <c r="SHX20" s="13"/>
      <c r="SHY20" s="13"/>
      <c r="SHZ20" s="13"/>
      <c r="SIA20" s="13"/>
      <c r="SIB20" s="13"/>
      <c r="SIC20" s="13"/>
      <c r="SID20" s="13"/>
      <c r="SIE20" s="13"/>
      <c r="SIF20" s="13"/>
      <c r="SIG20" s="13"/>
      <c r="SIH20" s="13"/>
      <c r="SII20" s="13"/>
      <c r="SIJ20" s="13"/>
      <c r="SIK20" s="13"/>
      <c r="SIL20" s="13"/>
      <c r="SIM20" s="13"/>
      <c r="SIN20" s="13"/>
      <c r="SIO20" s="13"/>
      <c r="SIP20" s="13"/>
      <c r="SIQ20" s="13"/>
      <c r="SIR20" s="13"/>
      <c r="SIS20" s="13"/>
      <c r="SIT20" s="13"/>
      <c r="SIU20" s="13"/>
      <c r="SIV20" s="13"/>
      <c r="SIW20" s="13"/>
      <c r="SIX20" s="13"/>
      <c r="SIY20" s="13"/>
      <c r="SIZ20" s="13"/>
      <c r="SJA20" s="13"/>
      <c r="SJB20" s="13"/>
      <c r="SJC20" s="13"/>
      <c r="SJD20" s="13"/>
      <c r="SJE20" s="13"/>
      <c r="SJF20" s="13"/>
      <c r="SJG20" s="13"/>
      <c r="SJH20" s="13"/>
      <c r="SJI20" s="13"/>
      <c r="SJJ20" s="13"/>
      <c r="SJK20" s="13"/>
      <c r="SJL20" s="13"/>
      <c r="SJM20" s="13"/>
      <c r="SJN20" s="13"/>
      <c r="SJO20" s="13"/>
      <c r="SJP20" s="13"/>
      <c r="SJQ20" s="13"/>
      <c r="SJR20" s="13"/>
      <c r="SJS20" s="13"/>
      <c r="SJT20" s="13"/>
      <c r="SJU20" s="13"/>
      <c r="SJV20" s="13"/>
      <c r="SJW20" s="13"/>
      <c r="SJX20" s="13"/>
      <c r="SJY20" s="13"/>
      <c r="SJZ20" s="13"/>
      <c r="SKA20" s="13"/>
      <c r="SKB20" s="13"/>
      <c r="SKC20" s="13"/>
      <c r="SKD20" s="13"/>
      <c r="SKE20" s="13"/>
      <c r="SKF20" s="13"/>
      <c r="SKG20" s="13"/>
      <c r="SKH20" s="13"/>
      <c r="SKI20" s="13"/>
      <c r="SKJ20" s="13"/>
      <c r="SKK20" s="13"/>
      <c r="SKL20" s="13"/>
      <c r="SKM20" s="13"/>
      <c r="SKN20" s="13"/>
      <c r="SKO20" s="13"/>
      <c r="SKP20" s="13"/>
      <c r="SKQ20" s="13"/>
      <c r="SKR20" s="13"/>
      <c r="SKS20" s="13"/>
      <c r="SKT20" s="13"/>
      <c r="SKU20" s="13"/>
      <c r="SKV20" s="13"/>
      <c r="SKW20" s="13"/>
      <c r="SKX20" s="13"/>
      <c r="SKY20" s="13"/>
      <c r="SKZ20" s="13"/>
      <c r="SLA20" s="13"/>
      <c r="SLB20" s="13"/>
      <c r="SLC20" s="13"/>
      <c r="SLD20" s="13"/>
      <c r="SLE20" s="13"/>
      <c r="SLF20" s="13"/>
      <c r="SLG20" s="13"/>
      <c r="SLH20" s="13"/>
      <c r="SLI20" s="13"/>
      <c r="SLJ20" s="13"/>
      <c r="SLK20" s="13"/>
      <c r="SLL20" s="13"/>
      <c r="SLM20" s="13"/>
      <c r="SLN20" s="13"/>
      <c r="SLO20" s="13"/>
      <c r="SLP20" s="13"/>
      <c r="SLQ20" s="13"/>
      <c r="SLR20" s="13"/>
      <c r="SLS20" s="13"/>
      <c r="SLT20" s="13"/>
      <c r="SLU20" s="13"/>
      <c r="SLV20" s="13"/>
      <c r="SLW20" s="13"/>
      <c r="SLX20" s="13"/>
      <c r="SLY20" s="13"/>
      <c r="SLZ20" s="13"/>
      <c r="SMA20" s="13"/>
      <c r="SMB20" s="13"/>
      <c r="SMC20" s="13"/>
      <c r="SMD20" s="13"/>
      <c r="SME20" s="13"/>
      <c r="SMF20" s="13"/>
      <c r="SMG20" s="13"/>
      <c r="SMH20" s="13"/>
      <c r="SMI20" s="13"/>
      <c r="SMJ20" s="13"/>
      <c r="SMK20" s="13"/>
      <c r="SML20" s="13"/>
      <c r="SMM20" s="13"/>
      <c r="SMN20" s="13"/>
      <c r="SMO20" s="13"/>
      <c r="SMP20" s="13"/>
      <c r="SMQ20" s="13"/>
      <c r="SMR20" s="13"/>
      <c r="SMS20" s="13"/>
      <c r="SMT20" s="13"/>
      <c r="SMU20" s="13"/>
      <c r="SMV20" s="13"/>
      <c r="SMW20" s="13"/>
      <c r="SMX20" s="13"/>
      <c r="SMY20" s="13"/>
      <c r="SMZ20" s="13"/>
      <c r="SNA20" s="13"/>
      <c r="SNB20" s="13"/>
      <c r="SNC20" s="13"/>
      <c r="SND20" s="13"/>
      <c r="SNE20" s="13"/>
      <c r="SNF20" s="13"/>
      <c r="SNG20" s="13"/>
      <c r="SNH20" s="13"/>
      <c r="SNI20" s="13"/>
      <c r="SNJ20" s="13"/>
      <c r="SNK20" s="13"/>
      <c r="SNL20" s="13"/>
      <c r="SNM20" s="13"/>
      <c r="SNN20" s="13"/>
      <c r="SNO20" s="13"/>
      <c r="SNP20" s="13"/>
      <c r="SNQ20" s="13"/>
      <c r="SNR20" s="13"/>
      <c r="SNS20" s="13"/>
      <c r="SNT20" s="13"/>
      <c r="SNU20" s="13"/>
      <c r="SNV20" s="13"/>
      <c r="SNW20" s="13"/>
      <c r="SNX20" s="13"/>
      <c r="SNY20" s="13"/>
      <c r="SNZ20" s="13"/>
      <c r="SOA20" s="13"/>
      <c r="SOB20" s="13"/>
      <c r="SOC20" s="13"/>
      <c r="SOD20" s="13"/>
      <c r="SOE20" s="13"/>
      <c r="SOF20" s="13"/>
      <c r="SOG20" s="13"/>
      <c r="SOH20" s="13"/>
      <c r="SOI20" s="13"/>
      <c r="SOJ20" s="13"/>
      <c r="SOK20" s="13"/>
      <c r="SOL20" s="13"/>
      <c r="SOM20" s="13"/>
      <c r="SON20" s="13"/>
      <c r="SOO20" s="13"/>
      <c r="SOP20" s="13"/>
      <c r="SOQ20" s="13"/>
      <c r="SOR20" s="13"/>
      <c r="SOS20" s="13"/>
      <c r="SOT20" s="13"/>
      <c r="SOU20" s="13"/>
      <c r="SOV20" s="13"/>
      <c r="SOW20" s="13"/>
      <c r="SOX20" s="13"/>
      <c r="SOY20" s="13"/>
      <c r="SOZ20" s="13"/>
      <c r="SPA20" s="13"/>
      <c r="SPB20" s="13"/>
      <c r="SPC20" s="13"/>
      <c r="SPD20" s="13"/>
      <c r="SPE20" s="13"/>
      <c r="SPF20" s="13"/>
      <c r="SPG20" s="13"/>
      <c r="SPH20" s="13"/>
      <c r="SPI20" s="13"/>
      <c r="SPJ20" s="13"/>
      <c r="SPK20" s="13"/>
      <c r="SPL20" s="13"/>
      <c r="SPM20" s="13"/>
      <c r="SPN20" s="13"/>
      <c r="SPO20" s="13"/>
      <c r="SPP20" s="13"/>
      <c r="SPQ20" s="13"/>
      <c r="SPR20" s="13"/>
      <c r="SPS20" s="13"/>
      <c r="SPT20" s="13"/>
      <c r="SPU20" s="13"/>
      <c r="SPV20" s="13"/>
      <c r="SPW20" s="13"/>
      <c r="SPX20" s="13"/>
      <c r="SPY20" s="13"/>
      <c r="SPZ20" s="13"/>
      <c r="SQA20" s="13"/>
      <c r="SQB20" s="13"/>
      <c r="SQC20" s="13"/>
      <c r="SQD20" s="13"/>
      <c r="SQE20" s="13"/>
      <c r="SQF20" s="13"/>
      <c r="SQG20" s="13"/>
      <c r="SQH20" s="13"/>
      <c r="SQI20" s="13"/>
      <c r="SQJ20" s="13"/>
      <c r="SQK20" s="13"/>
      <c r="SQL20" s="13"/>
      <c r="SQM20" s="13"/>
      <c r="SQN20" s="13"/>
      <c r="SQO20" s="13"/>
      <c r="SQP20" s="13"/>
      <c r="SQQ20" s="13"/>
      <c r="SQR20" s="13"/>
      <c r="SQS20" s="13"/>
      <c r="SQT20" s="13"/>
      <c r="SQU20" s="13"/>
      <c r="SQV20" s="13"/>
      <c r="SQW20" s="13"/>
      <c r="SQX20" s="13"/>
      <c r="SQY20" s="13"/>
      <c r="SQZ20" s="13"/>
      <c r="SRA20" s="13"/>
      <c r="SRB20" s="13"/>
      <c r="SRC20" s="13"/>
      <c r="SRD20" s="13"/>
      <c r="SRE20" s="13"/>
      <c r="SRF20" s="13"/>
      <c r="SRG20" s="13"/>
      <c r="SRH20" s="13"/>
      <c r="SRI20" s="13"/>
      <c r="SRJ20" s="13"/>
      <c r="SRK20" s="13"/>
      <c r="SRL20" s="13"/>
      <c r="SRM20" s="13"/>
      <c r="SRN20" s="13"/>
      <c r="SRO20" s="13"/>
      <c r="SRP20" s="13"/>
      <c r="SRQ20" s="13"/>
      <c r="SRR20" s="13"/>
      <c r="SRS20" s="13"/>
      <c r="SRT20" s="13"/>
      <c r="SRU20" s="13"/>
      <c r="SRV20" s="13"/>
      <c r="SRW20" s="13"/>
      <c r="SRX20" s="13"/>
      <c r="SRY20" s="13"/>
      <c r="SRZ20" s="13"/>
      <c r="SSA20" s="13"/>
      <c r="SSB20" s="13"/>
      <c r="SSC20" s="13"/>
      <c r="SSD20" s="13"/>
      <c r="SSE20" s="13"/>
      <c r="SSF20" s="13"/>
      <c r="SSG20" s="13"/>
      <c r="SSH20" s="13"/>
      <c r="SSI20" s="13"/>
      <c r="SSJ20" s="13"/>
      <c r="SSK20" s="13"/>
      <c r="SSL20" s="13"/>
      <c r="SSM20" s="13"/>
      <c r="SSN20" s="13"/>
      <c r="SSO20" s="13"/>
      <c r="SSP20" s="13"/>
      <c r="SSQ20" s="13"/>
      <c r="SSR20" s="13"/>
      <c r="SSS20" s="13"/>
      <c r="SST20" s="13"/>
      <c r="SSU20" s="13"/>
      <c r="SSV20" s="13"/>
      <c r="SSW20" s="13"/>
      <c r="SSX20" s="13"/>
      <c r="SSY20" s="13"/>
      <c r="SSZ20" s="13"/>
      <c r="STA20" s="13"/>
      <c r="STB20" s="13"/>
      <c r="STC20" s="13"/>
      <c r="STD20" s="13"/>
      <c r="STE20" s="13"/>
      <c r="STF20" s="13"/>
      <c r="STG20" s="13"/>
      <c r="STH20" s="13"/>
      <c r="STI20" s="13"/>
      <c r="STJ20" s="13"/>
      <c r="STK20" s="13"/>
      <c r="STL20" s="13"/>
      <c r="STM20" s="13"/>
      <c r="STN20" s="13"/>
      <c r="STO20" s="13"/>
      <c r="STP20" s="13"/>
      <c r="STQ20" s="13"/>
      <c r="STR20" s="13"/>
      <c r="STS20" s="13"/>
      <c r="STT20" s="13"/>
      <c r="STU20" s="13"/>
      <c r="STV20" s="13"/>
      <c r="STW20" s="13"/>
      <c r="STX20" s="13"/>
      <c r="STY20" s="13"/>
      <c r="STZ20" s="13"/>
      <c r="SUA20" s="13"/>
      <c r="SUB20" s="13"/>
      <c r="SUC20" s="13"/>
      <c r="SUD20" s="13"/>
      <c r="SUE20" s="13"/>
      <c r="SUF20" s="13"/>
      <c r="SUG20" s="13"/>
      <c r="SUH20" s="13"/>
      <c r="SUI20" s="13"/>
      <c r="SUJ20" s="13"/>
      <c r="SUK20" s="13"/>
      <c r="SUL20" s="13"/>
      <c r="SUM20" s="13"/>
      <c r="SUN20" s="13"/>
      <c r="SUO20" s="13"/>
      <c r="SUP20" s="13"/>
      <c r="SUQ20" s="13"/>
      <c r="SUR20" s="13"/>
      <c r="SUS20" s="13"/>
      <c r="SUT20" s="13"/>
      <c r="SUU20" s="13"/>
      <c r="SUV20" s="13"/>
      <c r="SUW20" s="13"/>
      <c r="SUX20" s="13"/>
      <c r="SUY20" s="13"/>
      <c r="SUZ20" s="13"/>
      <c r="SVA20" s="13"/>
      <c r="SVB20" s="13"/>
      <c r="SVC20" s="13"/>
      <c r="SVD20" s="13"/>
      <c r="SVE20" s="13"/>
      <c r="SVF20" s="13"/>
      <c r="SVG20" s="13"/>
      <c r="SVH20" s="13"/>
      <c r="SVI20" s="13"/>
      <c r="SVJ20" s="13"/>
      <c r="SVK20" s="13"/>
      <c r="SVL20" s="13"/>
      <c r="SVM20" s="13"/>
      <c r="SVN20" s="13"/>
      <c r="SVO20" s="13"/>
      <c r="SVP20" s="13"/>
      <c r="SVQ20" s="13"/>
      <c r="SVR20" s="13"/>
      <c r="SVS20" s="13"/>
      <c r="SVT20" s="13"/>
      <c r="SVU20" s="13"/>
      <c r="SVV20" s="13"/>
      <c r="SVW20" s="13"/>
      <c r="SVX20" s="13"/>
      <c r="SVY20" s="13"/>
      <c r="SVZ20" s="13"/>
      <c r="SWA20" s="13"/>
      <c r="SWB20" s="13"/>
      <c r="SWC20" s="13"/>
      <c r="SWD20" s="13"/>
      <c r="SWE20" s="13"/>
      <c r="SWF20" s="13"/>
      <c r="SWG20" s="13"/>
      <c r="SWH20" s="13"/>
      <c r="SWI20" s="13"/>
      <c r="SWJ20" s="13"/>
      <c r="SWK20" s="13"/>
      <c r="SWL20" s="13"/>
      <c r="SWM20" s="13"/>
      <c r="SWN20" s="13"/>
      <c r="SWO20" s="13"/>
      <c r="SWP20" s="13"/>
      <c r="SWQ20" s="13"/>
      <c r="SWR20" s="13"/>
      <c r="SWS20" s="13"/>
      <c r="SWT20" s="13"/>
      <c r="SWU20" s="13"/>
      <c r="SWV20" s="13"/>
      <c r="SWW20" s="13"/>
      <c r="SWX20" s="13"/>
      <c r="SWY20" s="13"/>
      <c r="SWZ20" s="13"/>
      <c r="SXA20" s="13"/>
      <c r="SXB20" s="13"/>
      <c r="SXC20" s="13"/>
      <c r="SXD20" s="13"/>
      <c r="SXE20" s="13"/>
      <c r="SXF20" s="13"/>
      <c r="SXG20" s="13"/>
      <c r="SXH20" s="13"/>
      <c r="SXI20" s="13"/>
      <c r="SXJ20" s="13"/>
      <c r="SXK20" s="13"/>
      <c r="SXL20" s="13"/>
      <c r="SXM20" s="13"/>
      <c r="SXN20" s="13"/>
      <c r="SXO20" s="13"/>
      <c r="SXP20" s="13"/>
      <c r="SXQ20" s="13"/>
      <c r="SXR20" s="13"/>
      <c r="SXS20" s="13"/>
      <c r="SXT20" s="13"/>
      <c r="SXU20" s="13"/>
      <c r="SXV20" s="13"/>
      <c r="SXW20" s="13"/>
      <c r="SXX20" s="13"/>
      <c r="SXY20" s="13"/>
      <c r="SXZ20" s="13"/>
      <c r="SYA20" s="13"/>
      <c r="SYB20" s="13"/>
      <c r="SYC20" s="13"/>
      <c r="SYD20" s="13"/>
      <c r="SYE20" s="13"/>
      <c r="SYF20" s="13"/>
      <c r="SYG20" s="13"/>
      <c r="SYH20" s="13"/>
      <c r="SYI20" s="13"/>
      <c r="SYJ20" s="13"/>
      <c r="SYK20" s="13"/>
      <c r="SYL20" s="13"/>
      <c r="SYM20" s="13"/>
      <c r="SYN20" s="13"/>
      <c r="SYO20" s="13"/>
      <c r="SYP20" s="13"/>
      <c r="SYQ20" s="13"/>
      <c r="SYR20" s="13"/>
      <c r="SYS20" s="13"/>
      <c r="SYT20" s="13"/>
      <c r="SYU20" s="13"/>
      <c r="SYV20" s="13"/>
      <c r="SYW20" s="13"/>
      <c r="SYX20" s="13"/>
      <c r="SYY20" s="13"/>
      <c r="SYZ20" s="13"/>
      <c r="SZA20" s="13"/>
      <c r="SZB20" s="13"/>
      <c r="SZC20" s="13"/>
      <c r="SZD20" s="13"/>
      <c r="SZE20" s="13"/>
      <c r="SZF20" s="13"/>
      <c r="SZG20" s="13"/>
      <c r="SZH20" s="13"/>
      <c r="SZI20" s="13"/>
      <c r="SZJ20" s="13"/>
      <c r="SZK20" s="13"/>
      <c r="SZL20" s="13"/>
      <c r="SZM20" s="13"/>
      <c r="SZN20" s="13"/>
      <c r="SZO20" s="13"/>
      <c r="SZP20" s="13"/>
      <c r="SZQ20" s="13"/>
      <c r="SZR20" s="13"/>
      <c r="SZS20" s="13"/>
      <c r="SZT20" s="13"/>
      <c r="SZU20" s="13"/>
      <c r="SZV20" s="13"/>
      <c r="SZW20" s="13"/>
      <c r="SZX20" s="13"/>
      <c r="SZY20" s="13"/>
      <c r="SZZ20" s="13"/>
      <c r="TAA20" s="13"/>
      <c r="TAB20" s="13"/>
      <c r="TAC20" s="13"/>
      <c r="TAD20" s="13"/>
      <c r="TAE20" s="13"/>
      <c r="TAF20" s="13"/>
      <c r="TAG20" s="13"/>
      <c r="TAH20" s="13"/>
      <c r="TAI20" s="13"/>
      <c r="TAJ20" s="13"/>
      <c r="TAK20" s="13"/>
      <c r="TAL20" s="13"/>
      <c r="TAM20" s="13"/>
      <c r="TAN20" s="13"/>
      <c r="TAO20" s="13"/>
      <c r="TAP20" s="13"/>
      <c r="TAQ20" s="13"/>
      <c r="TAR20" s="13"/>
      <c r="TAS20" s="13"/>
      <c r="TAT20" s="13"/>
      <c r="TAU20" s="13"/>
      <c r="TAV20" s="13"/>
      <c r="TAW20" s="13"/>
      <c r="TAX20" s="13"/>
      <c r="TAY20" s="13"/>
      <c r="TAZ20" s="13"/>
      <c r="TBA20" s="13"/>
      <c r="TBB20" s="13"/>
      <c r="TBC20" s="13"/>
      <c r="TBD20" s="13"/>
      <c r="TBE20" s="13"/>
      <c r="TBF20" s="13"/>
      <c r="TBG20" s="13"/>
      <c r="TBH20" s="13"/>
      <c r="TBI20" s="13"/>
      <c r="TBJ20" s="13"/>
      <c r="TBK20" s="13"/>
      <c r="TBL20" s="13"/>
      <c r="TBM20" s="13"/>
      <c r="TBN20" s="13"/>
      <c r="TBO20" s="13"/>
      <c r="TBP20" s="13"/>
      <c r="TBQ20" s="13"/>
      <c r="TBR20" s="13"/>
      <c r="TBS20" s="13"/>
      <c r="TBT20" s="13"/>
      <c r="TBU20" s="13"/>
      <c r="TBV20" s="13"/>
      <c r="TBW20" s="13"/>
      <c r="TBX20" s="13"/>
      <c r="TBY20" s="13"/>
      <c r="TBZ20" s="13"/>
      <c r="TCA20" s="13"/>
      <c r="TCB20" s="13"/>
      <c r="TCC20" s="13"/>
      <c r="TCD20" s="13"/>
      <c r="TCE20" s="13"/>
      <c r="TCF20" s="13"/>
      <c r="TCG20" s="13"/>
      <c r="TCH20" s="13"/>
      <c r="TCI20" s="13"/>
      <c r="TCJ20" s="13"/>
      <c r="TCK20" s="13"/>
      <c r="TCL20" s="13"/>
      <c r="TCM20" s="13"/>
      <c r="TCN20" s="13"/>
      <c r="TCO20" s="13"/>
      <c r="TCP20" s="13"/>
      <c r="TCQ20" s="13"/>
      <c r="TCR20" s="13"/>
      <c r="TCS20" s="13"/>
      <c r="TCT20" s="13"/>
      <c r="TCU20" s="13"/>
      <c r="TCV20" s="13"/>
      <c r="TCW20" s="13"/>
      <c r="TCX20" s="13"/>
      <c r="TCY20" s="13"/>
      <c r="TCZ20" s="13"/>
      <c r="TDA20" s="13"/>
      <c r="TDB20" s="13"/>
      <c r="TDC20" s="13"/>
      <c r="TDD20" s="13"/>
      <c r="TDE20" s="13"/>
      <c r="TDF20" s="13"/>
      <c r="TDG20" s="13"/>
      <c r="TDH20" s="13"/>
      <c r="TDI20" s="13"/>
      <c r="TDJ20" s="13"/>
      <c r="TDK20" s="13"/>
      <c r="TDL20" s="13"/>
      <c r="TDM20" s="13"/>
      <c r="TDN20" s="13"/>
      <c r="TDO20" s="13"/>
      <c r="TDP20" s="13"/>
      <c r="TDQ20" s="13"/>
      <c r="TDR20" s="13"/>
      <c r="TDS20" s="13"/>
      <c r="TDT20" s="13"/>
      <c r="TDU20" s="13"/>
      <c r="TDV20" s="13"/>
      <c r="TDW20" s="13"/>
      <c r="TDX20" s="13"/>
      <c r="TDY20" s="13"/>
      <c r="TDZ20" s="13"/>
      <c r="TEA20" s="13"/>
      <c r="TEB20" s="13"/>
      <c r="TEC20" s="13"/>
      <c r="TED20" s="13"/>
      <c r="TEE20" s="13"/>
      <c r="TEF20" s="13"/>
      <c r="TEG20" s="13"/>
      <c r="TEH20" s="13"/>
      <c r="TEI20" s="13"/>
      <c r="TEJ20" s="13"/>
      <c r="TEK20" s="13"/>
      <c r="TEL20" s="13"/>
      <c r="TEM20" s="13"/>
      <c r="TEN20" s="13"/>
      <c r="TEO20" s="13"/>
      <c r="TEP20" s="13"/>
      <c r="TEQ20" s="13"/>
      <c r="TER20" s="13"/>
      <c r="TES20" s="13"/>
      <c r="TET20" s="13"/>
      <c r="TEU20" s="13"/>
      <c r="TEV20" s="13"/>
      <c r="TEW20" s="13"/>
      <c r="TEX20" s="13"/>
      <c r="TEY20" s="13"/>
      <c r="TEZ20" s="13"/>
      <c r="TFA20" s="13"/>
      <c r="TFB20" s="13"/>
      <c r="TFC20" s="13"/>
      <c r="TFD20" s="13"/>
      <c r="TFE20" s="13"/>
      <c r="TFF20" s="13"/>
      <c r="TFG20" s="13"/>
      <c r="TFH20" s="13"/>
      <c r="TFI20" s="13"/>
      <c r="TFJ20" s="13"/>
      <c r="TFK20" s="13"/>
      <c r="TFL20" s="13"/>
      <c r="TFM20" s="13"/>
      <c r="TFN20" s="13"/>
      <c r="TFO20" s="13"/>
      <c r="TFP20" s="13"/>
      <c r="TFQ20" s="13"/>
      <c r="TFR20" s="13"/>
      <c r="TFS20" s="13"/>
      <c r="TFT20" s="13"/>
      <c r="TFU20" s="13"/>
      <c r="TFV20" s="13"/>
      <c r="TFW20" s="13"/>
      <c r="TFX20" s="13"/>
      <c r="TFY20" s="13"/>
      <c r="TFZ20" s="13"/>
      <c r="TGA20" s="13"/>
      <c r="TGB20" s="13"/>
      <c r="TGC20" s="13"/>
      <c r="TGD20" s="13"/>
      <c r="TGE20" s="13"/>
      <c r="TGF20" s="13"/>
      <c r="TGG20" s="13"/>
      <c r="TGH20" s="13"/>
      <c r="TGI20" s="13"/>
      <c r="TGJ20" s="13"/>
      <c r="TGK20" s="13"/>
      <c r="TGL20" s="13"/>
      <c r="TGM20" s="13"/>
      <c r="TGN20" s="13"/>
      <c r="TGO20" s="13"/>
      <c r="TGP20" s="13"/>
      <c r="TGQ20" s="13"/>
      <c r="TGR20" s="13"/>
      <c r="TGS20" s="13"/>
      <c r="TGT20" s="13"/>
      <c r="TGU20" s="13"/>
      <c r="TGV20" s="13"/>
      <c r="TGW20" s="13"/>
      <c r="TGX20" s="13"/>
      <c r="TGY20" s="13"/>
      <c r="TGZ20" s="13"/>
      <c r="THA20" s="13"/>
      <c r="THB20" s="13"/>
      <c r="THC20" s="13"/>
      <c r="THD20" s="13"/>
      <c r="THE20" s="13"/>
      <c r="THF20" s="13"/>
      <c r="THG20" s="13"/>
      <c r="THH20" s="13"/>
      <c r="THI20" s="13"/>
      <c r="THJ20" s="13"/>
      <c r="THK20" s="13"/>
      <c r="THL20" s="13"/>
      <c r="THM20" s="13"/>
      <c r="THN20" s="13"/>
      <c r="THO20" s="13"/>
      <c r="THP20" s="13"/>
      <c r="THQ20" s="13"/>
      <c r="THR20" s="13"/>
      <c r="THS20" s="13"/>
      <c r="THT20" s="13"/>
      <c r="THU20" s="13"/>
      <c r="THV20" s="13"/>
      <c r="THW20" s="13"/>
      <c r="THX20" s="13"/>
      <c r="THY20" s="13"/>
      <c r="THZ20" s="13"/>
      <c r="TIA20" s="13"/>
      <c r="TIB20" s="13"/>
      <c r="TIC20" s="13"/>
      <c r="TID20" s="13"/>
      <c r="TIE20" s="13"/>
      <c r="TIF20" s="13"/>
      <c r="TIG20" s="13"/>
      <c r="TIH20" s="13"/>
      <c r="TII20" s="13"/>
      <c r="TIJ20" s="13"/>
      <c r="TIK20" s="13"/>
      <c r="TIL20" s="13"/>
      <c r="TIM20" s="13"/>
      <c r="TIN20" s="13"/>
      <c r="TIO20" s="13"/>
      <c r="TIP20" s="13"/>
      <c r="TIQ20" s="13"/>
      <c r="TIR20" s="13"/>
      <c r="TIS20" s="13"/>
      <c r="TIT20" s="13"/>
      <c r="TIU20" s="13"/>
      <c r="TIV20" s="13"/>
      <c r="TIW20" s="13"/>
      <c r="TIX20" s="13"/>
      <c r="TIY20" s="13"/>
      <c r="TIZ20" s="13"/>
      <c r="TJA20" s="13"/>
      <c r="TJB20" s="13"/>
      <c r="TJC20" s="13"/>
      <c r="TJD20" s="13"/>
      <c r="TJE20" s="13"/>
      <c r="TJF20" s="13"/>
      <c r="TJG20" s="13"/>
      <c r="TJH20" s="13"/>
      <c r="TJI20" s="13"/>
      <c r="TJJ20" s="13"/>
      <c r="TJK20" s="13"/>
      <c r="TJL20" s="13"/>
      <c r="TJM20" s="13"/>
      <c r="TJN20" s="13"/>
      <c r="TJO20" s="13"/>
      <c r="TJP20" s="13"/>
      <c r="TJQ20" s="13"/>
      <c r="TJR20" s="13"/>
      <c r="TJS20" s="13"/>
      <c r="TJT20" s="13"/>
      <c r="TJU20" s="13"/>
      <c r="TJV20" s="13"/>
      <c r="TJW20" s="13"/>
      <c r="TJX20" s="13"/>
      <c r="TJY20" s="13"/>
      <c r="TJZ20" s="13"/>
      <c r="TKA20" s="13"/>
      <c r="TKB20" s="13"/>
      <c r="TKC20" s="13"/>
      <c r="TKD20" s="13"/>
      <c r="TKE20" s="13"/>
      <c r="TKF20" s="13"/>
      <c r="TKG20" s="13"/>
      <c r="TKH20" s="13"/>
      <c r="TKI20" s="13"/>
      <c r="TKJ20" s="13"/>
      <c r="TKK20" s="13"/>
      <c r="TKL20" s="13"/>
      <c r="TKM20" s="13"/>
      <c r="TKN20" s="13"/>
      <c r="TKO20" s="13"/>
      <c r="TKP20" s="13"/>
      <c r="TKQ20" s="13"/>
      <c r="TKR20" s="13"/>
      <c r="TKS20" s="13"/>
      <c r="TKT20" s="13"/>
      <c r="TKU20" s="13"/>
      <c r="TKV20" s="13"/>
      <c r="TKW20" s="13"/>
      <c r="TKX20" s="13"/>
      <c r="TKY20" s="13"/>
      <c r="TKZ20" s="13"/>
      <c r="TLA20" s="13"/>
      <c r="TLB20" s="13"/>
      <c r="TLC20" s="13"/>
      <c r="TLD20" s="13"/>
      <c r="TLE20" s="13"/>
      <c r="TLF20" s="13"/>
      <c r="TLG20" s="13"/>
      <c r="TLH20" s="13"/>
      <c r="TLI20" s="13"/>
      <c r="TLJ20" s="13"/>
      <c r="TLK20" s="13"/>
      <c r="TLL20" s="13"/>
      <c r="TLM20" s="13"/>
      <c r="TLN20" s="13"/>
      <c r="TLO20" s="13"/>
      <c r="TLP20" s="13"/>
      <c r="TLQ20" s="13"/>
      <c r="TLR20" s="13"/>
      <c r="TLS20" s="13"/>
      <c r="TLT20" s="13"/>
      <c r="TLU20" s="13"/>
      <c r="TLV20" s="13"/>
      <c r="TLW20" s="13"/>
      <c r="TLX20" s="13"/>
      <c r="TLY20" s="13"/>
      <c r="TLZ20" s="13"/>
      <c r="TMA20" s="13"/>
      <c r="TMB20" s="13"/>
      <c r="TMC20" s="13"/>
      <c r="TMD20" s="13"/>
      <c r="TME20" s="13"/>
      <c r="TMF20" s="13"/>
      <c r="TMG20" s="13"/>
      <c r="TMH20" s="13"/>
      <c r="TMI20" s="13"/>
      <c r="TMJ20" s="13"/>
      <c r="TMK20" s="13"/>
      <c r="TML20" s="13"/>
      <c r="TMM20" s="13"/>
      <c r="TMN20" s="13"/>
      <c r="TMO20" s="13"/>
      <c r="TMP20" s="13"/>
      <c r="TMQ20" s="13"/>
      <c r="TMR20" s="13"/>
      <c r="TMS20" s="13"/>
      <c r="TMT20" s="13"/>
      <c r="TMU20" s="13"/>
      <c r="TMV20" s="13"/>
      <c r="TMW20" s="13"/>
      <c r="TMX20" s="13"/>
      <c r="TMY20" s="13"/>
      <c r="TMZ20" s="13"/>
      <c r="TNA20" s="13"/>
      <c r="TNB20" s="13"/>
      <c r="TNC20" s="13"/>
      <c r="TND20" s="13"/>
      <c r="TNE20" s="13"/>
      <c r="TNF20" s="13"/>
      <c r="TNG20" s="13"/>
      <c r="TNH20" s="13"/>
      <c r="TNI20" s="13"/>
      <c r="TNJ20" s="13"/>
      <c r="TNK20" s="13"/>
      <c r="TNL20" s="13"/>
      <c r="TNM20" s="13"/>
      <c r="TNN20" s="13"/>
      <c r="TNO20" s="13"/>
      <c r="TNP20" s="13"/>
      <c r="TNQ20" s="13"/>
      <c r="TNR20" s="13"/>
      <c r="TNS20" s="13"/>
      <c r="TNT20" s="13"/>
      <c r="TNU20" s="13"/>
      <c r="TNV20" s="13"/>
      <c r="TNW20" s="13"/>
      <c r="TNX20" s="13"/>
      <c r="TNY20" s="13"/>
      <c r="TNZ20" s="13"/>
      <c r="TOA20" s="13"/>
      <c r="TOB20" s="13"/>
      <c r="TOC20" s="13"/>
      <c r="TOD20" s="13"/>
      <c r="TOE20" s="13"/>
      <c r="TOF20" s="13"/>
      <c r="TOG20" s="13"/>
      <c r="TOH20" s="13"/>
      <c r="TOI20" s="13"/>
      <c r="TOJ20" s="13"/>
      <c r="TOK20" s="13"/>
      <c r="TOL20" s="13"/>
      <c r="TOM20" s="13"/>
      <c r="TON20" s="13"/>
      <c r="TOO20" s="13"/>
      <c r="TOP20" s="13"/>
      <c r="TOQ20" s="13"/>
      <c r="TOR20" s="13"/>
      <c r="TOS20" s="13"/>
      <c r="TOT20" s="13"/>
      <c r="TOU20" s="13"/>
      <c r="TOV20" s="13"/>
      <c r="TOW20" s="13"/>
      <c r="TOX20" s="13"/>
      <c r="TOY20" s="13"/>
      <c r="TOZ20" s="13"/>
      <c r="TPA20" s="13"/>
      <c r="TPB20" s="13"/>
      <c r="TPC20" s="13"/>
      <c r="TPD20" s="13"/>
      <c r="TPE20" s="13"/>
      <c r="TPF20" s="13"/>
      <c r="TPG20" s="13"/>
      <c r="TPH20" s="13"/>
      <c r="TPI20" s="13"/>
      <c r="TPJ20" s="13"/>
      <c r="TPK20" s="13"/>
      <c r="TPL20" s="13"/>
      <c r="TPM20" s="13"/>
      <c r="TPN20" s="13"/>
      <c r="TPO20" s="13"/>
      <c r="TPP20" s="13"/>
      <c r="TPQ20" s="13"/>
      <c r="TPR20" s="13"/>
      <c r="TPS20" s="13"/>
      <c r="TPT20" s="13"/>
      <c r="TPU20" s="13"/>
      <c r="TPV20" s="13"/>
      <c r="TPW20" s="13"/>
      <c r="TPX20" s="13"/>
      <c r="TPY20" s="13"/>
      <c r="TPZ20" s="13"/>
      <c r="TQA20" s="13"/>
      <c r="TQB20" s="13"/>
      <c r="TQC20" s="13"/>
      <c r="TQD20" s="13"/>
      <c r="TQE20" s="13"/>
      <c r="TQF20" s="13"/>
      <c r="TQG20" s="13"/>
      <c r="TQH20" s="13"/>
      <c r="TQI20" s="13"/>
      <c r="TQJ20" s="13"/>
      <c r="TQK20" s="13"/>
      <c r="TQL20" s="13"/>
      <c r="TQM20" s="13"/>
      <c r="TQN20" s="13"/>
      <c r="TQO20" s="13"/>
      <c r="TQP20" s="13"/>
      <c r="TQQ20" s="13"/>
      <c r="TQR20" s="13"/>
      <c r="TQS20" s="13"/>
      <c r="TQT20" s="13"/>
      <c r="TQU20" s="13"/>
      <c r="TQV20" s="13"/>
      <c r="TQW20" s="13"/>
      <c r="TQX20" s="13"/>
      <c r="TQY20" s="13"/>
      <c r="TQZ20" s="13"/>
      <c r="TRA20" s="13"/>
      <c r="TRB20" s="13"/>
      <c r="TRC20" s="13"/>
      <c r="TRD20" s="13"/>
      <c r="TRE20" s="13"/>
      <c r="TRF20" s="13"/>
      <c r="TRG20" s="13"/>
      <c r="TRH20" s="13"/>
      <c r="TRI20" s="13"/>
      <c r="TRJ20" s="13"/>
      <c r="TRK20" s="13"/>
      <c r="TRL20" s="13"/>
      <c r="TRM20" s="13"/>
      <c r="TRN20" s="13"/>
      <c r="TRO20" s="13"/>
      <c r="TRP20" s="13"/>
      <c r="TRQ20" s="13"/>
      <c r="TRR20" s="13"/>
      <c r="TRS20" s="13"/>
      <c r="TRT20" s="13"/>
      <c r="TRU20" s="13"/>
      <c r="TRV20" s="13"/>
      <c r="TRW20" s="13"/>
      <c r="TRX20" s="13"/>
      <c r="TRY20" s="13"/>
      <c r="TRZ20" s="13"/>
      <c r="TSA20" s="13"/>
      <c r="TSB20" s="13"/>
      <c r="TSC20" s="13"/>
      <c r="TSD20" s="13"/>
      <c r="TSE20" s="13"/>
      <c r="TSF20" s="13"/>
      <c r="TSG20" s="13"/>
      <c r="TSH20" s="13"/>
      <c r="TSI20" s="13"/>
      <c r="TSJ20" s="13"/>
      <c r="TSK20" s="13"/>
      <c r="TSL20" s="13"/>
      <c r="TSM20" s="13"/>
      <c r="TSN20" s="13"/>
      <c r="TSO20" s="13"/>
      <c r="TSP20" s="13"/>
      <c r="TSQ20" s="13"/>
      <c r="TSR20" s="13"/>
      <c r="TSS20" s="13"/>
      <c r="TST20" s="13"/>
      <c r="TSU20" s="13"/>
      <c r="TSV20" s="13"/>
      <c r="TSW20" s="13"/>
      <c r="TSX20" s="13"/>
      <c r="TSY20" s="13"/>
      <c r="TSZ20" s="13"/>
      <c r="TTA20" s="13"/>
      <c r="TTB20" s="13"/>
      <c r="TTC20" s="13"/>
      <c r="TTD20" s="13"/>
      <c r="TTE20" s="13"/>
      <c r="TTF20" s="13"/>
      <c r="TTG20" s="13"/>
      <c r="TTH20" s="13"/>
      <c r="TTI20" s="13"/>
      <c r="TTJ20" s="13"/>
      <c r="TTK20" s="13"/>
      <c r="TTL20" s="13"/>
      <c r="TTM20" s="13"/>
      <c r="TTN20" s="13"/>
      <c r="TTO20" s="13"/>
      <c r="TTP20" s="13"/>
      <c r="TTQ20" s="13"/>
      <c r="TTR20" s="13"/>
      <c r="TTS20" s="13"/>
      <c r="TTT20" s="13"/>
      <c r="TTU20" s="13"/>
      <c r="TTV20" s="13"/>
      <c r="TTW20" s="13"/>
      <c r="TTX20" s="13"/>
      <c r="TTY20" s="13"/>
      <c r="TTZ20" s="13"/>
      <c r="TUA20" s="13"/>
      <c r="TUB20" s="13"/>
      <c r="TUC20" s="13"/>
      <c r="TUD20" s="13"/>
      <c r="TUE20" s="13"/>
      <c r="TUF20" s="13"/>
      <c r="TUG20" s="13"/>
      <c r="TUH20" s="13"/>
      <c r="TUI20" s="13"/>
      <c r="TUJ20" s="13"/>
      <c r="TUK20" s="13"/>
      <c r="TUL20" s="13"/>
      <c r="TUM20" s="13"/>
      <c r="TUN20" s="13"/>
      <c r="TUO20" s="13"/>
      <c r="TUP20" s="13"/>
      <c r="TUQ20" s="13"/>
      <c r="TUR20" s="13"/>
      <c r="TUS20" s="13"/>
      <c r="TUT20" s="13"/>
      <c r="TUU20" s="13"/>
      <c r="TUV20" s="13"/>
      <c r="TUW20" s="13"/>
      <c r="TUX20" s="13"/>
      <c r="TUY20" s="13"/>
      <c r="TUZ20" s="13"/>
      <c r="TVA20" s="13"/>
      <c r="TVB20" s="13"/>
      <c r="TVC20" s="13"/>
      <c r="TVD20" s="13"/>
      <c r="TVE20" s="13"/>
      <c r="TVF20" s="13"/>
      <c r="TVG20" s="13"/>
      <c r="TVH20" s="13"/>
      <c r="TVI20" s="13"/>
      <c r="TVJ20" s="13"/>
      <c r="TVK20" s="13"/>
      <c r="TVL20" s="13"/>
      <c r="TVM20" s="13"/>
      <c r="TVN20" s="13"/>
      <c r="TVO20" s="13"/>
      <c r="TVP20" s="13"/>
      <c r="TVQ20" s="13"/>
      <c r="TVR20" s="13"/>
      <c r="TVS20" s="13"/>
      <c r="TVT20" s="13"/>
      <c r="TVU20" s="13"/>
      <c r="TVV20" s="13"/>
      <c r="TVW20" s="13"/>
      <c r="TVX20" s="13"/>
      <c r="TVY20" s="13"/>
      <c r="TVZ20" s="13"/>
      <c r="TWA20" s="13"/>
      <c r="TWB20" s="13"/>
      <c r="TWC20" s="13"/>
      <c r="TWD20" s="13"/>
      <c r="TWE20" s="13"/>
      <c r="TWF20" s="13"/>
      <c r="TWG20" s="13"/>
      <c r="TWH20" s="13"/>
      <c r="TWI20" s="13"/>
      <c r="TWJ20" s="13"/>
      <c r="TWK20" s="13"/>
      <c r="TWL20" s="13"/>
      <c r="TWM20" s="13"/>
      <c r="TWN20" s="13"/>
      <c r="TWO20" s="13"/>
      <c r="TWP20" s="13"/>
      <c r="TWQ20" s="13"/>
      <c r="TWR20" s="13"/>
      <c r="TWS20" s="13"/>
      <c r="TWT20" s="13"/>
      <c r="TWU20" s="13"/>
      <c r="TWV20" s="13"/>
      <c r="TWW20" s="13"/>
      <c r="TWX20" s="13"/>
      <c r="TWY20" s="13"/>
      <c r="TWZ20" s="13"/>
      <c r="TXA20" s="13"/>
      <c r="TXB20" s="13"/>
      <c r="TXC20" s="13"/>
      <c r="TXD20" s="13"/>
      <c r="TXE20" s="13"/>
      <c r="TXF20" s="13"/>
      <c r="TXG20" s="13"/>
      <c r="TXH20" s="13"/>
      <c r="TXI20" s="13"/>
      <c r="TXJ20" s="13"/>
      <c r="TXK20" s="13"/>
      <c r="TXL20" s="13"/>
      <c r="TXM20" s="13"/>
      <c r="TXN20" s="13"/>
      <c r="TXO20" s="13"/>
      <c r="TXP20" s="13"/>
      <c r="TXQ20" s="13"/>
      <c r="TXR20" s="13"/>
      <c r="TXS20" s="13"/>
      <c r="TXT20" s="13"/>
      <c r="TXU20" s="13"/>
      <c r="TXV20" s="13"/>
      <c r="TXW20" s="13"/>
      <c r="TXX20" s="13"/>
      <c r="TXY20" s="13"/>
      <c r="TXZ20" s="13"/>
      <c r="TYA20" s="13"/>
      <c r="TYB20" s="13"/>
      <c r="TYC20" s="13"/>
      <c r="TYD20" s="13"/>
      <c r="TYE20" s="13"/>
      <c r="TYF20" s="13"/>
      <c r="TYG20" s="13"/>
      <c r="TYH20" s="13"/>
      <c r="TYI20" s="13"/>
      <c r="TYJ20" s="13"/>
      <c r="TYK20" s="13"/>
      <c r="TYL20" s="13"/>
      <c r="TYM20" s="13"/>
      <c r="TYN20" s="13"/>
      <c r="TYO20" s="13"/>
      <c r="TYP20" s="13"/>
      <c r="TYQ20" s="13"/>
      <c r="TYR20" s="13"/>
      <c r="TYS20" s="13"/>
      <c r="TYT20" s="13"/>
      <c r="TYU20" s="13"/>
      <c r="TYV20" s="13"/>
      <c r="TYW20" s="13"/>
      <c r="TYX20" s="13"/>
      <c r="TYY20" s="13"/>
      <c r="TYZ20" s="13"/>
      <c r="TZA20" s="13"/>
      <c r="TZB20" s="13"/>
      <c r="TZC20" s="13"/>
      <c r="TZD20" s="13"/>
      <c r="TZE20" s="13"/>
      <c r="TZF20" s="13"/>
      <c r="TZG20" s="13"/>
      <c r="TZH20" s="13"/>
      <c r="TZI20" s="13"/>
      <c r="TZJ20" s="13"/>
      <c r="TZK20" s="13"/>
      <c r="TZL20" s="13"/>
      <c r="TZM20" s="13"/>
      <c r="TZN20" s="13"/>
      <c r="TZO20" s="13"/>
      <c r="TZP20" s="13"/>
      <c r="TZQ20" s="13"/>
      <c r="TZR20" s="13"/>
      <c r="TZS20" s="13"/>
      <c r="TZT20" s="13"/>
      <c r="TZU20" s="13"/>
      <c r="TZV20" s="13"/>
      <c r="TZW20" s="13"/>
      <c r="TZX20" s="13"/>
      <c r="TZY20" s="13"/>
      <c r="TZZ20" s="13"/>
      <c r="UAA20" s="13"/>
      <c r="UAB20" s="13"/>
      <c r="UAC20" s="13"/>
      <c r="UAD20" s="13"/>
      <c r="UAE20" s="13"/>
      <c r="UAF20" s="13"/>
      <c r="UAG20" s="13"/>
      <c r="UAH20" s="13"/>
      <c r="UAI20" s="13"/>
      <c r="UAJ20" s="13"/>
      <c r="UAK20" s="13"/>
      <c r="UAL20" s="13"/>
      <c r="UAM20" s="13"/>
      <c r="UAN20" s="13"/>
      <c r="UAO20" s="13"/>
      <c r="UAP20" s="13"/>
      <c r="UAQ20" s="13"/>
      <c r="UAR20" s="13"/>
      <c r="UAS20" s="13"/>
      <c r="UAT20" s="13"/>
      <c r="UAU20" s="13"/>
      <c r="UAV20" s="13"/>
      <c r="UAW20" s="13"/>
      <c r="UAX20" s="13"/>
      <c r="UAY20" s="13"/>
      <c r="UAZ20" s="13"/>
      <c r="UBA20" s="13"/>
      <c r="UBB20" s="13"/>
      <c r="UBC20" s="13"/>
      <c r="UBD20" s="13"/>
      <c r="UBE20" s="13"/>
      <c r="UBF20" s="13"/>
      <c r="UBG20" s="13"/>
      <c r="UBH20" s="13"/>
      <c r="UBI20" s="13"/>
      <c r="UBJ20" s="13"/>
      <c r="UBK20" s="13"/>
      <c r="UBL20" s="13"/>
      <c r="UBM20" s="13"/>
      <c r="UBN20" s="13"/>
      <c r="UBO20" s="13"/>
      <c r="UBP20" s="13"/>
      <c r="UBQ20" s="13"/>
      <c r="UBR20" s="13"/>
      <c r="UBS20" s="13"/>
      <c r="UBT20" s="13"/>
      <c r="UBU20" s="13"/>
      <c r="UBV20" s="13"/>
      <c r="UBW20" s="13"/>
      <c r="UBX20" s="13"/>
      <c r="UBY20" s="13"/>
      <c r="UBZ20" s="13"/>
      <c r="UCA20" s="13"/>
      <c r="UCB20" s="13"/>
      <c r="UCC20" s="13"/>
      <c r="UCD20" s="13"/>
      <c r="UCE20" s="13"/>
      <c r="UCF20" s="13"/>
      <c r="UCG20" s="13"/>
      <c r="UCH20" s="13"/>
      <c r="UCI20" s="13"/>
      <c r="UCJ20" s="13"/>
      <c r="UCK20" s="13"/>
      <c r="UCL20" s="13"/>
      <c r="UCM20" s="13"/>
      <c r="UCN20" s="13"/>
      <c r="UCO20" s="13"/>
      <c r="UCP20" s="13"/>
      <c r="UCQ20" s="13"/>
      <c r="UCR20" s="13"/>
      <c r="UCS20" s="13"/>
      <c r="UCT20" s="13"/>
      <c r="UCU20" s="13"/>
      <c r="UCV20" s="13"/>
      <c r="UCW20" s="13"/>
      <c r="UCX20" s="13"/>
      <c r="UCY20" s="13"/>
      <c r="UCZ20" s="13"/>
      <c r="UDA20" s="13"/>
      <c r="UDB20" s="13"/>
      <c r="UDC20" s="13"/>
      <c r="UDD20" s="13"/>
      <c r="UDE20" s="13"/>
      <c r="UDF20" s="13"/>
      <c r="UDG20" s="13"/>
      <c r="UDH20" s="13"/>
      <c r="UDI20" s="13"/>
      <c r="UDJ20" s="13"/>
      <c r="UDK20" s="13"/>
      <c r="UDL20" s="13"/>
      <c r="UDM20" s="13"/>
      <c r="UDN20" s="13"/>
      <c r="UDO20" s="13"/>
      <c r="UDP20" s="13"/>
      <c r="UDQ20" s="13"/>
      <c r="UDR20" s="13"/>
      <c r="UDS20" s="13"/>
      <c r="UDT20" s="13"/>
      <c r="UDU20" s="13"/>
      <c r="UDV20" s="13"/>
      <c r="UDW20" s="13"/>
      <c r="UDX20" s="13"/>
      <c r="UDY20" s="13"/>
      <c r="UDZ20" s="13"/>
      <c r="UEA20" s="13"/>
      <c r="UEB20" s="13"/>
      <c r="UEC20" s="13"/>
      <c r="UED20" s="13"/>
      <c r="UEE20" s="13"/>
      <c r="UEF20" s="13"/>
      <c r="UEG20" s="13"/>
      <c r="UEH20" s="13"/>
      <c r="UEI20" s="13"/>
      <c r="UEJ20" s="13"/>
      <c r="UEK20" s="13"/>
      <c r="UEL20" s="13"/>
      <c r="UEM20" s="13"/>
      <c r="UEN20" s="13"/>
      <c r="UEO20" s="13"/>
      <c r="UEP20" s="13"/>
      <c r="UEQ20" s="13"/>
      <c r="UER20" s="13"/>
      <c r="UES20" s="13"/>
      <c r="UET20" s="13"/>
      <c r="UEU20" s="13"/>
      <c r="UEV20" s="13"/>
      <c r="UEW20" s="13"/>
      <c r="UEX20" s="13"/>
      <c r="UEY20" s="13"/>
      <c r="UEZ20" s="13"/>
      <c r="UFA20" s="13"/>
      <c r="UFB20" s="13"/>
      <c r="UFC20" s="13"/>
      <c r="UFD20" s="13"/>
      <c r="UFE20" s="13"/>
      <c r="UFF20" s="13"/>
      <c r="UFG20" s="13"/>
      <c r="UFH20" s="13"/>
      <c r="UFI20" s="13"/>
      <c r="UFJ20" s="13"/>
      <c r="UFK20" s="13"/>
      <c r="UFL20" s="13"/>
      <c r="UFM20" s="13"/>
      <c r="UFN20" s="13"/>
      <c r="UFO20" s="13"/>
      <c r="UFP20" s="13"/>
      <c r="UFQ20" s="13"/>
      <c r="UFR20" s="13"/>
      <c r="UFS20" s="13"/>
      <c r="UFT20" s="13"/>
      <c r="UFU20" s="13"/>
      <c r="UFV20" s="13"/>
      <c r="UFW20" s="13"/>
      <c r="UFX20" s="13"/>
      <c r="UFY20" s="13"/>
      <c r="UFZ20" s="13"/>
      <c r="UGA20" s="13"/>
      <c r="UGB20" s="13"/>
      <c r="UGC20" s="13"/>
      <c r="UGD20" s="13"/>
      <c r="UGE20" s="13"/>
      <c r="UGF20" s="13"/>
      <c r="UGG20" s="13"/>
      <c r="UGH20" s="13"/>
      <c r="UGI20" s="13"/>
      <c r="UGJ20" s="13"/>
      <c r="UGK20" s="13"/>
      <c r="UGL20" s="13"/>
      <c r="UGM20" s="13"/>
      <c r="UGN20" s="13"/>
      <c r="UGO20" s="13"/>
      <c r="UGP20" s="13"/>
      <c r="UGQ20" s="13"/>
      <c r="UGR20" s="13"/>
      <c r="UGS20" s="13"/>
      <c r="UGT20" s="13"/>
      <c r="UGU20" s="13"/>
      <c r="UGV20" s="13"/>
      <c r="UGW20" s="13"/>
      <c r="UGX20" s="13"/>
      <c r="UGY20" s="13"/>
      <c r="UGZ20" s="13"/>
      <c r="UHA20" s="13"/>
      <c r="UHB20" s="13"/>
      <c r="UHC20" s="13"/>
      <c r="UHD20" s="13"/>
      <c r="UHE20" s="13"/>
      <c r="UHF20" s="13"/>
      <c r="UHG20" s="13"/>
      <c r="UHH20" s="13"/>
      <c r="UHI20" s="13"/>
      <c r="UHJ20" s="13"/>
      <c r="UHK20" s="13"/>
      <c r="UHL20" s="13"/>
      <c r="UHM20" s="13"/>
      <c r="UHN20" s="13"/>
      <c r="UHO20" s="13"/>
      <c r="UHP20" s="13"/>
      <c r="UHQ20" s="13"/>
      <c r="UHR20" s="13"/>
      <c r="UHS20" s="13"/>
      <c r="UHT20" s="13"/>
      <c r="UHU20" s="13"/>
      <c r="UHV20" s="13"/>
      <c r="UHW20" s="13"/>
      <c r="UHX20" s="13"/>
      <c r="UHY20" s="13"/>
      <c r="UHZ20" s="13"/>
      <c r="UIA20" s="13"/>
      <c r="UIB20" s="13"/>
      <c r="UIC20" s="13"/>
      <c r="UID20" s="13"/>
      <c r="UIE20" s="13"/>
      <c r="UIF20" s="13"/>
      <c r="UIG20" s="13"/>
      <c r="UIH20" s="13"/>
      <c r="UII20" s="13"/>
      <c r="UIJ20" s="13"/>
      <c r="UIK20" s="13"/>
      <c r="UIL20" s="13"/>
      <c r="UIM20" s="13"/>
      <c r="UIN20" s="13"/>
      <c r="UIO20" s="13"/>
      <c r="UIP20" s="13"/>
      <c r="UIQ20" s="13"/>
      <c r="UIR20" s="13"/>
      <c r="UIS20" s="13"/>
      <c r="UIT20" s="13"/>
      <c r="UIU20" s="13"/>
      <c r="UIV20" s="13"/>
      <c r="UIW20" s="13"/>
      <c r="UIX20" s="13"/>
      <c r="UIY20" s="13"/>
      <c r="UIZ20" s="13"/>
      <c r="UJA20" s="13"/>
      <c r="UJB20" s="13"/>
      <c r="UJC20" s="13"/>
      <c r="UJD20" s="13"/>
      <c r="UJE20" s="13"/>
      <c r="UJF20" s="13"/>
      <c r="UJG20" s="13"/>
      <c r="UJH20" s="13"/>
      <c r="UJI20" s="13"/>
      <c r="UJJ20" s="13"/>
      <c r="UJK20" s="13"/>
      <c r="UJL20" s="13"/>
      <c r="UJM20" s="13"/>
      <c r="UJN20" s="13"/>
      <c r="UJO20" s="13"/>
      <c r="UJP20" s="13"/>
      <c r="UJQ20" s="13"/>
      <c r="UJR20" s="13"/>
      <c r="UJS20" s="13"/>
      <c r="UJT20" s="13"/>
      <c r="UJU20" s="13"/>
      <c r="UJV20" s="13"/>
      <c r="UJW20" s="13"/>
      <c r="UJX20" s="13"/>
      <c r="UJY20" s="13"/>
      <c r="UJZ20" s="13"/>
      <c r="UKA20" s="13"/>
      <c r="UKB20" s="13"/>
      <c r="UKC20" s="13"/>
      <c r="UKD20" s="13"/>
      <c r="UKE20" s="13"/>
      <c r="UKF20" s="13"/>
      <c r="UKG20" s="13"/>
      <c r="UKH20" s="13"/>
      <c r="UKI20" s="13"/>
      <c r="UKJ20" s="13"/>
      <c r="UKK20" s="13"/>
      <c r="UKL20" s="13"/>
      <c r="UKM20" s="13"/>
      <c r="UKN20" s="13"/>
      <c r="UKO20" s="13"/>
      <c r="UKP20" s="13"/>
      <c r="UKQ20" s="13"/>
      <c r="UKR20" s="13"/>
      <c r="UKS20" s="13"/>
      <c r="UKT20" s="13"/>
      <c r="UKU20" s="13"/>
      <c r="UKV20" s="13"/>
      <c r="UKW20" s="13"/>
      <c r="UKX20" s="13"/>
      <c r="UKY20" s="13"/>
      <c r="UKZ20" s="13"/>
      <c r="ULA20" s="13"/>
      <c r="ULB20" s="13"/>
      <c r="ULC20" s="13"/>
      <c r="ULD20" s="13"/>
      <c r="ULE20" s="13"/>
      <c r="ULF20" s="13"/>
      <c r="ULG20" s="13"/>
      <c r="ULH20" s="13"/>
      <c r="ULI20" s="13"/>
      <c r="ULJ20" s="13"/>
      <c r="ULK20" s="13"/>
      <c r="ULL20" s="13"/>
      <c r="ULM20" s="13"/>
      <c r="ULN20" s="13"/>
      <c r="ULO20" s="13"/>
      <c r="ULP20" s="13"/>
      <c r="ULQ20" s="13"/>
      <c r="ULR20" s="13"/>
      <c r="ULS20" s="13"/>
      <c r="ULT20" s="13"/>
      <c r="ULU20" s="13"/>
      <c r="ULV20" s="13"/>
      <c r="ULW20" s="13"/>
      <c r="ULX20" s="13"/>
      <c r="ULY20" s="13"/>
      <c r="ULZ20" s="13"/>
      <c r="UMA20" s="13"/>
      <c r="UMB20" s="13"/>
      <c r="UMC20" s="13"/>
      <c r="UMD20" s="13"/>
      <c r="UME20" s="13"/>
      <c r="UMF20" s="13"/>
      <c r="UMG20" s="13"/>
      <c r="UMH20" s="13"/>
      <c r="UMI20" s="13"/>
      <c r="UMJ20" s="13"/>
      <c r="UMK20" s="13"/>
      <c r="UML20" s="13"/>
      <c r="UMM20" s="13"/>
      <c r="UMN20" s="13"/>
      <c r="UMO20" s="13"/>
      <c r="UMP20" s="13"/>
      <c r="UMQ20" s="13"/>
      <c r="UMR20" s="13"/>
      <c r="UMS20" s="13"/>
      <c r="UMT20" s="13"/>
      <c r="UMU20" s="13"/>
      <c r="UMV20" s="13"/>
      <c r="UMW20" s="13"/>
      <c r="UMX20" s="13"/>
      <c r="UMY20" s="13"/>
      <c r="UMZ20" s="13"/>
      <c r="UNA20" s="13"/>
      <c r="UNB20" s="13"/>
      <c r="UNC20" s="13"/>
      <c r="UND20" s="13"/>
      <c r="UNE20" s="13"/>
      <c r="UNF20" s="13"/>
      <c r="UNG20" s="13"/>
      <c r="UNH20" s="13"/>
      <c r="UNI20" s="13"/>
      <c r="UNJ20" s="13"/>
      <c r="UNK20" s="13"/>
      <c r="UNL20" s="13"/>
      <c r="UNM20" s="13"/>
      <c r="UNN20" s="13"/>
      <c r="UNO20" s="13"/>
      <c r="UNP20" s="13"/>
      <c r="UNQ20" s="13"/>
      <c r="UNR20" s="13"/>
      <c r="UNS20" s="13"/>
      <c r="UNT20" s="13"/>
      <c r="UNU20" s="13"/>
      <c r="UNV20" s="13"/>
      <c r="UNW20" s="13"/>
      <c r="UNX20" s="13"/>
      <c r="UNY20" s="13"/>
      <c r="UNZ20" s="13"/>
      <c r="UOA20" s="13"/>
      <c r="UOB20" s="13"/>
      <c r="UOC20" s="13"/>
      <c r="UOD20" s="13"/>
      <c r="UOE20" s="13"/>
      <c r="UOF20" s="13"/>
      <c r="UOG20" s="13"/>
      <c r="UOH20" s="13"/>
      <c r="UOI20" s="13"/>
      <c r="UOJ20" s="13"/>
      <c r="UOK20" s="13"/>
      <c r="UOL20" s="13"/>
      <c r="UOM20" s="13"/>
      <c r="UON20" s="13"/>
      <c r="UOO20" s="13"/>
      <c r="UOP20" s="13"/>
      <c r="UOQ20" s="13"/>
      <c r="UOR20" s="13"/>
      <c r="UOS20" s="13"/>
      <c r="UOT20" s="13"/>
      <c r="UOU20" s="13"/>
      <c r="UOV20" s="13"/>
      <c r="UOW20" s="13"/>
      <c r="UOX20" s="13"/>
      <c r="UOY20" s="13"/>
      <c r="UOZ20" s="13"/>
      <c r="UPA20" s="13"/>
      <c r="UPB20" s="13"/>
      <c r="UPC20" s="13"/>
      <c r="UPD20" s="13"/>
      <c r="UPE20" s="13"/>
      <c r="UPF20" s="13"/>
      <c r="UPG20" s="13"/>
      <c r="UPH20" s="13"/>
      <c r="UPI20" s="13"/>
      <c r="UPJ20" s="13"/>
      <c r="UPK20" s="13"/>
      <c r="UPL20" s="13"/>
      <c r="UPM20" s="13"/>
      <c r="UPN20" s="13"/>
      <c r="UPO20" s="13"/>
      <c r="UPP20" s="13"/>
      <c r="UPQ20" s="13"/>
      <c r="UPR20" s="13"/>
      <c r="UPS20" s="13"/>
      <c r="UPT20" s="13"/>
      <c r="UPU20" s="13"/>
      <c r="UPV20" s="13"/>
      <c r="UPW20" s="13"/>
      <c r="UPX20" s="13"/>
      <c r="UPY20" s="13"/>
      <c r="UPZ20" s="13"/>
      <c r="UQA20" s="13"/>
      <c r="UQB20" s="13"/>
      <c r="UQC20" s="13"/>
      <c r="UQD20" s="13"/>
      <c r="UQE20" s="13"/>
      <c r="UQF20" s="13"/>
      <c r="UQG20" s="13"/>
      <c r="UQH20" s="13"/>
      <c r="UQI20" s="13"/>
      <c r="UQJ20" s="13"/>
      <c r="UQK20" s="13"/>
      <c r="UQL20" s="13"/>
      <c r="UQM20" s="13"/>
      <c r="UQN20" s="13"/>
      <c r="UQO20" s="13"/>
      <c r="UQP20" s="13"/>
      <c r="UQQ20" s="13"/>
      <c r="UQR20" s="13"/>
      <c r="UQS20" s="13"/>
      <c r="UQT20" s="13"/>
      <c r="UQU20" s="13"/>
      <c r="UQV20" s="13"/>
      <c r="UQW20" s="13"/>
      <c r="UQX20" s="13"/>
      <c r="UQY20" s="13"/>
      <c r="UQZ20" s="13"/>
      <c r="URA20" s="13"/>
      <c r="URB20" s="13"/>
      <c r="URC20" s="13"/>
      <c r="URD20" s="13"/>
      <c r="URE20" s="13"/>
      <c r="URF20" s="13"/>
      <c r="URG20" s="13"/>
      <c r="URH20" s="13"/>
      <c r="URI20" s="13"/>
      <c r="URJ20" s="13"/>
      <c r="URK20" s="13"/>
      <c r="URL20" s="13"/>
      <c r="URM20" s="13"/>
      <c r="URN20" s="13"/>
      <c r="URO20" s="13"/>
      <c r="URP20" s="13"/>
      <c r="URQ20" s="13"/>
      <c r="URR20" s="13"/>
      <c r="URS20" s="13"/>
      <c r="URT20" s="13"/>
      <c r="URU20" s="13"/>
      <c r="URV20" s="13"/>
      <c r="URW20" s="13"/>
      <c r="URX20" s="13"/>
      <c r="URY20" s="13"/>
      <c r="URZ20" s="13"/>
      <c r="USA20" s="13"/>
      <c r="USB20" s="13"/>
      <c r="USC20" s="13"/>
      <c r="USD20" s="13"/>
      <c r="USE20" s="13"/>
      <c r="USF20" s="13"/>
      <c r="USG20" s="13"/>
      <c r="USH20" s="13"/>
      <c r="USI20" s="13"/>
      <c r="USJ20" s="13"/>
      <c r="USK20" s="13"/>
      <c r="USL20" s="13"/>
      <c r="USM20" s="13"/>
      <c r="USN20" s="13"/>
      <c r="USO20" s="13"/>
      <c r="USP20" s="13"/>
      <c r="USQ20" s="13"/>
      <c r="USR20" s="13"/>
      <c r="USS20" s="13"/>
      <c r="UST20" s="13"/>
      <c r="USU20" s="13"/>
      <c r="USV20" s="13"/>
      <c r="USW20" s="13"/>
      <c r="USX20" s="13"/>
      <c r="USY20" s="13"/>
      <c r="USZ20" s="13"/>
      <c r="UTA20" s="13"/>
      <c r="UTB20" s="13"/>
      <c r="UTC20" s="13"/>
      <c r="UTD20" s="13"/>
      <c r="UTE20" s="13"/>
      <c r="UTF20" s="13"/>
      <c r="UTG20" s="13"/>
      <c r="UTH20" s="13"/>
      <c r="UTI20" s="13"/>
      <c r="UTJ20" s="13"/>
      <c r="UTK20" s="13"/>
      <c r="UTL20" s="13"/>
      <c r="UTM20" s="13"/>
      <c r="UTN20" s="13"/>
      <c r="UTO20" s="13"/>
      <c r="UTP20" s="13"/>
      <c r="UTQ20" s="13"/>
      <c r="UTR20" s="13"/>
      <c r="UTS20" s="13"/>
      <c r="UTT20" s="13"/>
      <c r="UTU20" s="13"/>
      <c r="UTV20" s="13"/>
      <c r="UTW20" s="13"/>
      <c r="UTX20" s="13"/>
      <c r="UTY20" s="13"/>
      <c r="UTZ20" s="13"/>
      <c r="UUA20" s="13"/>
      <c r="UUB20" s="13"/>
      <c r="UUC20" s="13"/>
      <c r="UUD20" s="13"/>
      <c r="UUE20" s="13"/>
      <c r="UUF20" s="13"/>
      <c r="UUG20" s="13"/>
      <c r="UUH20" s="13"/>
      <c r="UUI20" s="13"/>
      <c r="UUJ20" s="13"/>
      <c r="UUK20" s="13"/>
      <c r="UUL20" s="13"/>
      <c r="UUM20" s="13"/>
      <c r="UUN20" s="13"/>
      <c r="UUO20" s="13"/>
      <c r="UUP20" s="13"/>
      <c r="UUQ20" s="13"/>
      <c r="UUR20" s="13"/>
      <c r="UUS20" s="13"/>
      <c r="UUT20" s="13"/>
      <c r="UUU20" s="13"/>
      <c r="UUV20" s="13"/>
      <c r="UUW20" s="13"/>
      <c r="UUX20" s="13"/>
      <c r="UUY20" s="13"/>
      <c r="UUZ20" s="13"/>
      <c r="UVA20" s="13"/>
      <c r="UVB20" s="13"/>
      <c r="UVC20" s="13"/>
      <c r="UVD20" s="13"/>
      <c r="UVE20" s="13"/>
      <c r="UVF20" s="13"/>
      <c r="UVG20" s="13"/>
      <c r="UVH20" s="13"/>
      <c r="UVI20" s="13"/>
      <c r="UVJ20" s="13"/>
      <c r="UVK20" s="13"/>
      <c r="UVL20" s="13"/>
      <c r="UVM20" s="13"/>
      <c r="UVN20" s="13"/>
      <c r="UVO20" s="13"/>
      <c r="UVP20" s="13"/>
      <c r="UVQ20" s="13"/>
      <c r="UVR20" s="13"/>
      <c r="UVS20" s="13"/>
      <c r="UVT20" s="13"/>
      <c r="UVU20" s="13"/>
      <c r="UVV20" s="13"/>
      <c r="UVW20" s="13"/>
      <c r="UVX20" s="13"/>
      <c r="UVY20" s="13"/>
      <c r="UVZ20" s="13"/>
      <c r="UWA20" s="13"/>
      <c r="UWB20" s="13"/>
      <c r="UWC20" s="13"/>
      <c r="UWD20" s="13"/>
      <c r="UWE20" s="13"/>
      <c r="UWF20" s="13"/>
      <c r="UWG20" s="13"/>
      <c r="UWH20" s="13"/>
      <c r="UWI20" s="13"/>
      <c r="UWJ20" s="13"/>
      <c r="UWK20" s="13"/>
      <c r="UWL20" s="13"/>
      <c r="UWM20" s="13"/>
      <c r="UWN20" s="13"/>
      <c r="UWO20" s="13"/>
      <c r="UWP20" s="13"/>
      <c r="UWQ20" s="13"/>
      <c r="UWR20" s="13"/>
      <c r="UWS20" s="13"/>
      <c r="UWT20" s="13"/>
      <c r="UWU20" s="13"/>
      <c r="UWV20" s="13"/>
      <c r="UWW20" s="13"/>
      <c r="UWX20" s="13"/>
      <c r="UWY20" s="13"/>
      <c r="UWZ20" s="13"/>
      <c r="UXA20" s="13"/>
      <c r="UXB20" s="13"/>
      <c r="UXC20" s="13"/>
      <c r="UXD20" s="13"/>
      <c r="UXE20" s="13"/>
      <c r="UXF20" s="13"/>
      <c r="UXG20" s="13"/>
      <c r="UXH20" s="13"/>
      <c r="UXI20" s="13"/>
      <c r="UXJ20" s="13"/>
      <c r="UXK20" s="13"/>
      <c r="UXL20" s="13"/>
      <c r="UXM20" s="13"/>
      <c r="UXN20" s="13"/>
      <c r="UXO20" s="13"/>
      <c r="UXP20" s="13"/>
      <c r="UXQ20" s="13"/>
      <c r="UXR20" s="13"/>
      <c r="UXS20" s="13"/>
      <c r="UXT20" s="13"/>
      <c r="UXU20" s="13"/>
      <c r="UXV20" s="13"/>
      <c r="UXW20" s="13"/>
      <c r="UXX20" s="13"/>
      <c r="UXY20" s="13"/>
      <c r="UXZ20" s="13"/>
      <c r="UYA20" s="13"/>
      <c r="UYB20" s="13"/>
      <c r="UYC20" s="13"/>
      <c r="UYD20" s="13"/>
      <c r="UYE20" s="13"/>
      <c r="UYF20" s="13"/>
      <c r="UYG20" s="13"/>
      <c r="UYH20" s="13"/>
      <c r="UYI20" s="13"/>
      <c r="UYJ20" s="13"/>
      <c r="UYK20" s="13"/>
      <c r="UYL20" s="13"/>
      <c r="UYM20" s="13"/>
      <c r="UYN20" s="13"/>
      <c r="UYO20" s="13"/>
      <c r="UYP20" s="13"/>
      <c r="UYQ20" s="13"/>
      <c r="UYR20" s="13"/>
      <c r="UYS20" s="13"/>
      <c r="UYT20" s="13"/>
      <c r="UYU20" s="13"/>
      <c r="UYV20" s="13"/>
      <c r="UYW20" s="13"/>
      <c r="UYX20" s="13"/>
      <c r="UYY20" s="13"/>
      <c r="UYZ20" s="13"/>
      <c r="UZA20" s="13"/>
      <c r="UZB20" s="13"/>
      <c r="UZC20" s="13"/>
      <c r="UZD20" s="13"/>
      <c r="UZE20" s="13"/>
      <c r="UZF20" s="13"/>
      <c r="UZG20" s="13"/>
      <c r="UZH20" s="13"/>
      <c r="UZI20" s="13"/>
      <c r="UZJ20" s="13"/>
      <c r="UZK20" s="13"/>
      <c r="UZL20" s="13"/>
      <c r="UZM20" s="13"/>
      <c r="UZN20" s="13"/>
      <c r="UZO20" s="13"/>
      <c r="UZP20" s="13"/>
      <c r="UZQ20" s="13"/>
      <c r="UZR20" s="13"/>
      <c r="UZS20" s="13"/>
      <c r="UZT20" s="13"/>
      <c r="UZU20" s="13"/>
      <c r="UZV20" s="13"/>
      <c r="UZW20" s="13"/>
      <c r="UZX20" s="13"/>
      <c r="UZY20" s="13"/>
      <c r="UZZ20" s="13"/>
      <c r="VAA20" s="13"/>
      <c r="VAB20" s="13"/>
      <c r="VAC20" s="13"/>
      <c r="VAD20" s="13"/>
      <c r="VAE20" s="13"/>
      <c r="VAF20" s="13"/>
      <c r="VAG20" s="13"/>
      <c r="VAH20" s="13"/>
      <c r="VAI20" s="13"/>
      <c r="VAJ20" s="13"/>
      <c r="VAK20" s="13"/>
      <c r="VAL20" s="13"/>
      <c r="VAM20" s="13"/>
      <c r="VAN20" s="13"/>
      <c r="VAO20" s="13"/>
      <c r="VAP20" s="13"/>
      <c r="VAQ20" s="13"/>
      <c r="VAR20" s="13"/>
      <c r="VAS20" s="13"/>
      <c r="VAT20" s="13"/>
      <c r="VAU20" s="13"/>
      <c r="VAV20" s="13"/>
      <c r="VAW20" s="13"/>
      <c r="VAX20" s="13"/>
      <c r="VAY20" s="13"/>
      <c r="VAZ20" s="13"/>
      <c r="VBA20" s="13"/>
      <c r="VBB20" s="13"/>
      <c r="VBC20" s="13"/>
      <c r="VBD20" s="13"/>
      <c r="VBE20" s="13"/>
      <c r="VBF20" s="13"/>
      <c r="VBG20" s="13"/>
      <c r="VBH20" s="13"/>
      <c r="VBI20" s="13"/>
      <c r="VBJ20" s="13"/>
      <c r="VBK20" s="13"/>
      <c r="VBL20" s="13"/>
      <c r="VBM20" s="13"/>
      <c r="VBN20" s="13"/>
      <c r="VBO20" s="13"/>
      <c r="VBP20" s="13"/>
      <c r="VBQ20" s="13"/>
      <c r="VBR20" s="13"/>
      <c r="VBS20" s="13"/>
      <c r="VBT20" s="13"/>
      <c r="VBU20" s="13"/>
      <c r="VBV20" s="13"/>
      <c r="VBW20" s="13"/>
      <c r="VBX20" s="13"/>
      <c r="VBY20" s="13"/>
      <c r="VBZ20" s="13"/>
      <c r="VCA20" s="13"/>
      <c r="VCB20" s="13"/>
      <c r="VCC20" s="13"/>
      <c r="VCD20" s="13"/>
      <c r="VCE20" s="13"/>
      <c r="VCF20" s="13"/>
      <c r="VCG20" s="13"/>
      <c r="VCH20" s="13"/>
      <c r="VCI20" s="13"/>
      <c r="VCJ20" s="13"/>
      <c r="VCK20" s="13"/>
      <c r="VCL20" s="13"/>
      <c r="VCM20" s="13"/>
      <c r="VCN20" s="13"/>
      <c r="VCO20" s="13"/>
      <c r="VCP20" s="13"/>
      <c r="VCQ20" s="13"/>
      <c r="VCR20" s="13"/>
      <c r="VCS20" s="13"/>
      <c r="VCT20" s="13"/>
      <c r="VCU20" s="13"/>
      <c r="VCV20" s="13"/>
      <c r="VCW20" s="13"/>
      <c r="VCX20" s="13"/>
      <c r="VCY20" s="13"/>
      <c r="VCZ20" s="13"/>
      <c r="VDA20" s="13"/>
      <c r="VDB20" s="13"/>
      <c r="VDC20" s="13"/>
      <c r="VDD20" s="13"/>
      <c r="VDE20" s="13"/>
      <c r="VDF20" s="13"/>
      <c r="VDG20" s="13"/>
      <c r="VDH20" s="13"/>
      <c r="VDI20" s="13"/>
      <c r="VDJ20" s="13"/>
      <c r="VDK20" s="13"/>
      <c r="VDL20" s="13"/>
      <c r="VDM20" s="13"/>
      <c r="VDN20" s="13"/>
      <c r="VDO20" s="13"/>
      <c r="VDP20" s="13"/>
      <c r="VDQ20" s="13"/>
      <c r="VDR20" s="13"/>
      <c r="VDS20" s="13"/>
      <c r="VDT20" s="13"/>
      <c r="VDU20" s="13"/>
      <c r="VDV20" s="13"/>
      <c r="VDW20" s="13"/>
      <c r="VDX20" s="13"/>
      <c r="VDY20" s="13"/>
      <c r="VDZ20" s="13"/>
      <c r="VEA20" s="13"/>
      <c r="VEB20" s="13"/>
      <c r="VEC20" s="13"/>
      <c r="VED20" s="13"/>
      <c r="VEE20" s="13"/>
      <c r="VEF20" s="13"/>
      <c r="VEG20" s="13"/>
      <c r="VEH20" s="13"/>
      <c r="VEI20" s="13"/>
      <c r="VEJ20" s="13"/>
      <c r="VEK20" s="13"/>
      <c r="VEL20" s="13"/>
      <c r="VEM20" s="13"/>
      <c r="VEN20" s="13"/>
      <c r="VEO20" s="13"/>
      <c r="VEP20" s="13"/>
      <c r="VEQ20" s="13"/>
      <c r="VER20" s="13"/>
      <c r="VES20" s="13"/>
      <c r="VET20" s="13"/>
      <c r="VEU20" s="13"/>
      <c r="VEV20" s="13"/>
      <c r="VEW20" s="13"/>
      <c r="VEX20" s="13"/>
      <c r="VEY20" s="13"/>
      <c r="VEZ20" s="13"/>
      <c r="VFA20" s="13"/>
      <c r="VFB20" s="13"/>
      <c r="VFC20" s="13"/>
      <c r="VFD20" s="13"/>
      <c r="VFE20" s="13"/>
      <c r="VFF20" s="13"/>
      <c r="VFG20" s="13"/>
      <c r="VFH20" s="13"/>
      <c r="VFI20" s="13"/>
      <c r="VFJ20" s="13"/>
      <c r="VFK20" s="13"/>
      <c r="VFL20" s="13"/>
      <c r="VFM20" s="13"/>
      <c r="VFN20" s="13"/>
      <c r="VFO20" s="13"/>
      <c r="VFP20" s="13"/>
      <c r="VFQ20" s="13"/>
      <c r="VFR20" s="13"/>
      <c r="VFS20" s="13"/>
      <c r="VFT20" s="13"/>
      <c r="VFU20" s="13"/>
      <c r="VFV20" s="13"/>
      <c r="VFW20" s="13"/>
      <c r="VFX20" s="13"/>
      <c r="VFY20" s="13"/>
      <c r="VFZ20" s="13"/>
      <c r="VGA20" s="13"/>
      <c r="VGB20" s="13"/>
      <c r="VGC20" s="13"/>
      <c r="VGD20" s="13"/>
      <c r="VGE20" s="13"/>
      <c r="VGF20" s="13"/>
      <c r="VGG20" s="13"/>
      <c r="VGH20" s="13"/>
      <c r="VGI20" s="13"/>
      <c r="VGJ20" s="13"/>
      <c r="VGK20" s="13"/>
      <c r="VGL20" s="13"/>
      <c r="VGM20" s="13"/>
      <c r="VGN20" s="13"/>
      <c r="VGO20" s="13"/>
      <c r="VGP20" s="13"/>
      <c r="VGQ20" s="13"/>
      <c r="VGR20" s="13"/>
      <c r="VGS20" s="13"/>
      <c r="VGT20" s="13"/>
      <c r="VGU20" s="13"/>
      <c r="VGV20" s="13"/>
      <c r="VGW20" s="13"/>
      <c r="VGX20" s="13"/>
      <c r="VGY20" s="13"/>
      <c r="VGZ20" s="13"/>
      <c r="VHA20" s="13"/>
      <c r="VHB20" s="13"/>
      <c r="VHC20" s="13"/>
      <c r="VHD20" s="13"/>
      <c r="VHE20" s="13"/>
      <c r="VHF20" s="13"/>
      <c r="VHG20" s="13"/>
      <c r="VHH20" s="13"/>
      <c r="VHI20" s="13"/>
      <c r="VHJ20" s="13"/>
      <c r="VHK20" s="13"/>
      <c r="VHL20" s="13"/>
      <c r="VHM20" s="13"/>
      <c r="VHN20" s="13"/>
      <c r="VHO20" s="13"/>
      <c r="VHP20" s="13"/>
      <c r="VHQ20" s="13"/>
      <c r="VHR20" s="13"/>
      <c r="VHS20" s="13"/>
      <c r="VHT20" s="13"/>
      <c r="VHU20" s="13"/>
      <c r="VHV20" s="13"/>
      <c r="VHW20" s="13"/>
      <c r="VHX20" s="13"/>
      <c r="VHY20" s="13"/>
      <c r="VHZ20" s="13"/>
      <c r="VIA20" s="13"/>
      <c r="VIB20" s="13"/>
      <c r="VIC20" s="13"/>
      <c r="VID20" s="13"/>
      <c r="VIE20" s="13"/>
      <c r="VIF20" s="13"/>
      <c r="VIG20" s="13"/>
      <c r="VIH20" s="13"/>
      <c r="VII20" s="13"/>
      <c r="VIJ20" s="13"/>
      <c r="VIK20" s="13"/>
      <c r="VIL20" s="13"/>
      <c r="VIM20" s="13"/>
      <c r="VIN20" s="13"/>
      <c r="VIO20" s="13"/>
      <c r="VIP20" s="13"/>
      <c r="VIQ20" s="13"/>
      <c r="VIR20" s="13"/>
      <c r="VIS20" s="13"/>
      <c r="VIT20" s="13"/>
      <c r="VIU20" s="13"/>
      <c r="VIV20" s="13"/>
      <c r="VIW20" s="13"/>
      <c r="VIX20" s="13"/>
      <c r="VIY20" s="13"/>
      <c r="VIZ20" s="13"/>
      <c r="VJA20" s="13"/>
      <c r="VJB20" s="13"/>
      <c r="VJC20" s="13"/>
      <c r="VJD20" s="13"/>
      <c r="VJE20" s="13"/>
      <c r="VJF20" s="13"/>
      <c r="VJG20" s="13"/>
      <c r="VJH20" s="13"/>
      <c r="VJI20" s="13"/>
      <c r="VJJ20" s="13"/>
      <c r="VJK20" s="13"/>
      <c r="VJL20" s="13"/>
      <c r="VJM20" s="13"/>
      <c r="VJN20" s="13"/>
      <c r="VJO20" s="13"/>
      <c r="VJP20" s="13"/>
      <c r="VJQ20" s="13"/>
      <c r="VJR20" s="13"/>
      <c r="VJS20" s="13"/>
      <c r="VJT20" s="13"/>
      <c r="VJU20" s="13"/>
      <c r="VJV20" s="13"/>
      <c r="VJW20" s="13"/>
      <c r="VJX20" s="13"/>
      <c r="VJY20" s="13"/>
      <c r="VJZ20" s="13"/>
      <c r="VKA20" s="13"/>
      <c r="VKB20" s="13"/>
      <c r="VKC20" s="13"/>
      <c r="VKD20" s="13"/>
      <c r="VKE20" s="13"/>
      <c r="VKF20" s="13"/>
      <c r="VKG20" s="13"/>
      <c r="VKH20" s="13"/>
      <c r="VKI20" s="13"/>
      <c r="VKJ20" s="13"/>
      <c r="VKK20" s="13"/>
      <c r="VKL20" s="13"/>
      <c r="VKM20" s="13"/>
      <c r="VKN20" s="13"/>
      <c r="VKO20" s="13"/>
      <c r="VKP20" s="13"/>
      <c r="VKQ20" s="13"/>
      <c r="VKR20" s="13"/>
      <c r="VKS20" s="13"/>
      <c r="VKT20" s="13"/>
      <c r="VKU20" s="13"/>
      <c r="VKV20" s="13"/>
      <c r="VKW20" s="13"/>
      <c r="VKX20" s="13"/>
      <c r="VKY20" s="13"/>
      <c r="VKZ20" s="13"/>
      <c r="VLA20" s="13"/>
      <c r="VLB20" s="13"/>
      <c r="VLC20" s="13"/>
      <c r="VLD20" s="13"/>
      <c r="VLE20" s="13"/>
      <c r="VLF20" s="13"/>
      <c r="VLG20" s="13"/>
      <c r="VLH20" s="13"/>
      <c r="VLI20" s="13"/>
      <c r="VLJ20" s="13"/>
      <c r="VLK20" s="13"/>
      <c r="VLL20" s="13"/>
      <c r="VLM20" s="13"/>
      <c r="VLN20" s="13"/>
      <c r="VLO20" s="13"/>
      <c r="VLP20" s="13"/>
      <c r="VLQ20" s="13"/>
      <c r="VLR20" s="13"/>
      <c r="VLS20" s="13"/>
      <c r="VLT20" s="13"/>
      <c r="VLU20" s="13"/>
      <c r="VLV20" s="13"/>
      <c r="VLW20" s="13"/>
      <c r="VLX20" s="13"/>
      <c r="VLY20" s="13"/>
      <c r="VLZ20" s="13"/>
      <c r="VMA20" s="13"/>
      <c r="VMB20" s="13"/>
      <c r="VMC20" s="13"/>
      <c r="VMD20" s="13"/>
      <c r="VME20" s="13"/>
      <c r="VMF20" s="13"/>
      <c r="VMG20" s="13"/>
      <c r="VMH20" s="13"/>
      <c r="VMI20" s="13"/>
      <c r="VMJ20" s="13"/>
      <c r="VMK20" s="13"/>
      <c r="VML20" s="13"/>
      <c r="VMM20" s="13"/>
      <c r="VMN20" s="13"/>
      <c r="VMO20" s="13"/>
      <c r="VMP20" s="13"/>
      <c r="VMQ20" s="13"/>
      <c r="VMR20" s="13"/>
      <c r="VMS20" s="13"/>
      <c r="VMT20" s="13"/>
      <c r="VMU20" s="13"/>
      <c r="VMV20" s="13"/>
      <c r="VMW20" s="13"/>
      <c r="VMX20" s="13"/>
      <c r="VMY20" s="13"/>
      <c r="VMZ20" s="13"/>
      <c r="VNA20" s="13"/>
      <c r="VNB20" s="13"/>
      <c r="VNC20" s="13"/>
      <c r="VND20" s="13"/>
      <c r="VNE20" s="13"/>
      <c r="VNF20" s="13"/>
      <c r="VNG20" s="13"/>
      <c r="VNH20" s="13"/>
      <c r="VNI20" s="13"/>
      <c r="VNJ20" s="13"/>
      <c r="VNK20" s="13"/>
      <c r="VNL20" s="13"/>
      <c r="VNM20" s="13"/>
      <c r="VNN20" s="13"/>
      <c r="VNO20" s="13"/>
      <c r="VNP20" s="13"/>
      <c r="VNQ20" s="13"/>
      <c r="VNR20" s="13"/>
      <c r="VNS20" s="13"/>
      <c r="VNT20" s="13"/>
      <c r="VNU20" s="13"/>
      <c r="VNV20" s="13"/>
      <c r="VNW20" s="13"/>
      <c r="VNX20" s="13"/>
      <c r="VNY20" s="13"/>
      <c r="VNZ20" s="13"/>
      <c r="VOA20" s="13"/>
      <c r="VOB20" s="13"/>
      <c r="VOC20" s="13"/>
      <c r="VOD20" s="13"/>
      <c r="VOE20" s="13"/>
      <c r="VOF20" s="13"/>
      <c r="VOG20" s="13"/>
      <c r="VOH20" s="13"/>
      <c r="VOI20" s="13"/>
      <c r="VOJ20" s="13"/>
      <c r="VOK20" s="13"/>
      <c r="VOL20" s="13"/>
      <c r="VOM20" s="13"/>
      <c r="VON20" s="13"/>
      <c r="VOO20" s="13"/>
      <c r="VOP20" s="13"/>
      <c r="VOQ20" s="13"/>
      <c r="VOR20" s="13"/>
      <c r="VOS20" s="13"/>
      <c r="VOT20" s="13"/>
      <c r="VOU20" s="13"/>
      <c r="VOV20" s="13"/>
      <c r="VOW20" s="13"/>
      <c r="VOX20" s="13"/>
      <c r="VOY20" s="13"/>
      <c r="VOZ20" s="13"/>
      <c r="VPA20" s="13"/>
      <c r="VPB20" s="13"/>
      <c r="VPC20" s="13"/>
      <c r="VPD20" s="13"/>
      <c r="VPE20" s="13"/>
      <c r="VPF20" s="13"/>
      <c r="VPG20" s="13"/>
      <c r="VPH20" s="13"/>
      <c r="VPI20" s="13"/>
      <c r="VPJ20" s="13"/>
      <c r="VPK20" s="13"/>
      <c r="VPL20" s="13"/>
      <c r="VPM20" s="13"/>
      <c r="VPN20" s="13"/>
      <c r="VPO20" s="13"/>
      <c r="VPP20" s="13"/>
      <c r="VPQ20" s="13"/>
      <c r="VPR20" s="13"/>
      <c r="VPS20" s="13"/>
      <c r="VPT20" s="13"/>
      <c r="VPU20" s="13"/>
      <c r="VPV20" s="13"/>
      <c r="VPW20" s="13"/>
      <c r="VPX20" s="13"/>
      <c r="VPY20" s="13"/>
      <c r="VPZ20" s="13"/>
      <c r="VQA20" s="13"/>
      <c r="VQB20" s="13"/>
      <c r="VQC20" s="13"/>
      <c r="VQD20" s="13"/>
      <c r="VQE20" s="13"/>
      <c r="VQF20" s="13"/>
      <c r="VQG20" s="13"/>
      <c r="VQH20" s="13"/>
      <c r="VQI20" s="13"/>
      <c r="VQJ20" s="13"/>
      <c r="VQK20" s="13"/>
      <c r="VQL20" s="13"/>
      <c r="VQM20" s="13"/>
      <c r="VQN20" s="13"/>
      <c r="VQO20" s="13"/>
      <c r="VQP20" s="13"/>
      <c r="VQQ20" s="13"/>
      <c r="VQR20" s="13"/>
      <c r="VQS20" s="13"/>
      <c r="VQT20" s="13"/>
      <c r="VQU20" s="13"/>
      <c r="VQV20" s="13"/>
      <c r="VQW20" s="13"/>
      <c r="VQX20" s="13"/>
      <c r="VQY20" s="13"/>
      <c r="VQZ20" s="13"/>
      <c r="VRA20" s="13"/>
      <c r="VRB20" s="13"/>
      <c r="VRC20" s="13"/>
      <c r="VRD20" s="13"/>
      <c r="VRE20" s="13"/>
      <c r="VRF20" s="13"/>
      <c r="VRG20" s="13"/>
      <c r="VRH20" s="13"/>
      <c r="VRI20" s="13"/>
      <c r="VRJ20" s="13"/>
      <c r="VRK20" s="13"/>
      <c r="VRL20" s="13"/>
      <c r="VRM20" s="13"/>
      <c r="VRN20" s="13"/>
      <c r="VRO20" s="13"/>
      <c r="VRP20" s="13"/>
      <c r="VRQ20" s="13"/>
      <c r="VRR20" s="13"/>
      <c r="VRS20" s="13"/>
      <c r="VRT20" s="13"/>
      <c r="VRU20" s="13"/>
      <c r="VRV20" s="13"/>
      <c r="VRW20" s="13"/>
      <c r="VRX20" s="13"/>
      <c r="VRY20" s="13"/>
      <c r="VRZ20" s="13"/>
      <c r="VSA20" s="13"/>
      <c r="VSB20" s="13"/>
      <c r="VSC20" s="13"/>
      <c r="VSD20" s="13"/>
      <c r="VSE20" s="13"/>
      <c r="VSF20" s="13"/>
      <c r="VSG20" s="13"/>
      <c r="VSH20" s="13"/>
      <c r="VSI20" s="13"/>
      <c r="VSJ20" s="13"/>
      <c r="VSK20" s="13"/>
      <c r="VSL20" s="13"/>
      <c r="VSM20" s="13"/>
      <c r="VSN20" s="13"/>
      <c r="VSO20" s="13"/>
      <c r="VSP20" s="13"/>
      <c r="VSQ20" s="13"/>
      <c r="VSR20" s="13"/>
      <c r="VSS20" s="13"/>
      <c r="VST20" s="13"/>
      <c r="VSU20" s="13"/>
      <c r="VSV20" s="13"/>
      <c r="VSW20" s="13"/>
      <c r="VSX20" s="13"/>
      <c r="VSY20" s="13"/>
      <c r="VSZ20" s="13"/>
      <c r="VTA20" s="13"/>
      <c r="VTB20" s="13"/>
      <c r="VTC20" s="13"/>
      <c r="VTD20" s="13"/>
      <c r="VTE20" s="13"/>
      <c r="VTF20" s="13"/>
      <c r="VTG20" s="13"/>
      <c r="VTH20" s="13"/>
      <c r="VTI20" s="13"/>
      <c r="VTJ20" s="13"/>
      <c r="VTK20" s="13"/>
      <c r="VTL20" s="13"/>
      <c r="VTM20" s="13"/>
      <c r="VTN20" s="13"/>
      <c r="VTO20" s="13"/>
      <c r="VTP20" s="13"/>
      <c r="VTQ20" s="13"/>
      <c r="VTR20" s="13"/>
      <c r="VTS20" s="13"/>
      <c r="VTT20" s="13"/>
      <c r="VTU20" s="13"/>
      <c r="VTV20" s="13"/>
      <c r="VTW20" s="13"/>
      <c r="VTX20" s="13"/>
      <c r="VTY20" s="13"/>
      <c r="VTZ20" s="13"/>
      <c r="VUA20" s="13"/>
      <c r="VUB20" s="13"/>
      <c r="VUC20" s="13"/>
      <c r="VUD20" s="13"/>
      <c r="VUE20" s="13"/>
      <c r="VUF20" s="13"/>
      <c r="VUG20" s="13"/>
      <c r="VUH20" s="13"/>
      <c r="VUI20" s="13"/>
      <c r="VUJ20" s="13"/>
      <c r="VUK20" s="13"/>
      <c r="VUL20" s="13"/>
      <c r="VUM20" s="13"/>
      <c r="VUN20" s="13"/>
      <c r="VUO20" s="13"/>
      <c r="VUP20" s="13"/>
      <c r="VUQ20" s="13"/>
      <c r="VUR20" s="13"/>
      <c r="VUS20" s="13"/>
      <c r="VUT20" s="13"/>
      <c r="VUU20" s="13"/>
      <c r="VUV20" s="13"/>
      <c r="VUW20" s="13"/>
      <c r="VUX20" s="13"/>
      <c r="VUY20" s="13"/>
      <c r="VUZ20" s="13"/>
      <c r="VVA20" s="13"/>
      <c r="VVB20" s="13"/>
      <c r="VVC20" s="13"/>
      <c r="VVD20" s="13"/>
      <c r="VVE20" s="13"/>
      <c r="VVF20" s="13"/>
      <c r="VVG20" s="13"/>
      <c r="VVH20" s="13"/>
      <c r="VVI20" s="13"/>
      <c r="VVJ20" s="13"/>
      <c r="VVK20" s="13"/>
      <c r="VVL20" s="13"/>
      <c r="VVM20" s="13"/>
      <c r="VVN20" s="13"/>
      <c r="VVO20" s="13"/>
      <c r="VVP20" s="13"/>
      <c r="VVQ20" s="13"/>
      <c r="VVR20" s="13"/>
      <c r="VVS20" s="13"/>
      <c r="VVT20" s="13"/>
      <c r="VVU20" s="13"/>
      <c r="VVV20" s="13"/>
      <c r="VVW20" s="13"/>
      <c r="VVX20" s="13"/>
      <c r="VVY20" s="13"/>
      <c r="VVZ20" s="13"/>
      <c r="VWA20" s="13"/>
      <c r="VWB20" s="13"/>
      <c r="VWC20" s="13"/>
      <c r="VWD20" s="13"/>
      <c r="VWE20" s="13"/>
      <c r="VWF20" s="13"/>
      <c r="VWG20" s="13"/>
      <c r="VWH20" s="13"/>
      <c r="VWI20" s="13"/>
      <c r="VWJ20" s="13"/>
      <c r="VWK20" s="13"/>
      <c r="VWL20" s="13"/>
      <c r="VWM20" s="13"/>
      <c r="VWN20" s="13"/>
      <c r="VWO20" s="13"/>
      <c r="VWP20" s="13"/>
      <c r="VWQ20" s="13"/>
      <c r="VWR20" s="13"/>
      <c r="VWS20" s="13"/>
      <c r="VWT20" s="13"/>
      <c r="VWU20" s="13"/>
      <c r="VWV20" s="13"/>
      <c r="VWW20" s="13"/>
      <c r="VWX20" s="13"/>
      <c r="VWY20" s="13"/>
      <c r="VWZ20" s="13"/>
      <c r="VXA20" s="13"/>
      <c r="VXB20" s="13"/>
      <c r="VXC20" s="13"/>
      <c r="VXD20" s="13"/>
      <c r="VXE20" s="13"/>
      <c r="VXF20" s="13"/>
      <c r="VXG20" s="13"/>
      <c r="VXH20" s="13"/>
      <c r="VXI20" s="13"/>
      <c r="VXJ20" s="13"/>
      <c r="VXK20" s="13"/>
      <c r="VXL20" s="13"/>
      <c r="VXM20" s="13"/>
      <c r="VXN20" s="13"/>
      <c r="VXO20" s="13"/>
      <c r="VXP20" s="13"/>
      <c r="VXQ20" s="13"/>
      <c r="VXR20" s="13"/>
      <c r="VXS20" s="13"/>
      <c r="VXT20" s="13"/>
      <c r="VXU20" s="13"/>
      <c r="VXV20" s="13"/>
      <c r="VXW20" s="13"/>
      <c r="VXX20" s="13"/>
      <c r="VXY20" s="13"/>
      <c r="VXZ20" s="13"/>
      <c r="VYA20" s="13"/>
      <c r="VYB20" s="13"/>
      <c r="VYC20" s="13"/>
      <c r="VYD20" s="13"/>
      <c r="VYE20" s="13"/>
      <c r="VYF20" s="13"/>
      <c r="VYG20" s="13"/>
      <c r="VYH20" s="13"/>
      <c r="VYI20" s="13"/>
      <c r="VYJ20" s="13"/>
      <c r="VYK20" s="13"/>
      <c r="VYL20" s="13"/>
      <c r="VYM20" s="13"/>
      <c r="VYN20" s="13"/>
      <c r="VYO20" s="13"/>
      <c r="VYP20" s="13"/>
      <c r="VYQ20" s="13"/>
      <c r="VYR20" s="13"/>
      <c r="VYS20" s="13"/>
      <c r="VYT20" s="13"/>
      <c r="VYU20" s="13"/>
      <c r="VYV20" s="13"/>
      <c r="VYW20" s="13"/>
      <c r="VYX20" s="13"/>
      <c r="VYY20" s="13"/>
      <c r="VYZ20" s="13"/>
      <c r="VZA20" s="13"/>
      <c r="VZB20" s="13"/>
      <c r="VZC20" s="13"/>
      <c r="VZD20" s="13"/>
      <c r="VZE20" s="13"/>
      <c r="VZF20" s="13"/>
      <c r="VZG20" s="13"/>
      <c r="VZH20" s="13"/>
      <c r="VZI20" s="13"/>
      <c r="VZJ20" s="13"/>
      <c r="VZK20" s="13"/>
      <c r="VZL20" s="13"/>
      <c r="VZM20" s="13"/>
      <c r="VZN20" s="13"/>
      <c r="VZO20" s="13"/>
      <c r="VZP20" s="13"/>
      <c r="VZQ20" s="13"/>
      <c r="VZR20" s="13"/>
      <c r="VZS20" s="13"/>
      <c r="VZT20" s="13"/>
      <c r="VZU20" s="13"/>
      <c r="VZV20" s="13"/>
      <c r="VZW20" s="13"/>
      <c r="VZX20" s="13"/>
      <c r="VZY20" s="13"/>
      <c r="VZZ20" s="13"/>
      <c r="WAA20" s="13"/>
      <c r="WAB20" s="13"/>
      <c r="WAC20" s="13"/>
      <c r="WAD20" s="13"/>
      <c r="WAE20" s="13"/>
      <c r="WAF20" s="13"/>
      <c r="WAG20" s="13"/>
      <c r="WAH20" s="13"/>
      <c r="WAI20" s="13"/>
      <c r="WAJ20" s="13"/>
      <c r="WAK20" s="13"/>
      <c r="WAL20" s="13"/>
      <c r="WAM20" s="13"/>
      <c r="WAN20" s="13"/>
      <c r="WAO20" s="13"/>
      <c r="WAP20" s="13"/>
      <c r="WAQ20" s="13"/>
      <c r="WAR20" s="13"/>
      <c r="WAS20" s="13"/>
      <c r="WAT20" s="13"/>
      <c r="WAU20" s="13"/>
      <c r="WAV20" s="13"/>
      <c r="WAW20" s="13"/>
      <c r="WAX20" s="13"/>
      <c r="WAY20" s="13"/>
      <c r="WAZ20" s="13"/>
      <c r="WBA20" s="13"/>
      <c r="WBB20" s="13"/>
      <c r="WBC20" s="13"/>
      <c r="WBD20" s="13"/>
      <c r="WBE20" s="13"/>
      <c r="WBF20" s="13"/>
      <c r="WBG20" s="13"/>
      <c r="WBH20" s="13"/>
      <c r="WBI20" s="13"/>
      <c r="WBJ20" s="13"/>
      <c r="WBK20" s="13"/>
      <c r="WBL20" s="13"/>
      <c r="WBM20" s="13"/>
      <c r="WBN20" s="13"/>
      <c r="WBO20" s="13"/>
      <c r="WBP20" s="13"/>
      <c r="WBQ20" s="13"/>
      <c r="WBR20" s="13"/>
      <c r="WBS20" s="13"/>
      <c r="WBT20" s="13"/>
      <c r="WBU20" s="13"/>
      <c r="WBV20" s="13"/>
      <c r="WBW20" s="13"/>
      <c r="WBX20" s="13"/>
      <c r="WBY20" s="13"/>
      <c r="WBZ20" s="13"/>
      <c r="WCA20" s="13"/>
      <c r="WCB20" s="13"/>
      <c r="WCC20" s="13"/>
      <c r="WCD20" s="13"/>
      <c r="WCE20" s="13"/>
      <c r="WCF20" s="13"/>
      <c r="WCG20" s="13"/>
      <c r="WCH20" s="13"/>
      <c r="WCI20" s="13"/>
      <c r="WCJ20" s="13"/>
      <c r="WCK20" s="13"/>
      <c r="WCL20" s="13"/>
      <c r="WCM20" s="13"/>
      <c r="WCN20" s="13"/>
      <c r="WCO20" s="13"/>
      <c r="WCP20" s="13"/>
      <c r="WCQ20" s="13"/>
      <c r="WCR20" s="13"/>
      <c r="WCS20" s="13"/>
      <c r="WCT20" s="13"/>
      <c r="WCU20" s="13"/>
      <c r="WCV20" s="13"/>
      <c r="WCW20" s="13"/>
      <c r="WCX20" s="13"/>
      <c r="WCY20" s="13"/>
      <c r="WCZ20" s="13"/>
      <c r="WDA20" s="13"/>
      <c r="WDB20" s="13"/>
      <c r="WDC20" s="13"/>
      <c r="WDD20" s="13"/>
      <c r="WDE20" s="13"/>
      <c r="WDF20" s="13"/>
      <c r="WDG20" s="13"/>
      <c r="WDH20" s="13"/>
      <c r="WDI20" s="13"/>
      <c r="WDJ20" s="13"/>
      <c r="WDK20" s="13"/>
      <c r="WDL20" s="13"/>
      <c r="WDM20" s="13"/>
      <c r="WDN20" s="13"/>
      <c r="WDO20" s="13"/>
      <c r="WDP20" s="13"/>
      <c r="WDQ20" s="13"/>
      <c r="WDR20" s="13"/>
      <c r="WDS20" s="13"/>
      <c r="WDT20" s="13"/>
      <c r="WDU20" s="13"/>
      <c r="WDV20" s="13"/>
      <c r="WDW20" s="13"/>
      <c r="WDX20" s="13"/>
      <c r="WDY20" s="13"/>
      <c r="WDZ20" s="13"/>
      <c r="WEA20" s="13"/>
      <c r="WEB20" s="13"/>
      <c r="WEC20" s="13"/>
      <c r="WED20" s="13"/>
      <c r="WEE20" s="13"/>
      <c r="WEF20" s="13"/>
      <c r="WEG20" s="13"/>
      <c r="WEH20" s="13"/>
      <c r="WEI20" s="13"/>
      <c r="WEJ20" s="13"/>
      <c r="WEK20" s="13"/>
      <c r="WEL20" s="13"/>
      <c r="WEM20" s="13"/>
      <c r="WEN20" s="13"/>
      <c r="WEO20" s="13"/>
      <c r="WEP20" s="13"/>
      <c r="WEQ20" s="13"/>
      <c r="WER20" s="13"/>
      <c r="WES20" s="13"/>
      <c r="WET20" s="13"/>
      <c r="WEU20" s="13"/>
      <c r="WEV20" s="13"/>
      <c r="WEW20" s="13"/>
      <c r="WEX20" s="13"/>
      <c r="WEY20" s="13"/>
      <c r="WEZ20" s="13"/>
      <c r="WFA20" s="13"/>
      <c r="WFB20" s="13"/>
      <c r="WFC20" s="13"/>
      <c r="WFD20" s="13"/>
      <c r="WFE20" s="13"/>
      <c r="WFF20" s="13"/>
      <c r="WFG20" s="13"/>
      <c r="WFH20" s="13"/>
      <c r="WFI20" s="13"/>
      <c r="WFJ20" s="13"/>
      <c r="WFK20" s="13"/>
      <c r="WFL20" s="13"/>
      <c r="WFM20" s="13"/>
      <c r="WFN20" s="13"/>
      <c r="WFO20" s="13"/>
      <c r="WFP20" s="13"/>
      <c r="WFQ20" s="13"/>
      <c r="WFR20" s="13"/>
      <c r="WFS20" s="13"/>
      <c r="WFT20" s="13"/>
      <c r="WFU20" s="13"/>
      <c r="WFV20" s="13"/>
      <c r="WFW20" s="13"/>
      <c r="WFX20" s="13"/>
      <c r="WFY20" s="13"/>
      <c r="WFZ20" s="13"/>
      <c r="WGA20" s="13"/>
      <c r="WGB20" s="13"/>
      <c r="WGC20" s="13"/>
      <c r="WGD20" s="13"/>
      <c r="WGE20" s="13"/>
      <c r="WGF20" s="13"/>
      <c r="WGG20" s="13"/>
      <c r="WGH20" s="13"/>
      <c r="WGI20" s="13"/>
      <c r="WGJ20" s="13"/>
      <c r="WGK20" s="13"/>
      <c r="WGL20" s="13"/>
      <c r="WGM20" s="13"/>
      <c r="WGN20" s="13"/>
      <c r="WGO20" s="13"/>
      <c r="WGP20" s="13"/>
      <c r="WGQ20" s="13"/>
      <c r="WGR20" s="13"/>
      <c r="WGS20" s="13"/>
      <c r="WGT20" s="13"/>
      <c r="WGU20" s="13"/>
      <c r="WGV20" s="13"/>
      <c r="WGW20" s="13"/>
      <c r="WGX20" s="13"/>
      <c r="WGY20" s="13"/>
      <c r="WGZ20" s="13"/>
      <c r="WHA20" s="13"/>
      <c r="WHB20" s="13"/>
      <c r="WHC20" s="13"/>
      <c r="WHD20" s="13"/>
      <c r="WHE20" s="13"/>
      <c r="WHF20" s="13"/>
      <c r="WHG20" s="13"/>
      <c r="WHH20" s="13"/>
      <c r="WHI20" s="13"/>
      <c r="WHJ20" s="13"/>
      <c r="WHK20" s="13"/>
      <c r="WHL20" s="13"/>
      <c r="WHM20" s="13"/>
      <c r="WHN20" s="13"/>
      <c r="WHO20" s="13"/>
      <c r="WHP20" s="13"/>
      <c r="WHQ20" s="13"/>
      <c r="WHR20" s="13"/>
      <c r="WHS20" s="13"/>
      <c r="WHT20" s="13"/>
      <c r="WHU20" s="13"/>
      <c r="WHV20" s="13"/>
      <c r="WHW20" s="13"/>
      <c r="WHX20" s="13"/>
      <c r="WHY20" s="13"/>
      <c r="WHZ20" s="13"/>
      <c r="WIA20" s="13"/>
      <c r="WIB20" s="13"/>
      <c r="WIC20" s="13"/>
      <c r="WID20" s="13"/>
      <c r="WIE20" s="13"/>
      <c r="WIF20" s="13"/>
      <c r="WIG20" s="13"/>
      <c r="WIH20" s="13"/>
      <c r="WII20" s="13"/>
      <c r="WIJ20" s="13"/>
      <c r="WIK20" s="13"/>
      <c r="WIL20" s="13"/>
      <c r="WIM20" s="13"/>
      <c r="WIN20" s="13"/>
      <c r="WIO20" s="13"/>
      <c r="WIP20" s="13"/>
      <c r="WIQ20" s="13"/>
      <c r="WIR20" s="13"/>
      <c r="WIS20" s="13"/>
      <c r="WIT20" s="13"/>
      <c r="WIU20" s="13"/>
      <c r="WIV20" s="13"/>
      <c r="WIW20" s="13"/>
      <c r="WIX20" s="13"/>
      <c r="WIY20" s="13"/>
      <c r="WIZ20" s="13"/>
      <c r="WJA20" s="13"/>
      <c r="WJB20" s="13"/>
      <c r="WJC20" s="13"/>
      <c r="WJD20" s="13"/>
      <c r="WJE20" s="13"/>
      <c r="WJF20" s="13"/>
      <c r="WJG20" s="13"/>
      <c r="WJH20" s="13"/>
      <c r="WJI20" s="13"/>
      <c r="WJJ20" s="13"/>
      <c r="WJK20" s="13"/>
      <c r="WJL20" s="13"/>
      <c r="WJM20" s="13"/>
      <c r="WJN20" s="13"/>
      <c r="WJO20" s="13"/>
      <c r="WJP20" s="13"/>
      <c r="WJQ20" s="13"/>
      <c r="WJR20" s="13"/>
      <c r="WJS20" s="13"/>
      <c r="WJT20" s="13"/>
      <c r="WJU20" s="13"/>
      <c r="WJV20" s="13"/>
      <c r="WJW20" s="13"/>
      <c r="WJX20" s="13"/>
      <c r="WJY20" s="13"/>
      <c r="WJZ20" s="13"/>
      <c r="WKA20" s="13"/>
      <c r="WKB20" s="13"/>
      <c r="WKC20" s="13"/>
      <c r="WKD20" s="13"/>
      <c r="WKE20" s="13"/>
      <c r="WKF20" s="13"/>
      <c r="WKG20" s="13"/>
      <c r="WKH20" s="13"/>
      <c r="WKI20" s="13"/>
      <c r="WKJ20" s="13"/>
      <c r="WKK20" s="13"/>
      <c r="WKL20" s="13"/>
      <c r="WKM20" s="13"/>
      <c r="WKN20" s="13"/>
      <c r="WKO20" s="13"/>
      <c r="WKP20" s="13"/>
      <c r="WKQ20" s="13"/>
      <c r="WKR20" s="13"/>
      <c r="WKS20" s="13"/>
      <c r="WKT20" s="13"/>
      <c r="WKU20" s="13"/>
      <c r="WKV20" s="13"/>
      <c r="WKW20" s="13"/>
      <c r="WKX20" s="13"/>
      <c r="WKY20" s="13"/>
      <c r="WKZ20" s="13"/>
      <c r="WLA20" s="13"/>
      <c r="WLB20" s="13"/>
      <c r="WLC20" s="13"/>
      <c r="WLD20" s="13"/>
      <c r="WLE20" s="13"/>
      <c r="WLF20" s="13"/>
      <c r="WLG20" s="13"/>
      <c r="WLH20" s="13"/>
      <c r="WLI20" s="13"/>
      <c r="WLJ20" s="13"/>
      <c r="WLK20" s="13"/>
      <c r="WLL20" s="13"/>
      <c r="WLM20" s="13"/>
      <c r="WLN20" s="13"/>
      <c r="WLO20" s="13"/>
      <c r="WLP20" s="13"/>
      <c r="WLQ20" s="13"/>
      <c r="WLR20" s="13"/>
      <c r="WLS20" s="13"/>
      <c r="WLT20" s="13"/>
      <c r="WLU20" s="13"/>
      <c r="WLV20" s="13"/>
      <c r="WLW20" s="13"/>
      <c r="WLX20" s="13"/>
      <c r="WLY20" s="13"/>
      <c r="WLZ20" s="13"/>
      <c r="WMA20" s="13"/>
      <c r="WMB20" s="13"/>
      <c r="WMC20" s="13"/>
      <c r="WMD20" s="13"/>
      <c r="WME20" s="13"/>
      <c r="WMF20" s="13"/>
      <c r="WMG20" s="13"/>
      <c r="WMH20" s="13"/>
      <c r="WMI20" s="13"/>
      <c r="WMJ20" s="13"/>
      <c r="WMK20" s="13"/>
      <c r="WML20" s="13"/>
      <c r="WMM20" s="13"/>
      <c r="WMN20" s="13"/>
      <c r="WMO20" s="13"/>
      <c r="WMP20" s="13"/>
      <c r="WMQ20" s="13"/>
      <c r="WMR20" s="13"/>
      <c r="WMS20" s="13"/>
      <c r="WMT20" s="13"/>
      <c r="WMU20" s="13"/>
      <c r="WMV20" s="13"/>
      <c r="WMW20" s="13"/>
      <c r="WMX20" s="13"/>
      <c r="WMY20" s="13"/>
      <c r="WMZ20" s="13"/>
      <c r="WNA20" s="13"/>
      <c r="WNB20" s="13"/>
      <c r="WNC20" s="13"/>
      <c r="WND20" s="13"/>
      <c r="WNE20" s="13"/>
      <c r="WNF20" s="13"/>
      <c r="WNG20" s="13"/>
      <c r="WNH20" s="13"/>
      <c r="WNI20" s="13"/>
      <c r="WNJ20" s="13"/>
      <c r="WNK20" s="13"/>
      <c r="WNL20" s="13"/>
      <c r="WNM20" s="13"/>
      <c r="WNN20" s="13"/>
      <c r="WNO20" s="13"/>
      <c r="WNP20" s="13"/>
      <c r="WNQ20" s="13"/>
      <c r="WNR20" s="13"/>
      <c r="WNS20" s="13"/>
      <c r="WNT20" s="13"/>
      <c r="WNU20" s="13"/>
      <c r="WNV20" s="13"/>
      <c r="WNW20" s="13"/>
      <c r="WNX20" s="13"/>
      <c r="WNY20" s="13"/>
      <c r="WNZ20" s="13"/>
      <c r="WOA20" s="13"/>
      <c r="WOB20" s="13"/>
      <c r="WOC20" s="13"/>
      <c r="WOD20" s="13"/>
      <c r="WOE20" s="13"/>
      <c r="WOF20" s="13"/>
      <c r="WOG20" s="13"/>
      <c r="WOH20" s="13"/>
      <c r="WOI20" s="13"/>
      <c r="WOJ20" s="13"/>
      <c r="WOK20" s="13"/>
      <c r="WOL20" s="13"/>
      <c r="WOM20" s="13"/>
      <c r="WON20" s="13"/>
      <c r="WOO20" s="13"/>
      <c r="WOP20" s="13"/>
      <c r="WOQ20" s="13"/>
      <c r="WOR20" s="13"/>
      <c r="WOS20" s="13"/>
      <c r="WOT20" s="13"/>
      <c r="WOU20" s="13"/>
      <c r="WOV20" s="13"/>
      <c r="WOW20" s="13"/>
      <c r="WOX20" s="13"/>
      <c r="WOY20" s="13"/>
      <c r="WOZ20" s="13"/>
      <c r="WPA20" s="13"/>
      <c r="WPB20" s="13"/>
      <c r="WPC20" s="13"/>
      <c r="WPD20" s="13"/>
      <c r="WPE20" s="13"/>
      <c r="WPF20" s="13"/>
      <c r="WPG20" s="13"/>
      <c r="WPH20" s="13"/>
      <c r="WPI20" s="13"/>
      <c r="WPJ20" s="13"/>
      <c r="WPK20" s="13"/>
      <c r="WPL20" s="13"/>
      <c r="WPM20" s="13"/>
      <c r="WPN20" s="13"/>
      <c r="WPO20" s="13"/>
      <c r="WPP20" s="13"/>
      <c r="WPQ20" s="13"/>
      <c r="WPR20" s="13"/>
      <c r="WPS20" s="13"/>
      <c r="WPT20" s="13"/>
      <c r="WPU20" s="13"/>
      <c r="WPV20" s="13"/>
      <c r="WPW20" s="13"/>
      <c r="WPX20" s="13"/>
      <c r="WPY20" s="13"/>
      <c r="WPZ20" s="13"/>
      <c r="WQA20" s="13"/>
      <c r="WQB20" s="13"/>
      <c r="WQC20" s="13"/>
      <c r="WQD20" s="13"/>
      <c r="WQE20" s="13"/>
      <c r="WQF20" s="13"/>
      <c r="WQG20" s="13"/>
      <c r="WQH20" s="13"/>
      <c r="WQI20" s="13"/>
      <c r="WQJ20" s="13"/>
      <c r="WQK20" s="13"/>
      <c r="WQL20" s="13"/>
      <c r="WQM20" s="13"/>
      <c r="WQN20" s="13"/>
      <c r="WQO20" s="13"/>
      <c r="WQP20" s="13"/>
      <c r="WQQ20" s="13"/>
      <c r="WQR20" s="13"/>
      <c r="WQS20" s="13"/>
      <c r="WQT20" s="13"/>
      <c r="WQU20" s="13"/>
      <c r="WQV20" s="13"/>
      <c r="WQW20" s="13"/>
      <c r="WQX20" s="13"/>
      <c r="WQY20" s="13"/>
      <c r="WQZ20" s="13"/>
      <c r="WRA20" s="13"/>
      <c r="WRB20" s="13"/>
      <c r="WRC20" s="13"/>
      <c r="WRD20" s="13"/>
      <c r="WRE20" s="13"/>
      <c r="WRF20" s="13"/>
      <c r="WRG20" s="13"/>
      <c r="WRH20" s="13"/>
      <c r="WRI20" s="13"/>
      <c r="WRJ20" s="13"/>
      <c r="WRK20" s="13"/>
      <c r="WRL20" s="13"/>
      <c r="WRM20" s="13"/>
      <c r="WRN20" s="13"/>
      <c r="WRO20" s="13"/>
      <c r="WRP20" s="13"/>
      <c r="WRQ20" s="13"/>
      <c r="WRR20" s="13"/>
      <c r="WRS20" s="13"/>
      <c r="WRT20" s="13"/>
      <c r="WRU20" s="13"/>
      <c r="WRV20" s="13"/>
      <c r="WRW20" s="13"/>
      <c r="WRX20" s="13"/>
      <c r="WRY20" s="13"/>
      <c r="WRZ20" s="13"/>
      <c r="WSA20" s="13"/>
      <c r="WSB20" s="13"/>
      <c r="WSC20" s="13"/>
      <c r="WSD20" s="13"/>
      <c r="WSE20" s="13"/>
      <c r="WSF20" s="13"/>
      <c r="WSG20" s="13"/>
      <c r="WSH20" s="13"/>
      <c r="WSI20" s="13"/>
      <c r="WSJ20" s="13"/>
      <c r="WSK20" s="13"/>
      <c r="WSL20" s="13"/>
      <c r="WSM20" s="13"/>
      <c r="WSN20" s="13"/>
      <c r="WSO20" s="13"/>
      <c r="WSP20" s="13"/>
      <c r="WSQ20" s="13"/>
      <c r="WSR20" s="13"/>
      <c r="WSS20" s="13"/>
      <c r="WST20" s="13"/>
      <c r="WSU20" s="13"/>
      <c r="WSV20" s="13"/>
      <c r="WSW20" s="13"/>
      <c r="WSX20" s="13"/>
      <c r="WSY20" s="13"/>
      <c r="WSZ20" s="13"/>
      <c r="WTA20" s="13"/>
      <c r="WTB20" s="13"/>
      <c r="WTC20" s="13"/>
      <c r="WTD20" s="13"/>
      <c r="WTE20" s="13"/>
      <c r="WTF20" s="13"/>
      <c r="WTG20" s="13"/>
      <c r="WTH20" s="13"/>
      <c r="WTI20" s="13"/>
      <c r="WTJ20" s="13"/>
      <c r="WTK20" s="13"/>
      <c r="WTL20" s="13"/>
      <c r="WTM20" s="13"/>
      <c r="WTN20" s="13"/>
      <c r="WTO20" s="13"/>
      <c r="WTP20" s="13"/>
      <c r="WTQ20" s="13"/>
      <c r="WTR20" s="13"/>
      <c r="WTS20" s="13"/>
      <c r="WTT20" s="13"/>
      <c r="WTU20" s="13"/>
      <c r="WTV20" s="13"/>
      <c r="WTW20" s="13"/>
      <c r="WTX20" s="13"/>
      <c r="WTY20" s="13"/>
      <c r="WTZ20" s="13"/>
      <c r="WUA20" s="13"/>
      <c r="WUB20" s="13"/>
      <c r="WUC20" s="13"/>
      <c r="WUD20" s="13"/>
      <c r="WUE20" s="13"/>
      <c r="WUF20" s="13"/>
      <c r="WUG20" s="13"/>
      <c r="WUH20" s="13"/>
      <c r="WUI20" s="13"/>
      <c r="WUJ20" s="13"/>
      <c r="WUK20" s="13"/>
      <c r="WUL20" s="13"/>
      <c r="WUM20" s="13"/>
      <c r="WUN20" s="13"/>
      <c r="WUO20" s="13"/>
      <c r="WUP20" s="13"/>
      <c r="WUQ20" s="13"/>
      <c r="WUR20" s="13"/>
      <c r="WUS20" s="13"/>
      <c r="WUT20" s="13"/>
      <c r="WUU20" s="13"/>
      <c r="WUV20" s="13"/>
      <c r="WUW20" s="13"/>
      <c r="WUX20" s="13"/>
      <c r="WUY20" s="13"/>
      <c r="WUZ20" s="13"/>
      <c r="WVA20" s="13"/>
      <c r="WVB20" s="13"/>
      <c r="WVC20" s="13"/>
      <c r="WVD20" s="13"/>
      <c r="WVE20" s="13"/>
      <c r="WVF20" s="13"/>
      <c r="WVG20" s="13"/>
      <c r="WVH20" s="13"/>
      <c r="WVI20" s="13"/>
      <c r="WVJ20" s="13"/>
      <c r="WVK20" s="13"/>
      <c r="WVL20" s="13"/>
      <c r="WVM20" s="13"/>
      <c r="WVN20" s="13"/>
      <c r="WVO20" s="13"/>
      <c r="WVP20" s="13"/>
      <c r="WVQ20" s="13"/>
      <c r="WVR20" s="13"/>
      <c r="WVS20" s="13"/>
      <c r="WVT20" s="13"/>
      <c r="WVU20" s="13"/>
      <c r="WVV20" s="13"/>
      <c r="WVW20" s="13"/>
      <c r="WVX20" s="13"/>
      <c r="WVY20" s="13"/>
      <c r="WVZ20" s="13"/>
      <c r="WWA20" s="13"/>
      <c r="WWB20" s="13"/>
      <c r="WWC20" s="13"/>
      <c r="WWD20" s="13"/>
      <c r="WWE20" s="13"/>
      <c r="WWF20" s="13"/>
      <c r="WWG20" s="13"/>
      <c r="WWH20" s="13"/>
      <c r="WWI20" s="13"/>
      <c r="WWJ20" s="13"/>
      <c r="WWK20" s="13"/>
      <c r="WWL20" s="13"/>
      <c r="WWM20" s="13"/>
      <c r="WWN20" s="13"/>
      <c r="WWO20" s="13"/>
      <c r="WWP20" s="13"/>
      <c r="WWQ20" s="13"/>
      <c r="WWR20" s="13"/>
      <c r="WWS20" s="13"/>
      <c r="WWT20" s="13"/>
      <c r="WWU20" s="13"/>
      <c r="WWV20" s="13"/>
      <c r="WWW20" s="13"/>
      <c r="WWX20" s="13"/>
      <c r="WWY20" s="13"/>
      <c r="WWZ20" s="13"/>
      <c r="WXA20" s="13"/>
      <c r="WXB20" s="13"/>
      <c r="WXC20" s="13"/>
      <c r="WXD20" s="13"/>
      <c r="WXE20" s="13"/>
      <c r="WXF20" s="13"/>
      <c r="WXG20" s="13"/>
      <c r="WXH20" s="13"/>
      <c r="WXI20" s="13"/>
      <c r="WXJ20" s="13"/>
      <c r="WXK20" s="13"/>
      <c r="WXL20" s="13"/>
      <c r="WXM20" s="13"/>
      <c r="WXN20" s="13"/>
      <c r="WXO20" s="13"/>
      <c r="WXP20" s="13"/>
      <c r="WXQ20" s="13"/>
      <c r="WXR20" s="13"/>
      <c r="WXS20" s="13"/>
      <c r="WXT20" s="13"/>
      <c r="WXU20" s="13"/>
      <c r="WXV20" s="13"/>
      <c r="WXW20" s="13"/>
      <c r="WXX20" s="13"/>
      <c r="WXY20" s="13"/>
      <c r="WXZ20" s="13"/>
      <c r="WYA20" s="13"/>
      <c r="WYB20" s="13"/>
      <c r="WYC20" s="13"/>
      <c r="WYD20" s="13"/>
      <c r="WYE20" s="13"/>
      <c r="WYF20" s="13"/>
      <c r="WYG20" s="13"/>
      <c r="WYH20" s="13"/>
      <c r="WYI20" s="13"/>
      <c r="WYJ20" s="13"/>
      <c r="WYK20" s="13"/>
      <c r="WYL20" s="13"/>
      <c r="WYM20" s="13"/>
      <c r="WYN20" s="13"/>
      <c r="WYO20" s="13"/>
      <c r="WYP20" s="13"/>
      <c r="WYQ20" s="13"/>
      <c r="WYR20" s="13"/>
      <c r="WYS20" s="13"/>
      <c r="WYT20" s="13"/>
      <c r="WYU20" s="13"/>
      <c r="WYV20" s="13"/>
      <c r="WYW20" s="13"/>
      <c r="WYX20" s="13"/>
      <c r="WYY20" s="13"/>
      <c r="WYZ20" s="13"/>
      <c r="WZA20" s="13"/>
      <c r="WZB20" s="13"/>
      <c r="WZC20" s="13"/>
      <c r="WZD20" s="13"/>
      <c r="WZE20" s="13"/>
      <c r="WZF20" s="13"/>
      <c r="WZG20" s="13"/>
      <c r="WZH20" s="13"/>
      <c r="WZI20" s="13"/>
      <c r="WZJ20" s="13"/>
      <c r="WZK20" s="13"/>
      <c r="WZL20" s="13"/>
      <c r="WZM20" s="13"/>
      <c r="WZN20" s="13"/>
      <c r="WZO20" s="13"/>
      <c r="WZP20" s="13"/>
      <c r="WZQ20" s="13"/>
      <c r="WZR20" s="13"/>
      <c r="WZS20" s="13"/>
      <c r="WZT20" s="13"/>
      <c r="WZU20" s="13"/>
      <c r="WZV20" s="13"/>
      <c r="WZW20" s="13"/>
      <c r="WZX20" s="13"/>
      <c r="WZY20" s="13"/>
      <c r="WZZ20" s="13"/>
      <c r="XAA20" s="13"/>
      <c r="XAB20" s="13"/>
      <c r="XAC20" s="13"/>
      <c r="XAD20" s="13"/>
      <c r="XAE20" s="13"/>
      <c r="XAF20" s="13"/>
      <c r="XAG20" s="13"/>
      <c r="XAH20" s="13"/>
      <c r="XAI20" s="13"/>
      <c r="XAJ20" s="13"/>
      <c r="XAK20" s="13"/>
      <c r="XAL20" s="13"/>
      <c r="XAM20" s="13"/>
      <c r="XAN20" s="13"/>
      <c r="XAO20" s="13"/>
      <c r="XAP20" s="13"/>
      <c r="XAQ20" s="13"/>
      <c r="XAR20" s="13"/>
      <c r="XAS20" s="13"/>
      <c r="XAT20" s="13"/>
      <c r="XAU20" s="13"/>
      <c r="XAV20" s="13"/>
      <c r="XAW20" s="13"/>
      <c r="XAX20" s="13"/>
      <c r="XAY20" s="13"/>
      <c r="XAZ20" s="13"/>
      <c r="XBA20" s="13"/>
      <c r="XBB20" s="13"/>
      <c r="XBC20" s="13"/>
      <c r="XBD20" s="13"/>
      <c r="XBE20" s="13"/>
      <c r="XBF20" s="13"/>
      <c r="XBG20" s="13"/>
      <c r="XBH20" s="13"/>
      <c r="XBI20" s="13"/>
      <c r="XBJ20" s="13"/>
      <c r="XBK20" s="13"/>
      <c r="XBL20" s="13"/>
      <c r="XBM20" s="13"/>
      <c r="XBN20" s="13"/>
      <c r="XBO20" s="13"/>
      <c r="XBP20" s="13"/>
      <c r="XBQ20" s="13"/>
      <c r="XBR20" s="13"/>
      <c r="XBS20" s="13"/>
      <c r="XBT20" s="13"/>
      <c r="XBU20" s="13"/>
      <c r="XBV20" s="13"/>
      <c r="XBW20" s="13"/>
      <c r="XBX20" s="13"/>
      <c r="XBY20" s="13"/>
      <c r="XBZ20" s="13"/>
      <c r="XCA20" s="13"/>
      <c r="XCB20" s="13"/>
      <c r="XCC20" s="13"/>
      <c r="XCD20" s="13"/>
      <c r="XCE20" s="13"/>
      <c r="XCF20" s="13"/>
      <c r="XCG20" s="13"/>
      <c r="XCH20" s="13"/>
      <c r="XCI20" s="13"/>
      <c r="XCJ20" s="13"/>
      <c r="XCK20" s="13"/>
      <c r="XCL20" s="13"/>
      <c r="XCM20" s="13"/>
      <c r="XCN20" s="13"/>
      <c r="XCO20" s="13"/>
      <c r="XCP20" s="13"/>
      <c r="XCQ20" s="13"/>
      <c r="XCR20" s="13"/>
      <c r="XCS20" s="13"/>
      <c r="XCT20" s="13"/>
      <c r="XCU20" s="13"/>
      <c r="XCV20" s="13"/>
      <c r="XCW20" s="13"/>
      <c r="XCX20" s="13"/>
      <c r="XCY20" s="13"/>
      <c r="XCZ20" s="13"/>
      <c r="XDA20" s="13"/>
      <c r="XDB20" s="13"/>
      <c r="XDC20" s="13"/>
      <c r="XDD20" s="13"/>
      <c r="XDE20" s="13"/>
      <c r="XDF20" s="13"/>
      <c r="XDG20" s="13"/>
      <c r="XDH20" s="13"/>
      <c r="XDI20" s="13"/>
      <c r="XDJ20" s="13"/>
      <c r="XDK20" s="13"/>
      <c r="XDL20" s="13"/>
      <c r="XDM20" s="13"/>
      <c r="XDN20" s="13"/>
      <c r="XDO20" s="13"/>
      <c r="XDP20" s="13"/>
      <c r="XDQ20" s="13"/>
      <c r="XDR20" s="13"/>
      <c r="XDS20" s="13"/>
      <c r="XDT20" s="13"/>
      <c r="XDU20" s="13"/>
      <c r="XDV20" s="13"/>
      <c r="XDW20" s="13"/>
    </row>
    <row r="21" spans="1:16351" s="11" customFormat="1" x14ac:dyDescent="0.2">
      <c r="A21" s="13"/>
      <c r="B21" s="13"/>
      <c r="C21" s="10"/>
      <c r="D21" s="10"/>
      <c r="E21" s="13"/>
      <c r="F21" s="13" t="s">
        <v>30</v>
      </c>
      <c r="G21" s="13" t="s">
        <v>31</v>
      </c>
      <c r="H21" s="11">
        <v>60</v>
      </c>
      <c r="I21" s="11" t="s">
        <v>11</v>
      </c>
      <c r="J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</row>
    <row r="22" spans="1:16351" ht="26" x14ac:dyDescent="0.3">
      <c r="B22" s="22"/>
      <c r="F22" s="13" t="s">
        <v>32</v>
      </c>
      <c r="G22" s="13">
        <v>22</v>
      </c>
      <c r="H22" s="6">
        <v>22</v>
      </c>
      <c r="I22" s="13" t="s">
        <v>11</v>
      </c>
    </row>
    <row r="23" spans="1:16351" x14ac:dyDescent="0.2">
      <c r="B23" s="26"/>
      <c r="F23" s="13" t="s">
        <v>33</v>
      </c>
      <c r="G23" s="13" t="s">
        <v>34</v>
      </c>
      <c r="H23" s="6">
        <v>2</v>
      </c>
      <c r="I23" s="13" t="s">
        <v>11</v>
      </c>
    </row>
    <row r="24" spans="1:16351" x14ac:dyDescent="0.2">
      <c r="F24" s="23" t="s">
        <v>35</v>
      </c>
      <c r="G24" s="32">
        <v>90</v>
      </c>
      <c r="H24" s="34">
        <v>0.9</v>
      </c>
      <c r="J24" s="23"/>
    </row>
    <row r="25" spans="1:16351" x14ac:dyDescent="0.2">
      <c r="F25" s="23"/>
      <c r="G25" s="26" t="s">
        <v>36</v>
      </c>
      <c r="I25" s="23"/>
      <c r="J25" s="23"/>
    </row>
    <row r="26" spans="1:16351" x14ac:dyDescent="0.2">
      <c r="F26" s="13" t="s">
        <v>30</v>
      </c>
      <c r="G26" s="13" t="s">
        <v>37</v>
      </c>
      <c r="H26" s="13">
        <v>100</v>
      </c>
      <c r="I26" s="23" t="s">
        <v>11</v>
      </c>
      <c r="J26" s="23"/>
    </row>
    <row r="27" spans="1:16351" x14ac:dyDescent="0.2">
      <c r="F27" s="13" t="s">
        <v>32</v>
      </c>
      <c r="G27" s="13">
        <v>16</v>
      </c>
      <c r="H27" s="13">
        <v>16</v>
      </c>
      <c r="I27" s="23" t="s">
        <v>11</v>
      </c>
      <c r="J27" s="23"/>
    </row>
    <row r="28" spans="1:16351" x14ac:dyDescent="0.2">
      <c r="F28" s="13" t="s">
        <v>33</v>
      </c>
      <c r="G28" s="13" t="s">
        <v>38</v>
      </c>
      <c r="H28" s="13">
        <v>0.5</v>
      </c>
      <c r="I28" s="23" t="s">
        <v>11</v>
      </c>
      <c r="J28" s="23"/>
    </row>
    <row r="29" spans="1:16351" x14ac:dyDescent="0.2">
      <c r="F29" s="23" t="s">
        <v>35</v>
      </c>
      <c r="G29" s="23">
        <v>0.95</v>
      </c>
      <c r="H29" s="34">
        <v>0.95</v>
      </c>
      <c r="I29" s="23"/>
      <c r="J29" s="23"/>
    </row>
    <row r="30" spans="1:16351" x14ac:dyDescent="0.2">
      <c r="F30" s="23"/>
      <c r="G30" s="26" t="s">
        <v>39</v>
      </c>
      <c r="H30" s="23"/>
      <c r="I30" s="23"/>
      <c r="J30" s="23"/>
    </row>
    <row r="31" spans="1:16351" x14ac:dyDescent="0.2">
      <c r="F31" s="13" t="s">
        <v>30</v>
      </c>
      <c r="G31" s="33" t="s">
        <v>31</v>
      </c>
      <c r="H31" s="11">
        <v>40</v>
      </c>
      <c r="I31" s="11" t="s">
        <v>11</v>
      </c>
      <c r="J31" s="23"/>
    </row>
    <row r="32" spans="1:16351" x14ac:dyDescent="0.2">
      <c r="F32" s="13" t="s">
        <v>32</v>
      </c>
      <c r="G32" s="13">
        <v>16</v>
      </c>
      <c r="H32" s="23"/>
      <c r="I32" s="23"/>
      <c r="J32" s="23"/>
    </row>
    <row r="33" spans="2:10" x14ac:dyDescent="0.2">
      <c r="F33" s="13" t="s">
        <v>33</v>
      </c>
      <c r="G33" s="13" t="s">
        <v>40</v>
      </c>
      <c r="H33" s="23"/>
      <c r="I33" s="23"/>
      <c r="J33" s="23"/>
    </row>
    <row r="34" spans="2:10" x14ac:dyDescent="0.2">
      <c r="F34" s="23" t="s">
        <v>35</v>
      </c>
      <c r="G34" s="23">
        <v>0.85</v>
      </c>
      <c r="H34" s="23"/>
      <c r="I34" s="23"/>
      <c r="J34" s="23"/>
    </row>
    <row r="36" spans="2:10" ht="26" x14ac:dyDescent="0.3">
      <c r="F36" s="22" t="s">
        <v>41</v>
      </c>
      <c r="G36" s="10"/>
      <c r="H36" s="10"/>
    </row>
    <row r="37" spans="2:10" x14ac:dyDescent="0.2">
      <c r="F37" s="13" t="s">
        <v>42</v>
      </c>
      <c r="G37" s="10" t="s">
        <v>43</v>
      </c>
      <c r="H37" s="10">
        <v>700</v>
      </c>
    </row>
    <row r="38" spans="2:10" ht="29" x14ac:dyDescent="0.35">
      <c r="B38" s="27"/>
      <c r="F38" s="13" t="s">
        <v>44</v>
      </c>
      <c r="G38" s="10">
        <v>100</v>
      </c>
      <c r="H38" s="10">
        <v>100</v>
      </c>
    </row>
    <row r="39" spans="2:10" x14ac:dyDescent="0.2">
      <c r="C39" s="9"/>
      <c r="F39" s="13" t="s">
        <v>35</v>
      </c>
      <c r="G39" s="9">
        <v>0.95</v>
      </c>
      <c r="H39" s="25">
        <v>0.95</v>
      </c>
    </row>
    <row r="40" spans="2:10" x14ac:dyDescent="0.2">
      <c r="G40" s="10"/>
      <c r="H40" s="10"/>
    </row>
    <row r="41" spans="2:10" ht="26" x14ac:dyDescent="0.3">
      <c r="F41" s="22" t="s">
        <v>45</v>
      </c>
      <c r="G41" s="10"/>
      <c r="H41" s="10"/>
    </row>
    <row r="42" spans="2:10" x14ac:dyDescent="0.2">
      <c r="F42" s="13" t="s">
        <v>46</v>
      </c>
      <c r="G42" s="10" t="s">
        <v>47</v>
      </c>
      <c r="H42" s="10">
        <v>1000</v>
      </c>
    </row>
    <row r="43" spans="2:10" x14ac:dyDescent="0.2">
      <c r="F43" s="13" t="s">
        <v>35</v>
      </c>
      <c r="G43" s="9">
        <v>0.95</v>
      </c>
      <c r="H43" s="25">
        <v>0.95</v>
      </c>
    </row>
    <row r="44" spans="2:10" x14ac:dyDescent="0.2">
      <c r="F44" s="13" t="s">
        <v>48</v>
      </c>
      <c r="G44" s="10" t="s">
        <v>49</v>
      </c>
      <c r="H44" s="10">
        <v>300</v>
      </c>
    </row>
    <row r="45" spans="2:10" x14ac:dyDescent="0.2">
      <c r="F45" s="13" t="s">
        <v>50</v>
      </c>
      <c r="G45" s="10" t="s">
        <v>31</v>
      </c>
      <c r="H45" s="10">
        <v>45</v>
      </c>
    </row>
    <row r="46" spans="2:10" x14ac:dyDescent="0.2">
      <c r="F46" s="13" t="s">
        <v>51</v>
      </c>
      <c r="G46" s="10">
        <v>50</v>
      </c>
      <c r="H46" s="10">
        <v>50</v>
      </c>
    </row>
    <row r="47" spans="2:10" x14ac:dyDescent="0.2">
      <c r="F47" s="13" t="s">
        <v>52</v>
      </c>
      <c r="G47" s="10">
        <v>6</v>
      </c>
      <c r="H47" s="10">
        <v>6</v>
      </c>
    </row>
    <row r="48" spans="2:10" x14ac:dyDescent="0.2">
      <c r="F48" s="13" t="s">
        <v>53</v>
      </c>
      <c r="G48" s="10">
        <v>100</v>
      </c>
      <c r="H48" s="10">
        <v>100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78"/>
  <sheetViews>
    <sheetView tabSelected="1" topLeftCell="C40" zoomScale="180" zoomScaleNormal="180" workbookViewId="0">
      <selection activeCell="H33" sqref="H33"/>
    </sheetView>
  </sheetViews>
  <sheetFormatPr baseColWidth="10" defaultColWidth="8.83203125" defaultRowHeight="15" x14ac:dyDescent="0.2"/>
  <cols>
    <col min="1" max="1" width="13.33203125" style="13" customWidth="1"/>
    <col min="2" max="2" width="13.1640625" style="13" customWidth="1"/>
    <col min="3" max="3" width="18.6640625" style="10" customWidth="1"/>
    <col min="4" max="4" width="16" style="10" bestFit="1" customWidth="1"/>
    <col min="5" max="5" width="36" style="13" bestFit="1" customWidth="1"/>
    <col min="6" max="6" width="12" style="13" customWidth="1"/>
    <col min="7" max="10" width="11.5" style="10" customWidth="1"/>
    <col min="11" max="11" width="11.5" style="59" customWidth="1"/>
    <col min="12" max="15" width="11.5" style="10" customWidth="1"/>
    <col min="16" max="28" width="11.6640625" style="10" customWidth="1"/>
    <col min="29" max="29" width="10.5" style="11" customWidth="1"/>
    <col min="30" max="30" width="12.1640625" style="11" customWidth="1"/>
    <col min="31" max="16384" width="8.83203125" style="13"/>
  </cols>
  <sheetData>
    <row r="1" spans="1:34" ht="50" x14ac:dyDescent="0.3">
      <c r="A1" s="26" t="s">
        <v>54</v>
      </c>
      <c r="B1" s="26" t="s">
        <v>55</v>
      </c>
      <c r="C1" s="10" t="s">
        <v>56</v>
      </c>
      <c r="D1" s="10" t="s">
        <v>57</v>
      </c>
      <c r="E1" s="30" t="s">
        <v>58</v>
      </c>
      <c r="F1" s="76" t="s">
        <v>59</v>
      </c>
      <c r="G1" s="76" t="s">
        <v>60</v>
      </c>
      <c r="H1" s="76" t="s">
        <v>61</v>
      </c>
      <c r="I1" s="76" t="s">
        <v>62</v>
      </c>
      <c r="J1" s="76" t="s">
        <v>63</v>
      </c>
      <c r="K1" s="76" t="s">
        <v>64</v>
      </c>
      <c r="L1" s="76" t="s">
        <v>65</v>
      </c>
      <c r="M1" s="77" t="s">
        <v>66</v>
      </c>
      <c r="N1" s="76" t="s">
        <v>67</v>
      </c>
      <c r="O1" s="76" t="s">
        <v>68</v>
      </c>
      <c r="P1" s="76" t="s">
        <v>69</v>
      </c>
      <c r="Q1" s="76" t="s">
        <v>70</v>
      </c>
      <c r="R1" s="76" t="s">
        <v>71</v>
      </c>
      <c r="S1" s="76" t="s">
        <v>72</v>
      </c>
      <c r="T1" s="76" t="s">
        <v>73</v>
      </c>
      <c r="U1" s="76" t="s">
        <v>74</v>
      </c>
      <c r="V1" s="76" t="s">
        <v>75</v>
      </c>
      <c r="W1" s="76" t="s">
        <v>76</v>
      </c>
      <c r="X1" s="76" t="s">
        <v>77</v>
      </c>
      <c r="Y1" s="76" t="s">
        <v>78</v>
      </c>
      <c r="Z1" s="76" t="s">
        <v>79</v>
      </c>
      <c r="AA1" s="76" t="s">
        <v>80</v>
      </c>
      <c r="AB1" s="76" t="s">
        <v>81</v>
      </c>
      <c r="AC1" s="76" t="s">
        <v>82</v>
      </c>
      <c r="AD1" s="76" t="s">
        <v>83</v>
      </c>
      <c r="AE1" s="11"/>
      <c r="AF1" s="11"/>
    </row>
    <row r="2" spans="1:34" s="12" customFormat="1" x14ac:dyDescent="0.2">
      <c r="A2" s="12" t="s">
        <v>84</v>
      </c>
      <c r="B2" s="60" t="s">
        <v>85</v>
      </c>
      <c r="C2" s="4"/>
      <c r="D2" s="4" t="s">
        <v>86</v>
      </c>
      <c r="E2" s="13" t="s">
        <v>87</v>
      </c>
      <c r="F2" s="78">
        <f t="shared" ref="F2" si="0">F42</f>
        <v>500</v>
      </c>
      <c r="G2" s="79">
        <f>G42</f>
        <v>2000</v>
      </c>
      <c r="H2" s="79">
        <f>H42</f>
        <v>8000</v>
      </c>
      <c r="I2" s="78"/>
      <c r="J2" s="78"/>
      <c r="K2" s="78"/>
      <c r="L2" s="78"/>
      <c r="M2" s="79"/>
      <c r="N2" s="79"/>
      <c r="O2" s="79"/>
      <c r="P2" s="79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1"/>
      <c r="AF2" s="1"/>
    </row>
    <row r="3" spans="1:34" s="12" customFormat="1" x14ac:dyDescent="0.2">
      <c r="A3" s="12" t="s">
        <v>84</v>
      </c>
      <c r="B3" s="60" t="s">
        <v>85</v>
      </c>
      <c r="C3" s="4"/>
      <c r="D3" s="4" t="s">
        <v>86</v>
      </c>
      <c r="E3" s="5" t="s">
        <v>88</v>
      </c>
      <c r="F3" s="80">
        <f t="shared" ref="F3:G4" si="1">F44</f>
        <v>50</v>
      </c>
      <c r="G3" s="81">
        <f t="shared" si="1"/>
        <v>120</v>
      </c>
      <c r="H3" s="81">
        <f t="shared" ref="H3" si="2">H44</f>
        <v>120</v>
      </c>
      <c r="I3" s="80"/>
      <c r="J3" s="80"/>
      <c r="K3" s="80"/>
      <c r="L3" s="80"/>
      <c r="M3" s="81"/>
      <c r="N3" s="81"/>
      <c r="O3" s="81"/>
      <c r="P3" s="81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1"/>
      <c r="AF3" s="1"/>
    </row>
    <row r="4" spans="1:34" s="12" customFormat="1" x14ac:dyDescent="0.2">
      <c r="A4" s="12" t="s">
        <v>84</v>
      </c>
      <c r="B4" s="60" t="s">
        <v>85</v>
      </c>
      <c r="C4" s="4"/>
      <c r="D4" s="4" t="s">
        <v>86</v>
      </c>
      <c r="E4" s="5" t="s">
        <v>89</v>
      </c>
      <c r="F4" s="80">
        <f t="shared" si="1"/>
        <v>20</v>
      </c>
      <c r="G4" s="81">
        <f t="shared" si="1"/>
        <v>40</v>
      </c>
      <c r="H4" s="81">
        <f t="shared" ref="H4" si="3">H45</f>
        <v>40</v>
      </c>
      <c r="I4" s="80"/>
      <c r="J4" s="80"/>
      <c r="K4" s="80"/>
      <c r="L4" s="80"/>
      <c r="M4" s="81"/>
      <c r="N4" s="81"/>
      <c r="O4" s="81"/>
      <c r="P4" s="81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1"/>
      <c r="AF4" s="1"/>
    </row>
    <row r="5" spans="1:34" s="12" customFormat="1" x14ac:dyDescent="0.2">
      <c r="A5" s="12" t="s">
        <v>84</v>
      </c>
      <c r="B5" s="60" t="s">
        <v>85</v>
      </c>
      <c r="C5" s="4"/>
      <c r="D5" s="4" t="s">
        <v>86</v>
      </c>
      <c r="E5" s="5" t="s">
        <v>90</v>
      </c>
      <c r="F5" s="82">
        <f t="shared" ref="F5" si="4">F56</f>
        <v>1</v>
      </c>
      <c r="G5" s="80">
        <f>G56</f>
        <v>4.8</v>
      </c>
      <c r="H5" s="80">
        <f>H56</f>
        <v>4.8</v>
      </c>
      <c r="I5" s="82"/>
      <c r="J5" s="82"/>
      <c r="K5" s="82"/>
      <c r="L5" s="82"/>
      <c r="M5" s="81"/>
      <c r="N5" s="80"/>
      <c r="O5" s="80"/>
      <c r="P5" s="80"/>
      <c r="Q5" s="82"/>
      <c r="R5" s="82"/>
      <c r="S5" s="82"/>
      <c r="T5" s="82"/>
      <c r="U5" s="82"/>
      <c r="V5" s="82"/>
      <c r="W5" s="80"/>
      <c r="X5" s="80"/>
      <c r="Y5" s="80"/>
      <c r="Z5" s="80"/>
      <c r="AA5" s="80"/>
      <c r="AB5" s="80"/>
      <c r="AC5" s="80"/>
      <c r="AD5" s="80"/>
      <c r="AE5" s="1"/>
      <c r="AF5" s="1"/>
    </row>
    <row r="6" spans="1:34" s="12" customFormat="1" x14ac:dyDescent="0.2">
      <c r="A6" s="12" t="s">
        <v>84</v>
      </c>
      <c r="B6" s="60" t="s">
        <v>85</v>
      </c>
      <c r="C6" s="4"/>
      <c r="D6" s="4" t="s">
        <v>86</v>
      </c>
      <c r="E6" s="5" t="s">
        <v>91</v>
      </c>
      <c r="F6" s="83">
        <f t="shared" ref="F6" si="5">F60/1000</f>
        <v>0.5</v>
      </c>
      <c r="G6" s="84">
        <f>G60/1000</f>
        <v>9.6</v>
      </c>
      <c r="H6" s="84">
        <f>H60/1000</f>
        <v>38.4</v>
      </c>
      <c r="I6" s="83"/>
      <c r="J6" s="83"/>
      <c r="K6" s="83"/>
      <c r="L6" s="84"/>
      <c r="M6" s="85"/>
      <c r="N6" s="84"/>
      <c r="O6" s="84"/>
      <c r="P6" s="84"/>
      <c r="Q6" s="83"/>
      <c r="R6" s="83"/>
      <c r="S6" s="83"/>
      <c r="T6" s="83"/>
      <c r="U6" s="83"/>
      <c r="V6" s="83"/>
      <c r="W6" s="86"/>
      <c r="X6" s="86"/>
      <c r="Y6" s="86"/>
      <c r="Z6" s="86"/>
      <c r="AA6" s="86"/>
      <c r="AB6" s="86"/>
      <c r="AC6" s="86"/>
      <c r="AD6" s="86"/>
      <c r="AE6" s="1"/>
      <c r="AF6" s="1"/>
    </row>
    <row r="7" spans="1:34" s="12" customFormat="1" x14ac:dyDescent="0.2">
      <c r="A7" s="12" t="s">
        <v>84</v>
      </c>
      <c r="B7" s="60" t="s">
        <v>85</v>
      </c>
      <c r="C7" s="2"/>
      <c r="D7" s="4" t="s">
        <v>86</v>
      </c>
      <c r="E7" s="13" t="s">
        <v>92</v>
      </c>
      <c r="F7" s="78">
        <f>F68/F43</f>
        <v>5000</v>
      </c>
      <c r="G7" s="78">
        <f>G68/G43</f>
        <v>20000</v>
      </c>
      <c r="H7" s="78">
        <f>H68/H43</f>
        <v>80000</v>
      </c>
      <c r="I7" s="78"/>
      <c r="J7" s="78"/>
      <c r="K7" s="78"/>
      <c r="L7" s="78"/>
      <c r="M7" s="79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5"/>
      <c r="AF7" s="5"/>
      <c r="AG7" s="5"/>
      <c r="AH7" s="5"/>
    </row>
    <row r="8" spans="1:34" s="12" customFormat="1" ht="21" x14ac:dyDescent="0.25">
      <c r="A8" s="12" t="s">
        <v>84</v>
      </c>
      <c r="B8" s="60" t="s">
        <v>85</v>
      </c>
      <c r="C8" s="4"/>
      <c r="D8" s="4" t="s">
        <v>86</v>
      </c>
      <c r="E8" s="13" t="s">
        <v>93</v>
      </c>
      <c r="F8" s="78">
        <f>F63</f>
        <v>15000</v>
      </c>
      <c r="G8" s="78">
        <f t="shared" ref="G8:H8" si="6">G63</f>
        <v>60000</v>
      </c>
      <c r="H8" s="78">
        <f t="shared" si="6"/>
        <v>240000</v>
      </c>
      <c r="I8" s="78"/>
      <c r="J8" s="78"/>
      <c r="K8" s="78"/>
      <c r="L8" s="78"/>
      <c r="M8" s="79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28"/>
      <c r="AF8" s="28"/>
    </row>
    <row r="9" spans="1:34" s="12" customFormat="1" ht="21" x14ac:dyDescent="0.25">
      <c r="A9" s="13" t="s">
        <v>84</v>
      </c>
      <c r="B9" s="60" t="s">
        <v>85</v>
      </c>
      <c r="C9" s="4"/>
      <c r="D9" s="4" t="s">
        <v>86</v>
      </c>
      <c r="E9" s="13" t="s">
        <v>94</v>
      </c>
      <c r="F9" s="78">
        <f>(SUM(F7))/(F38)</f>
        <v>818.81930315781358</v>
      </c>
      <c r="G9" s="78">
        <f>(SUM(G7))/(G38)</f>
        <v>170.58735482454446</v>
      </c>
      <c r="H9" s="78">
        <f>(SUM(H7))/(H38)</f>
        <v>170.58735482454446</v>
      </c>
      <c r="I9" s="78"/>
      <c r="J9" s="78"/>
      <c r="K9" s="8"/>
      <c r="L9" s="8"/>
      <c r="M9" s="133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28"/>
      <c r="AF9" s="28"/>
    </row>
    <row r="10" spans="1:34" s="12" customFormat="1" ht="21" x14ac:dyDescent="0.25">
      <c r="A10" s="12" t="s">
        <v>84</v>
      </c>
      <c r="B10" s="60" t="s">
        <v>85</v>
      </c>
      <c r="C10" s="4"/>
      <c r="D10" s="4" t="s">
        <v>86</v>
      </c>
      <c r="E10" s="13" t="s">
        <v>95</v>
      </c>
      <c r="F10" s="80">
        <f t="shared" ref="F10" si="7">F95</f>
        <v>2</v>
      </c>
      <c r="G10" s="80">
        <f>G95</f>
        <v>2</v>
      </c>
      <c r="H10" s="80">
        <f>H95</f>
        <v>2</v>
      </c>
      <c r="I10" s="80"/>
      <c r="J10" s="80"/>
      <c r="K10" s="80"/>
      <c r="L10" s="80"/>
      <c r="M10" s="81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28"/>
      <c r="AF10" s="28"/>
    </row>
    <row r="11" spans="1:34" s="12" customFormat="1" ht="21" x14ac:dyDescent="0.25">
      <c r="A11" s="12" t="s">
        <v>84</v>
      </c>
      <c r="B11" s="60" t="s">
        <v>85</v>
      </c>
      <c r="C11" s="4"/>
      <c r="D11" s="4" t="s">
        <v>86</v>
      </c>
      <c r="E11" s="13" t="s">
        <v>96</v>
      </c>
      <c r="F11" s="87">
        <f t="shared" ref="F11" si="8">F94</f>
        <v>2.0833333333333335</v>
      </c>
      <c r="G11" s="87">
        <f>G94</f>
        <v>6</v>
      </c>
      <c r="H11" s="87">
        <f>H94</f>
        <v>24</v>
      </c>
      <c r="I11" s="87"/>
      <c r="J11" s="87"/>
      <c r="K11" s="87"/>
      <c r="L11" s="87"/>
      <c r="M11" s="88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28"/>
      <c r="AF11" s="28"/>
    </row>
    <row r="12" spans="1:34" s="12" customFormat="1" ht="21" x14ac:dyDescent="0.25">
      <c r="A12" s="12" t="s">
        <v>84</v>
      </c>
      <c r="B12" s="60" t="s">
        <v>85</v>
      </c>
      <c r="C12" s="4"/>
      <c r="D12" s="4" t="s">
        <v>86</v>
      </c>
      <c r="E12" s="13" t="s">
        <v>97</v>
      </c>
      <c r="F12" s="78">
        <f t="shared" ref="F12" si="9">F129</f>
        <v>1833.3333333333335</v>
      </c>
      <c r="G12" s="78">
        <f>G129</f>
        <v>10560</v>
      </c>
      <c r="H12" s="78">
        <f>H129</f>
        <v>42240</v>
      </c>
      <c r="I12" s="78"/>
      <c r="J12" s="78"/>
      <c r="K12" s="78"/>
      <c r="L12" s="78"/>
      <c r="M12" s="79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28"/>
      <c r="AF12" s="28"/>
    </row>
    <row r="13" spans="1:34" s="12" customFormat="1" ht="21" x14ac:dyDescent="0.25">
      <c r="A13" s="12" t="s">
        <v>84</v>
      </c>
      <c r="B13" s="60" t="s">
        <v>85</v>
      </c>
      <c r="C13" s="4"/>
      <c r="D13" s="4" t="s">
        <v>86</v>
      </c>
      <c r="E13" s="13" t="s">
        <v>98</v>
      </c>
      <c r="F13" s="78">
        <f t="shared" ref="F13:H13" si="10">F130</f>
        <v>7333.3333333333339</v>
      </c>
      <c r="G13" s="78">
        <f t="shared" si="10"/>
        <v>42240</v>
      </c>
      <c r="H13" s="78">
        <f t="shared" si="10"/>
        <v>168960</v>
      </c>
      <c r="I13" s="78"/>
      <c r="J13" s="78"/>
      <c r="K13" s="78"/>
      <c r="L13" s="78"/>
      <c r="M13" s="79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28"/>
      <c r="AF13" s="28"/>
    </row>
    <row r="14" spans="1:34" s="12" customFormat="1" ht="21" x14ac:dyDescent="0.25">
      <c r="A14" s="12" t="s">
        <v>84</v>
      </c>
      <c r="B14" s="60" t="s">
        <v>85</v>
      </c>
      <c r="C14" s="4"/>
      <c r="D14" s="4" t="s">
        <v>86</v>
      </c>
      <c r="E14" s="13" t="s">
        <v>99</v>
      </c>
      <c r="F14" s="89">
        <f>F38/(F11*F10)/14/24*1000</f>
        <v>4.3616809687499991</v>
      </c>
      <c r="G14" s="89">
        <f>G38/(G11*G10)/14/24*1000</f>
        <v>29.077873124999996</v>
      </c>
      <c r="H14" s="89">
        <f>H38/(H11*H10)/14/24*1000</f>
        <v>29.077873124999996</v>
      </c>
      <c r="I14" s="89"/>
      <c r="J14" s="90"/>
      <c r="K14" s="90"/>
      <c r="L14" s="89"/>
      <c r="M14" s="91"/>
      <c r="N14" s="90"/>
      <c r="O14" s="90"/>
      <c r="P14" s="90"/>
      <c r="Q14" s="89"/>
      <c r="R14" s="90"/>
      <c r="S14" s="89"/>
      <c r="T14" s="90"/>
      <c r="U14" s="89"/>
      <c r="V14" s="90"/>
      <c r="W14" s="89"/>
      <c r="X14" s="90"/>
      <c r="Y14" s="89"/>
      <c r="Z14" s="90"/>
      <c r="AA14" s="89"/>
      <c r="AB14" s="90"/>
      <c r="AC14" s="89"/>
      <c r="AD14" s="90"/>
      <c r="AE14" s="28"/>
      <c r="AF14" s="28"/>
    </row>
    <row r="15" spans="1:34" s="12" customFormat="1" ht="21" x14ac:dyDescent="0.25">
      <c r="A15" s="12" t="s">
        <v>84</v>
      </c>
      <c r="B15" s="60" t="s">
        <v>85</v>
      </c>
      <c r="C15" s="4"/>
      <c r="D15" s="4" t="s">
        <v>86</v>
      </c>
      <c r="E15" s="13" t="s">
        <v>100</v>
      </c>
      <c r="F15" s="92">
        <f>F12/F38</f>
        <v>300.23374449119831</v>
      </c>
      <c r="G15" s="92">
        <f>G12/G38</f>
        <v>90.07012334735947</v>
      </c>
      <c r="H15" s="92">
        <f>H12/H38</f>
        <v>90.07012334735947</v>
      </c>
      <c r="I15" s="92"/>
      <c r="J15" s="92"/>
      <c r="K15" s="92"/>
      <c r="L15" s="92"/>
      <c r="M15" s="93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28"/>
      <c r="AF15" s="28"/>
    </row>
    <row r="16" spans="1:34" s="12" customFormat="1" ht="21" x14ac:dyDescent="0.25">
      <c r="A16" s="12" t="s">
        <v>84</v>
      </c>
      <c r="B16" s="60" t="s">
        <v>85</v>
      </c>
      <c r="C16" s="4"/>
      <c r="D16" s="4" t="s">
        <v>86</v>
      </c>
      <c r="E16" s="13" t="s">
        <v>101</v>
      </c>
      <c r="F16" s="138">
        <f>1000/F15</f>
        <v>3.3307381943181813</v>
      </c>
      <c r="G16" s="92"/>
      <c r="H16" s="92"/>
      <c r="I16" s="72"/>
      <c r="J16" s="72"/>
      <c r="K16" s="72"/>
      <c r="L16" s="72"/>
      <c r="M16" s="137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28"/>
      <c r="AF16" s="28"/>
    </row>
    <row r="17" spans="1:32" s="12" customFormat="1" ht="21" x14ac:dyDescent="0.25">
      <c r="A17" s="12" t="s">
        <v>84</v>
      </c>
      <c r="B17" s="60" t="s">
        <v>85</v>
      </c>
      <c r="C17" s="4"/>
      <c r="D17" s="4" t="s">
        <v>86</v>
      </c>
      <c r="E17" s="13" t="s">
        <v>102</v>
      </c>
      <c r="F17" s="92">
        <f>SUM(F12:F13)/F38</f>
        <v>1501.1687224559917</v>
      </c>
      <c r="G17" s="92">
        <f>SUM(G12:G13)/G38</f>
        <v>450.35061673679741</v>
      </c>
      <c r="H17" s="92">
        <f>SUM(H12:H13)/H38</f>
        <v>450.35061673679741</v>
      </c>
      <c r="I17" s="92"/>
      <c r="J17" s="92"/>
      <c r="K17" s="92"/>
      <c r="L17" s="92"/>
      <c r="M17" s="93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28"/>
      <c r="AF17" s="28"/>
    </row>
    <row r="18" spans="1:32" s="12" customFormat="1" ht="21" x14ac:dyDescent="0.25">
      <c r="A18" s="12" t="s">
        <v>84</v>
      </c>
      <c r="B18" s="60" t="s">
        <v>85</v>
      </c>
      <c r="C18" s="4"/>
      <c r="D18" s="4" t="s">
        <v>86</v>
      </c>
      <c r="E18" s="13" t="s">
        <v>103</v>
      </c>
      <c r="F18" s="78">
        <f t="shared" ref="F18" si="11">F141</f>
        <v>83.333333333333357</v>
      </c>
      <c r="G18" s="78">
        <f>G141</f>
        <v>480</v>
      </c>
      <c r="H18" s="78">
        <f>H141</f>
        <v>1920</v>
      </c>
      <c r="I18" s="78"/>
      <c r="J18" s="78"/>
      <c r="K18" s="78"/>
      <c r="L18" s="78"/>
      <c r="M18" s="79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28"/>
      <c r="AF18" s="28"/>
    </row>
    <row r="19" spans="1:32" s="12" customFormat="1" ht="21" x14ac:dyDescent="0.25">
      <c r="A19" s="12" t="s">
        <v>84</v>
      </c>
      <c r="B19" s="60" t="s">
        <v>85</v>
      </c>
      <c r="C19" s="4"/>
      <c r="D19" s="4" t="s">
        <v>86</v>
      </c>
      <c r="E19" s="13" t="s">
        <v>104</v>
      </c>
      <c r="F19" s="87">
        <f t="shared" ref="F19" si="12">F152</f>
        <v>4.1894999999999998</v>
      </c>
      <c r="G19" s="87">
        <f>G152</f>
        <v>3.7239999999999998</v>
      </c>
      <c r="H19" s="87">
        <f>H152</f>
        <v>13.4064</v>
      </c>
      <c r="I19" s="87"/>
      <c r="J19" s="87"/>
      <c r="K19" s="87"/>
      <c r="L19" s="87"/>
      <c r="M19" s="88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28"/>
      <c r="AF19" s="28"/>
    </row>
    <row r="20" spans="1:32" s="12" customFormat="1" ht="21" x14ac:dyDescent="0.25">
      <c r="A20" s="12" t="s">
        <v>84</v>
      </c>
      <c r="B20" s="60" t="s">
        <v>85</v>
      </c>
      <c r="C20" s="4"/>
      <c r="D20" s="4" t="s">
        <v>86</v>
      </c>
      <c r="E20" s="13" t="s">
        <v>105</v>
      </c>
      <c r="F20" s="78">
        <f t="shared" ref="F20" si="13">F186</f>
        <v>268.12799999999999</v>
      </c>
      <c r="G20" s="78">
        <f>G186</f>
        <v>4290.0479999999998</v>
      </c>
      <c r="H20" s="78">
        <f>H186</f>
        <v>14300.159999999998</v>
      </c>
      <c r="I20" s="78"/>
      <c r="J20" s="78"/>
      <c r="K20" s="78"/>
      <c r="L20" s="78"/>
      <c r="M20" s="79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28"/>
      <c r="AF20" s="28"/>
    </row>
    <row r="21" spans="1:32" s="12" customFormat="1" ht="21" x14ac:dyDescent="0.25">
      <c r="A21" s="12" t="s">
        <v>84</v>
      </c>
      <c r="B21" s="60" t="s">
        <v>85</v>
      </c>
      <c r="C21" s="4"/>
      <c r="D21" s="4" t="s">
        <v>86</v>
      </c>
      <c r="E21" s="13" t="s">
        <v>106</v>
      </c>
      <c r="F21" s="78">
        <f>F185</f>
        <v>1340.6399999999999</v>
      </c>
      <c r="G21" s="78">
        <f t="shared" ref="G21:H21" si="14">G185</f>
        <v>21450.239999999998</v>
      </c>
      <c r="H21" s="78">
        <f t="shared" si="14"/>
        <v>85800.959999999992</v>
      </c>
      <c r="I21" s="78"/>
      <c r="J21" s="78"/>
      <c r="K21" s="78"/>
      <c r="L21" s="78"/>
      <c r="M21" s="79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28"/>
      <c r="AF21" s="28"/>
    </row>
    <row r="22" spans="1:32" s="12" customFormat="1" ht="21" x14ac:dyDescent="0.25">
      <c r="A22" s="12" t="s">
        <v>84</v>
      </c>
      <c r="B22" s="60" t="s">
        <v>85</v>
      </c>
      <c r="C22" s="4"/>
      <c r="D22" s="4" t="s">
        <v>86</v>
      </c>
      <c r="E22" s="13" t="s">
        <v>107</v>
      </c>
      <c r="F22" s="78">
        <f t="shared" ref="F22" si="15">F205</f>
        <v>9.9500624999999996</v>
      </c>
      <c r="G22" s="78">
        <f>G205</f>
        <v>7.9600499999999998</v>
      </c>
      <c r="H22" s="78">
        <f>H205</f>
        <v>31.840199999999999</v>
      </c>
      <c r="I22" s="78"/>
      <c r="J22" s="78"/>
      <c r="K22" s="78"/>
      <c r="L22" s="87"/>
      <c r="M22" s="79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28"/>
      <c r="AF22" s="28"/>
    </row>
    <row r="23" spans="1:32" s="12" customFormat="1" ht="21" x14ac:dyDescent="0.25">
      <c r="A23" s="12" t="s">
        <v>84</v>
      </c>
      <c r="B23" s="60" t="s">
        <v>85</v>
      </c>
      <c r="C23" s="4"/>
      <c r="D23" s="4" t="s">
        <v>86</v>
      </c>
      <c r="E23" s="13" t="s">
        <v>108</v>
      </c>
      <c r="F23" s="78">
        <f t="shared" ref="F23" si="16">F240</f>
        <v>738.47980000000007</v>
      </c>
      <c r="G23" s="78">
        <f>G240</f>
        <v>10791.676800000001</v>
      </c>
      <c r="H23" s="78">
        <f>H240</f>
        <v>54017.337599999999</v>
      </c>
      <c r="I23" s="78"/>
      <c r="J23" s="78"/>
      <c r="K23" s="78"/>
      <c r="L23" s="78"/>
      <c r="M23" s="79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28"/>
      <c r="AF23" s="28"/>
    </row>
    <row r="24" spans="1:32" s="12" customFormat="1" ht="21" x14ac:dyDescent="0.25">
      <c r="A24" s="12" t="s">
        <v>84</v>
      </c>
      <c r="B24" s="60" t="s">
        <v>85</v>
      </c>
      <c r="C24" s="4"/>
      <c r="D24" s="4" t="s">
        <v>86</v>
      </c>
      <c r="E24" s="13" t="s">
        <v>109</v>
      </c>
      <c r="F24" s="78">
        <f>F239</f>
        <v>3184.02</v>
      </c>
      <c r="G24" s="78">
        <f t="shared" ref="G24:H24" si="17">G239</f>
        <v>50944.32</v>
      </c>
      <c r="H24" s="78">
        <f t="shared" si="17"/>
        <v>203777.28</v>
      </c>
      <c r="I24" s="78"/>
      <c r="J24" s="78"/>
      <c r="K24" s="78"/>
      <c r="L24" s="78"/>
      <c r="M24" s="79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28"/>
      <c r="AF24" s="28"/>
    </row>
    <row r="25" spans="1:32" s="12" customFormat="1" ht="21" x14ac:dyDescent="0.25">
      <c r="A25" s="12" t="s">
        <v>84</v>
      </c>
      <c r="B25" s="60" t="s">
        <v>85</v>
      </c>
      <c r="C25" s="4"/>
      <c r="D25" s="4" t="s">
        <v>86</v>
      </c>
      <c r="E25" s="13" t="s">
        <v>110</v>
      </c>
      <c r="F25" s="80">
        <f t="shared" ref="F25" si="18">F246</f>
        <v>1</v>
      </c>
      <c r="G25" s="80">
        <f>G246</f>
        <v>20</v>
      </c>
      <c r="H25" s="80">
        <f>H246</f>
        <v>20</v>
      </c>
      <c r="I25" s="80"/>
      <c r="J25" s="80"/>
      <c r="K25" s="80"/>
      <c r="L25" s="80"/>
      <c r="M25" s="81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28"/>
      <c r="AF25" s="28"/>
    </row>
    <row r="26" spans="1:32" s="12" customFormat="1" ht="21" x14ac:dyDescent="0.25">
      <c r="A26" s="12" t="s">
        <v>84</v>
      </c>
      <c r="B26" s="60" t="s">
        <v>85</v>
      </c>
      <c r="C26" s="4"/>
      <c r="D26" s="4" t="s">
        <v>86</v>
      </c>
      <c r="E26" s="13" t="s">
        <v>111</v>
      </c>
      <c r="F26" s="94">
        <f t="shared" ref="F26" si="19">F248</f>
        <v>0.51</v>
      </c>
      <c r="G26" s="94">
        <f>G248</f>
        <v>0.51</v>
      </c>
      <c r="H26" s="94">
        <f>H248</f>
        <v>1.53</v>
      </c>
      <c r="I26" s="94"/>
      <c r="J26" s="94"/>
      <c r="K26" s="94"/>
      <c r="L26" s="94"/>
      <c r="M26" s="95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28"/>
      <c r="AF26" s="28"/>
    </row>
    <row r="27" spans="1:32" s="12" customFormat="1" ht="21" x14ac:dyDescent="0.25">
      <c r="A27" s="12" t="s">
        <v>84</v>
      </c>
      <c r="B27" s="60" t="s">
        <v>85</v>
      </c>
      <c r="C27" s="4"/>
      <c r="D27" s="4" t="s">
        <v>86</v>
      </c>
      <c r="E27" s="13" t="s">
        <v>112</v>
      </c>
      <c r="F27" s="78">
        <f t="shared" ref="F27" si="20">F265</f>
        <v>15.3</v>
      </c>
      <c r="G27" s="78">
        <f>G265</f>
        <v>306</v>
      </c>
      <c r="H27" s="78">
        <f>H265</f>
        <v>765</v>
      </c>
      <c r="I27" s="78"/>
      <c r="J27" s="78"/>
      <c r="K27" s="78"/>
      <c r="L27" s="78"/>
      <c r="M27" s="79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28"/>
      <c r="AF27" s="28"/>
    </row>
    <row r="28" spans="1:32" s="12" customFormat="1" ht="21" x14ac:dyDescent="0.25">
      <c r="A28" s="12" t="s">
        <v>84</v>
      </c>
      <c r="B28" s="60" t="s">
        <v>85</v>
      </c>
      <c r="C28" s="4"/>
      <c r="D28" s="4" t="s">
        <v>86</v>
      </c>
      <c r="E28" s="13" t="s">
        <v>113</v>
      </c>
      <c r="F28" s="78">
        <f>F266</f>
        <v>112.2</v>
      </c>
      <c r="G28" s="78">
        <f>G266</f>
        <v>2244</v>
      </c>
      <c r="H28" s="78">
        <f>H266</f>
        <v>6885</v>
      </c>
      <c r="I28" s="78"/>
      <c r="J28" s="78"/>
      <c r="K28" s="78"/>
      <c r="L28" s="78"/>
      <c r="M28" s="79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28"/>
      <c r="AF28" s="28"/>
    </row>
    <row r="29" spans="1:32" s="12" customFormat="1" ht="21" x14ac:dyDescent="0.25">
      <c r="A29" s="12" t="s">
        <v>84</v>
      </c>
      <c r="B29" s="60" t="s">
        <v>85</v>
      </c>
      <c r="C29" s="14"/>
      <c r="D29" s="4" t="s">
        <v>86</v>
      </c>
      <c r="E29" s="13" t="s">
        <v>114</v>
      </c>
      <c r="F29" s="94">
        <f>F280</f>
        <v>0.11559211363636361</v>
      </c>
      <c r="G29" s="94">
        <f>G280</f>
        <v>6.8687863434343424E-2</v>
      </c>
      <c r="H29" s="94">
        <f>H280</f>
        <v>0.27437529212121214</v>
      </c>
      <c r="I29" s="94"/>
      <c r="J29" s="94"/>
      <c r="K29" s="94"/>
      <c r="L29" s="94"/>
      <c r="M29" s="95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28"/>
      <c r="AF29" s="28"/>
    </row>
    <row r="30" spans="1:32" s="12" customFormat="1" ht="21" x14ac:dyDescent="0.25">
      <c r="A30" s="12" t="s">
        <v>84</v>
      </c>
      <c r="B30" s="60" t="s">
        <v>85</v>
      </c>
      <c r="C30" s="4"/>
      <c r="D30" s="4" t="s">
        <v>86</v>
      </c>
      <c r="E30" s="13" t="s">
        <v>115</v>
      </c>
      <c r="F30" s="78">
        <f t="shared" ref="F30" si="21">F287</f>
        <v>771.32884499999989</v>
      </c>
      <c r="G30" s="78">
        <f>G287</f>
        <v>14809.513824000001</v>
      </c>
      <c r="H30" s="78">
        <f>H287</f>
        <v>59238.055296000006</v>
      </c>
      <c r="I30" s="78"/>
      <c r="J30" s="78"/>
      <c r="K30" s="78"/>
      <c r="L30" s="78"/>
      <c r="M30" s="79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28"/>
      <c r="AF30" s="28"/>
    </row>
    <row r="31" spans="1:32" s="12" customFormat="1" ht="21" x14ac:dyDescent="0.25">
      <c r="A31" s="12" t="s">
        <v>84</v>
      </c>
      <c r="B31" s="60" t="s">
        <v>85</v>
      </c>
      <c r="C31" s="4"/>
      <c r="D31" s="4" t="s">
        <v>86</v>
      </c>
      <c r="E31" s="13" t="s">
        <v>116</v>
      </c>
      <c r="F31" s="92">
        <f>F30/F38</f>
        <v>126.31578947368422</v>
      </c>
      <c r="G31" s="92">
        <f>G30/G38</f>
        <v>126.31578947368423</v>
      </c>
      <c r="H31" s="92">
        <f>H30/H38</f>
        <v>126.31578947368423</v>
      </c>
      <c r="I31" s="92"/>
      <c r="J31" s="92"/>
      <c r="K31" s="92"/>
      <c r="L31" s="92"/>
      <c r="M31" s="93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28"/>
      <c r="AF31" s="28"/>
    </row>
    <row r="32" spans="1:32" s="12" customFormat="1" ht="21" x14ac:dyDescent="0.25">
      <c r="A32" s="13" t="s">
        <v>84</v>
      </c>
      <c r="B32" s="60" t="s">
        <v>85</v>
      </c>
      <c r="C32" s="4"/>
      <c r="D32" s="4" t="s">
        <v>86</v>
      </c>
      <c r="E32" s="13" t="s">
        <v>117</v>
      </c>
      <c r="F32" s="78">
        <f>F12+F18+F20+F23+F27+F30</f>
        <v>3709.9033116666669</v>
      </c>
      <c r="G32" s="78">
        <f>G12+G18+G20+G23+G27+G30</f>
        <v>41237.238624000005</v>
      </c>
      <c r="H32" s="78">
        <f>H12+H18+H20+H23+H27+H30</f>
        <v>172480.55289600001</v>
      </c>
      <c r="I32" s="78"/>
      <c r="J32" s="78"/>
      <c r="K32" s="78"/>
      <c r="L32" s="78"/>
      <c r="M32" s="78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28"/>
      <c r="AF32" s="28"/>
    </row>
    <row r="33" spans="1:32" s="12" customFormat="1" ht="21" x14ac:dyDescent="0.25">
      <c r="A33" s="12" t="s">
        <v>84</v>
      </c>
      <c r="B33" s="60" t="s">
        <v>85</v>
      </c>
      <c r="C33" s="4"/>
      <c r="D33" s="4" t="s">
        <v>86</v>
      </c>
      <c r="E33" s="13" t="s">
        <v>118</v>
      </c>
      <c r="F33" s="78">
        <f>F12+F18+F20+F23+F27+F30+F7</f>
        <v>8709.9033116666669</v>
      </c>
      <c r="G33" s="78">
        <f>G12+G18+G20+G23+G27+G30+G7</f>
        <v>61237.238624000005</v>
      </c>
      <c r="H33" s="78">
        <f>H12+H18+H20+H23+H27+H30+H7</f>
        <v>252480.55289600001</v>
      </c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28"/>
      <c r="AF33" s="28"/>
    </row>
    <row r="34" spans="1:32" s="12" customFormat="1" ht="21" x14ac:dyDescent="0.25">
      <c r="A34" s="12" t="s">
        <v>84</v>
      </c>
      <c r="B34" s="60" t="s">
        <v>85</v>
      </c>
      <c r="C34" s="4"/>
      <c r="D34" s="4" t="s">
        <v>86</v>
      </c>
      <c r="E34" s="13" t="s">
        <v>119</v>
      </c>
      <c r="F34" s="78">
        <f>SUM(F24,F21,F13,F28,F8)</f>
        <v>26970.193333333336</v>
      </c>
      <c r="G34" s="78">
        <f>SUM(G24,G21,G13,G28,G8)</f>
        <v>176878.56</v>
      </c>
      <c r="H34" s="78">
        <f>SUM(H24,H21,H13,H28,H8)</f>
        <v>705423.24</v>
      </c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28"/>
      <c r="AF34" s="28"/>
    </row>
    <row r="35" spans="1:32" s="12" customFormat="1" ht="21" x14ac:dyDescent="0.25">
      <c r="A35" s="13"/>
      <c r="B35" s="60" t="s">
        <v>85</v>
      </c>
      <c r="C35" s="4"/>
      <c r="D35" s="4" t="s">
        <v>86</v>
      </c>
      <c r="E35" s="13" t="s">
        <v>120</v>
      </c>
      <c r="F35" s="78">
        <f>(F7+F34+F8)/F61</f>
        <v>2348.5096666666668</v>
      </c>
      <c r="G35" s="78">
        <f>(G7+G34+G8)/G61</f>
        <v>12843.928</v>
      </c>
      <c r="H35" s="78">
        <f>(H7+H34+H8)/H61</f>
        <v>51271.161999999997</v>
      </c>
      <c r="I35" s="78" t="e">
        <f>(I7+I34+I8)/I61</f>
        <v>#DIV/0!</v>
      </c>
      <c r="J35" s="78" t="e">
        <f>(J7+J34+J8)/J61</f>
        <v>#DIV/0!</v>
      </c>
      <c r="K35" s="78"/>
      <c r="L35" s="78"/>
      <c r="M35" s="78"/>
      <c r="N35" s="7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28"/>
      <c r="AF35" s="28"/>
    </row>
    <row r="36" spans="1:32" s="12" customFormat="1" ht="21" x14ac:dyDescent="0.25">
      <c r="A36" s="13" t="s">
        <v>84</v>
      </c>
      <c r="B36" s="60" t="s">
        <v>85</v>
      </c>
      <c r="C36" s="4"/>
      <c r="D36" s="4" t="s">
        <v>86</v>
      </c>
      <c r="E36" s="13" t="s">
        <v>121</v>
      </c>
      <c r="F36" s="80">
        <f>F33/F38</f>
        <v>1426.3673920461665</v>
      </c>
      <c r="G36" s="80">
        <f t="shared" ref="G36:H36" si="22">G33/G38</f>
        <v>522.31492768137934</v>
      </c>
      <c r="H36" s="80">
        <f t="shared" si="22"/>
        <v>538.37487078958895</v>
      </c>
      <c r="I36" s="78"/>
      <c r="J36" s="78"/>
      <c r="K36" s="7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28"/>
      <c r="AF36" s="28"/>
    </row>
    <row r="37" spans="1:32" s="12" customFormat="1" ht="21" x14ac:dyDescent="0.25">
      <c r="A37" s="12" t="s">
        <v>84</v>
      </c>
      <c r="B37" s="60" t="s">
        <v>127</v>
      </c>
      <c r="C37" s="4"/>
      <c r="D37" s="4" t="s">
        <v>86</v>
      </c>
      <c r="E37" s="13" t="s">
        <v>122</v>
      </c>
      <c r="F37" s="96">
        <f>(F34+F8)/F38</f>
        <v>6873.2008917197427</v>
      </c>
      <c r="G37" s="96">
        <f>(G34+G8)/G38</f>
        <v>2020.4243482523573</v>
      </c>
      <c r="H37" s="96">
        <f>(H34+H8)/H38</f>
        <v>2015.9656212656307</v>
      </c>
      <c r="I37" s="96"/>
      <c r="J37" s="96"/>
      <c r="K37" s="96"/>
      <c r="L37" s="96"/>
      <c r="M37" s="97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28"/>
      <c r="AF37" s="28"/>
    </row>
    <row r="38" spans="1:32" s="12" customFormat="1" ht="21" x14ac:dyDescent="0.25">
      <c r="A38" s="12" t="s">
        <v>84</v>
      </c>
      <c r="B38" s="60" t="s">
        <v>127</v>
      </c>
      <c r="C38" s="4"/>
      <c r="D38" s="4" t="s">
        <v>86</v>
      </c>
      <c r="E38" s="13" t="s">
        <v>123</v>
      </c>
      <c r="F38" s="98">
        <f t="shared" ref="F38" si="23">F296/1000</f>
        <v>6.1063533562499988</v>
      </c>
      <c r="G38" s="98">
        <f>G296/1000</f>
        <v>117.24198444</v>
      </c>
      <c r="H38" s="98">
        <f>H296/1000</f>
        <v>468.96793775999998</v>
      </c>
      <c r="I38" s="98"/>
      <c r="J38" s="98"/>
      <c r="K38" s="98"/>
      <c r="L38" s="130"/>
      <c r="M38" s="99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28"/>
      <c r="AF38" s="28"/>
    </row>
    <row r="39" spans="1:32" s="12" customFormat="1" ht="21" x14ac:dyDescent="0.25">
      <c r="A39" s="13" t="s">
        <v>84</v>
      </c>
      <c r="B39" s="60" t="s">
        <v>127</v>
      </c>
      <c r="C39" s="4"/>
      <c r="D39" s="4" t="s">
        <v>86</v>
      </c>
      <c r="E39" s="13" t="s">
        <v>124</v>
      </c>
      <c r="F39" s="129">
        <f>F62*F296/1000/1000</f>
        <v>0.10206333466874999</v>
      </c>
      <c r="G39" s="129">
        <f>G62*G296/1000/1000</f>
        <v>1.9596160256400001</v>
      </c>
      <c r="H39" s="129">
        <f>H62*H296/1000/1000</f>
        <v>7.8384641025600006</v>
      </c>
      <c r="I39" s="129"/>
      <c r="J39" s="129"/>
      <c r="K39" s="129"/>
      <c r="L39" s="136"/>
      <c r="M39" s="129"/>
      <c r="N39" s="129"/>
      <c r="O39" s="129"/>
      <c r="P39" s="129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28"/>
      <c r="AF39" s="28"/>
    </row>
    <row r="40" spans="1:32" ht="26" x14ac:dyDescent="0.3">
      <c r="A40" s="10" t="s">
        <v>57</v>
      </c>
      <c r="B40" s="75" t="s">
        <v>127</v>
      </c>
      <c r="D40" s="10" t="s">
        <v>3</v>
      </c>
      <c r="E40" s="30" t="s">
        <v>125</v>
      </c>
      <c r="F40" s="76"/>
      <c r="G40" s="76"/>
      <c r="H40" s="76"/>
      <c r="I40" s="76"/>
      <c r="J40" s="76"/>
      <c r="K40" s="76"/>
      <c r="L40" s="76"/>
      <c r="M40" s="77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11"/>
      <c r="AF40" s="11"/>
    </row>
    <row r="41" spans="1:32" s="12" customFormat="1" hidden="1" x14ac:dyDescent="0.2">
      <c r="C41" s="4"/>
      <c r="D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1"/>
      <c r="AF41" s="1"/>
    </row>
    <row r="42" spans="1:32" s="26" customFormat="1" x14ac:dyDescent="0.2">
      <c r="A42" s="70" t="s">
        <v>126</v>
      </c>
      <c r="B42" s="75" t="s">
        <v>127</v>
      </c>
      <c r="C42" s="70"/>
      <c r="D42" s="70" t="s">
        <v>3</v>
      </c>
      <c r="E42" s="26" t="s">
        <v>4</v>
      </c>
      <c r="F42" s="100">
        <v>500</v>
      </c>
      <c r="G42" s="100">
        <v>2000</v>
      </c>
      <c r="H42" s="100">
        <v>8000</v>
      </c>
      <c r="I42" s="100"/>
      <c r="J42" s="100"/>
      <c r="K42" s="100"/>
      <c r="L42" s="100"/>
      <c r="M42" s="101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71"/>
      <c r="AF42" s="71"/>
    </row>
    <row r="43" spans="1:32" x14ac:dyDescent="0.2">
      <c r="A43" s="10" t="s">
        <v>126</v>
      </c>
      <c r="B43" s="75" t="s">
        <v>85</v>
      </c>
      <c r="D43" s="10" t="s">
        <v>3</v>
      </c>
      <c r="E43" s="13" t="s">
        <v>128</v>
      </c>
      <c r="F43" s="39">
        <v>1</v>
      </c>
      <c r="G43" s="112">
        <f>Table1[[#This Row],[Clinial Production]]</f>
        <v>1</v>
      </c>
      <c r="H43" s="112">
        <f>Table1[[#This Row],[2000L, MCC High cellular productivity]]</f>
        <v>1</v>
      </c>
      <c r="I43" s="112"/>
      <c r="J43" s="112"/>
      <c r="K43" s="112"/>
      <c r="L43" s="112"/>
      <c r="M43" s="112"/>
      <c r="N43" s="112"/>
      <c r="O43" s="39"/>
      <c r="P43" s="39"/>
      <c r="Q43" s="39">
        <v>1</v>
      </c>
      <c r="R43" s="39">
        <v>1</v>
      </c>
      <c r="S43" s="39">
        <v>1</v>
      </c>
      <c r="T43" s="39">
        <v>1</v>
      </c>
      <c r="U43" s="39">
        <v>1</v>
      </c>
      <c r="V43" s="39">
        <v>1</v>
      </c>
      <c r="W43" s="39">
        <v>1</v>
      </c>
      <c r="X43" s="39">
        <v>1</v>
      </c>
      <c r="Y43" s="39">
        <v>1</v>
      </c>
      <c r="Z43" s="39">
        <v>1</v>
      </c>
      <c r="AA43" s="39">
        <v>1</v>
      </c>
      <c r="AB43" s="39">
        <v>1</v>
      </c>
      <c r="AC43" s="39">
        <v>1</v>
      </c>
      <c r="AD43" s="39">
        <v>1</v>
      </c>
      <c r="AE43" s="11"/>
      <c r="AF43" s="11"/>
    </row>
    <row r="44" spans="1:32" x14ac:dyDescent="0.2">
      <c r="A44" s="10" t="s">
        <v>126</v>
      </c>
      <c r="B44" s="75" t="s">
        <v>127</v>
      </c>
      <c r="D44" s="10" t="s">
        <v>3</v>
      </c>
      <c r="E44" s="13" t="s">
        <v>88</v>
      </c>
      <c r="F44" s="102">
        <v>50</v>
      </c>
      <c r="G44" s="102">
        <v>120</v>
      </c>
      <c r="H44" s="102">
        <v>120</v>
      </c>
      <c r="I44" s="102"/>
      <c r="J44" s="102"/>
      <c r="K44" s="102"/>
      <c r="L44" s="102"/>
      <c r="M44" s="103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1"/>
      <c r="AF44" s="11"/>
    </row>
    <row r="45" spans="1:32" x14ac:dyDescent="0.2">
      <c r="A45" s="10" t="s">
        <v>126</v>
      </c>
      <c r="B45" s="75" t="s">
        <v>127</v>
      </c>
      <c r="D45" s="10" t="s">
        <v>3</v>
      </c>
      <c r="E45" s="13" t="s">
        <v>89</v>
      </c>
      <c r="F45" s="104">
        <v>20</v>
      </c>
      <c r="G45" s="104">
        <v>40</v>
      </c>
      <c r="H45" s="104">
        <v>40</v>
      </c>
      <c r="I45" s="104"/>
      <c r="J45" s="104"/>
      <c r="K45" s="104"/>
      <c r="L45" s="104"/>
      <c r="M45" s="105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1"/>
      <c r="AF45" s="11"/>
    </row>
    <row r="46" spans="1:32" s="12" customFormat="1" x14ac:dyDescent="0.2">
      <c r="A46" s="12" t="s">
        <v>84</v>
      </c>
      <c r="B46" s="75" t="s">
        <v>127</v>
      </c>
      <c r="C46" s="4"/>
      <c r="D46" s="10" t="s">
        <v>3</v>
      </c>
      <c r="E46" s="12" t="s">
        <v>129</v>
      </c>
      <c r="F46" s="106">
        <f>F44/3.3</f>
        <v>15.151515151515152</v>
      </c>
      <c r="G46" s="106">
        <f t="shared" ref="G46" si="24">G44/3.3</f>
        <v>36.363636363636367</v>
      </c>
      <c r="H46" s="106">
        <f t="shared" ref="H46" si="25">H44/3.3</f>
        <v>36.363636363636367</v>
      </c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"/>
      <c r="AF46" s="1"/>
    </row>
    <row r="47" spans="1:32" s="12" customFormat="1" x14ac:dyDescent="0.2">
      <c r="A47" s="13" t="s">
        <v>126</v>
      </c>
      <c r="B47" s="75" t="s">
        <v>85</v>
      </c>
      <c r="C47" s="4"/>
      <c r="D47" s="10" t="s">
        <v>3</v>
      </c>
      <c r="E47" s="12" t="s">
        <v>130</v>
      </c>
      <c r="F47" s="106">
        <v>6</v>
      </c>
      <c r="G47" s="106">
        <v>6</v>
      </c>
      <c r="H47" s="106">
        <v>6</v>
      </c>
      <c r="I47" s="106"/>
      <c r="J47" s="106"/>
      <c r="K47" s="10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1"/>
      <c r="AF47" s="1"/>
    </row>
    <row r="48" spans="1:32" s="12" customFormat="1" x14ac:dyDescent="0.2">
      <c r="A48" s="13" t="s">
        <v>126</v>
      </c>
      <c r="B48" s="75" t="s">
        <v>85</v>
      </c>
      <c r="C48" s="4"/>
      <c r="D48" s="10" t="s">
        <v>3</v>
      </c>
      <c r="E48" s="12" t="s">
        <v>131</v>
      </c>
      <c r="F48" s="161">
        <v>0.5</v>
      </c>
      <c r="G48" s="161">
        <v>0.5</v>
      </c>
      <c r="H48" s="161">
        <v>0.5</v>
      </c>
      <c r="I48" s="161"/>
      <c r="J48" s="161"/>
      <c r="K48" s="10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1"/>
      <c r="AF48" s="1"/>
    </row>
    <row r="49" spans="1:32" s="12" customFormat="1" x14ac:dyDescent="0.2">
      <c r="A49" s="13" t="s">
        <v>84</v>
      </c>
      <c r="B49" s="75" t="s">
        <v>85</v>
      </c>
      <c r="C49" s="4"/>
      <c r="D49" s="10" t="s">
        <v>3</v>
      </c>
      <c r="E49" s="12" t="s">
        <v>132</v>
      </c>
      <c r="F49" s="96">
        <f>F48*F47/32/F46*3600</f>
        <v>22.274999999999999</v>
      </c>
      <c r="G49" s="96">
        <f t="shared" ref="G49:H49" si="26">G48*G47/32/G46*3600</f>
        <v>9.2812499999999982</v>
      </c>
      <c r="H49" s="96">
        <f t="shared" si="26"/>
        <v>9.2812499999999982</v>
      </c>
      <c r="I49" s="96"/>
      <c r="J49" s="96"/>
      <c r="K49" s="10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1"/>
      <c r="AF49" s="1"/>
    </row>
    <row r="50" spans="1:32" s="12" customFormat="1" x14ac:dyDescent="0.2">
      <c r="A50" s="12" t="s">
        <v>84</v>
      </c>
      <c r="B50" s="75" t="s">
        <v>127</v>
      </c>
      <c r="C50" s="4"/>
      <c r="D50" s="10" t="s">
        <v>3</v>
      </c>
      <c r="E50" s="12" t="s">
        <v>133</v>
      </c>
      <c r="F50" s="106">
        <f>F46*1.58</f>
        <v>23.939393939393941</v>
      </c>
      <c r="G50" s="106">
        <f t="shared" ref="G50:H50" si="27">G46*1.58</f>
        <v>57.45454545454546</v>
      </c>
      <c r="H50" s="106">
        <f t="shared" si="27"/>
        <v>57.45454545454546</v>
      </c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"/>
      <c r="AF50" s="1"/>
    </row>
    <row r="51" spans="1:32" s="12" customFormat="1" x14ac:dyDescent="0.2">
      <c r="A51" s="10" t="s">
        <v>126</v>
      </c>
      <c r="B51" s="75" t="s">
        <v>127</v>
      </c>
      <c r="C51" s="4"/>
      <c r="D51" s="10" t="s">
        <v>3</v>
      </c>
      <c r="E51" s="12" t="s">
        <v>134</v>
      </c>
      <c r="F51" s="108">
        <v>0.2</v>
      </c>
      <c r="G51" s="108">
        <v>0.2</v>
      </c>
      <c r="H51" s="108">
        <v>0.2</v>
      </c>
      <c r="I51" s="108"/>
      <c r="J51" s="108"/>
      <c r="K51" s="108"/>
      <c r="L51" s="108"/>
      <c r="M51" s="108"/>
      <c r="N51" s="108"/>
      <c r="O51" s="108"/>
      <c r="P51" s="108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"/>
      <c r="AF51" s="1"/>
    </row>
    <row r="52" spans="1:32" s="12" customFormat="1" x14ac:dyDescent="0.2">
      <c r="A52" s="10" t="s">
        <v>84</v>
      </c>
      <c r="B52" s="75" t="s">
        <v>85</v>
      </c>
      <c r="C52" s="4"/>
      <c r="D52" s="10" t="s">
        <v>3</v>
      </c>
      <c r="E52" s="12" t="s">
        <v>135</v>
      </c>
      <c r="F52" s="106">
        <f>F51*F42</f>
        <v>100</v>
      </c>
      <c r="G52" s="106">
        <f>G51*G42</f>
        <v>400</v>
      </c>
      <c r="H52" s="106">
        <f>H51*H42</f>
        <v>1600</v>
      </c>
      <c r="I52" s="106"/>
      <c r="J52" s="106"/>
      <c r="K52" s="106"/>
      <c r="L52" s="106"/>
      <c r="M52" s="106"/>
      <c r="N52" s="106"/>
      <c r="O52" s="106"/>
      <c r="P52" s="106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1"/>
      <c r="AF52" s="1"/>
    </row>
    <row r="53" spans="1:32" x14ac:dyDescent="0.2">
      <c r="A53" s="10" t="s">
        <v>126</v>
      </c>
      <c r="B53" s="75" t="s">
        <v>127</v>
      </c>
      <c r="D53" s="10" t="s">
        <v>3</v>
      </c>
      <c r="E53" s="13" t="s">
        <v>136</v>
      </c>
      <c r="F53" s="104">
        <v>0.2</v>
      </c>
      <c r="G53" s="104">
        <v>0.2</v>
      </c>
      <c r="H53" s="104">
        <v>0.2</v>
      </c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1"/>
      <c r="AF53" s="11"/>
    </row>
    <row r="54" spans="1:32" x14ac:dyDescent="0.2">
      <c r="A54" s="10" t="s">
        <v>84</v>
      </c>
      <c r="B54" s="75" t="s">
        <v>85</v>
      </c>
      <c r="D54" s="10" t="s">
        <v>3</v>
      </c>
      <c r="E54" s="13" t="s">
        <v>137</v>
      </c>
      <c r="F54" s="102">
        <f>F53*F42</f>
        <v>100</v>
      </c>
      <c r="G54" s="102">
        <f>G53*G42</f>
        <v>400</v>
      </c>
      <c r="H54" s="102">
        <f>H53*H42</f>
        <v>1600</v>
      </c>
      <c r="I54" s="102"/>
      <c r="J54" s="102"/>
      <c r="K54" s="102"/>
      <c r="L54" s="102"/>
      <c r="M54" s="102"/>
      <c r="N54" s="102"/>
      <c r="O54" s="102"/>
      <c r="P54" s="102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1"/>
      <c r="AF54" s="11"/>
    </row>
    <row r="55" spans="1:32" x14ac:dyDescent="0.2">
      <c r="A55" s="10" t="s">
        <v>84</v>
      </c>
      <c r="B55" s="75" t="s">
        <v>127</v>
      </c>
      <c r="D55" s="10" t="s">
        <v>3</v>
      </c>
      <c r="E55" s="13" t="s">
        <v>138</v>
      </c>
      <c r="F55" s="80">
        <f>28*F44*1000000/1000000000000*F42*1000</f>
        <v>700</v>
      </c>
      <c r="G55" s="80">
        <f>28*G44*1000000/1000000000000*G42*1000</f>
        <v>6720.0000000000009</v>
      </c>
      <c r="H55" s="80">
        <f>28*H44*1000000/1000000000000*H42*1000</f>
        <v>26880.000000000004</v>
      </c>
      <c r="I55" s="80"/>
      <c r="J55" s="80"/>
      <c r="K55" s="80"/>
      <c r="L55" s="80"/>
      <c r="M55" s="80"/>
      <c r="N55" s="80"/>
      <c r="O55" s="80"/>
      <c r="P55" s="80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"/>
      <c r="AF55" s="11"/>
    </row>
    <row r="56" spans="1:32" s="12" customFormat="1" x14ac:dyDescent="0.2">
      <c r="A56" s="12" t="s">
        <v>84</v>
      </c>
      <c r="B56" s="75" t="s">
        <v>127</v>
      </c>
      <c r="C56" s="4"/>
      <c r="D56" s="10" t="s">
        <v>3</v>
      </c>
      <c r="E56" s="12" t="s">
        <v>90</v>
      </c>
      <c r="F56" s="108">
        <f>F45*F44/1000</f>
        <v>1</v>
      </c>
      <c r="G56" s="108">
        <f>G45*G44/1000</f>
        <v>4.8</v>
      </c>
      <c r="H56" s="108">
        <f>H45*H44/1000</f>
        <v>4.8</v>
      </c>
      <c r="I56" s="108"/>
      <c r="J56" s="108"/>
      <c r="K56" s="108"/>
      <c r="L56" s="108"/>
      <c r="M56" s="109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"/>
      <c r="AF56" s="1"/>
    </row>
    <row r="57" spans="1:32" x14ac:dyDescent="0.2">
      <c r="A57" s="10" t="s">
        <v>126</v>
      </c>
      <c r="B57" s="75" t="s">
        <v>127</v>
      </c>
      <c r="D57" s="10" t="s">
        <v>3</v>
      </c>
      <c r="E57" s="13" t="s">
        <v>139</v>
      </c>
      <c r="F57" s="104">
        <v>1.5</v>
      </c>
      <c r="G57" s="104">
        <v>1.5</v>
      </c>
      <c r="H57" s="104">
        <v>1.5</v>
      </c>
      <c r="I57" s="104"/>
      <c r="J57" s="104"/>
      <c r="K57" s="104"/>
      <c r="L57" s="104"/>
      <c r="M57" s="105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1"/>
      <c r="AF57" s="11"/>
    </row>
    <row r="58" spans="1:32" x14ac:dyDescent="0.2">
      <c r="A58" s="10" t="s">
        <v>84</v>
      </c>
      <c r="B58" s="75" t="s">
        <v>85</v>
      </c>
      <c r="D58" s="10" t="s">
        <v>3</v>
      </c>
      <c r="E58" s="13" t="s">
        <v>140</v>
      </c>
      <c r="F58" s="104">
        <f>F57*F42*F43</f>
        <v>750</v>
      </c>
      <c r="G58" s="104">
        <f>G57*G42*G43</f>
        <v>3000</v>
      </c>
      <c r="H58" s="104">
        <f>H57*H42*H43</f>
        <v>12000</v>
      </c>
      <c r="I58" s="104"/>
      <c r="J58" s="104"/>
      <c r="K58" s="104"/>
      <c r="L58" s="104"/>
      <c r="M58" s="105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1"/>
      <c r="AF58" s="11"/>
    </row>
    <row r="59" spans="1:32" x14ac:dyDescent="0.2">
      <c r="A59" s="10" t="s">
        <v>84</v>
      </c>
      <c r="B59" s="75" t="s">
        <v>127</v>
      </c>
      <c r="D59" s="10" t="s">
        <v>3</v>
      </c>
      <c r="E59" s="13" t="s">
        <v>141</v>
      </c>
      <c r="F59" s="104">
        <f>(1-F43)*F58/24/60</f>
        <v>0</v>
      </c>
      <c r="G59" s="104">
        <f>(1-G43)*G58/24/60</f>
        <v>0</v>
      </c>
      <c r="H59" s="104">
        <f>(1-H43)*H58/24/60</f>
        <v>0</v>
      </c>
      <c r="I59" s="104"/>
      <c r="J59" s="104"/>
      <c r="K59" s="104"/>
      <c r="L59" s="104"/>
      <c r="M59" s="104"/>
      <c r="N59" s="104"/>
      <c r="O59" s="104"/>
      <c r="P59" s="104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1"/>
      <c r="AF59" s="11"/>
    </row>
    <row r="60" spans="1:32" s="12" customFormat="1" x14ac:dyDescent="0.2">
      <c r="A60" s="12" t="s">
        <v>84</v>
      </c>
      <c r="B60" s="75" t="s">
        <v>127</v>
      </c>
      <c r="C60" s="4"/>
      <c r="D60" s="10" t="s">
        <v>3</v>
      </c>
      <c r="E60" s="12" t="s">
        <v>142</v>
      </c>
      <c r="F60" s="106">
        <f>F42*F56*F43</f>
        <v>500</v>
      </c>
      <c r="G60" s="106">
        <f>G42*G56*G43</f>
        <v>9600</v>
      </c>
      <c r="H60" s="106">
        <f>H42*H56*H43</f>
        <v>38400</v>
      </c>
      <c r="I60" s="106"/>
      <c r="J60" s="106"/>
      <c r="K60" s="106"/>
      <c r="L60" s="108"/>
      <c r="M60" s="107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"/>
      <c r="AF60" s="1"/>
    </row>
    <row r="61" spans="1:32" x14ac:dyDescent="0.2">
      <c r="A61" s="10" t="s">
        <v>126</v>
      </c>
      <c r="B61" s="75" t="s">
        <v>127</v>
      </c>
      <c r="D61" s="10" t="s">
        <v>3</v>
      </c>
      <c r="E61" s="10" t="s">
        <v>143</v>
      </c>
      <c r="F61" s="104">
        <v>20</v>
      </c>
      <c r="G61" s="104">
        <v>20</v>
      </c>
      <c r="H61" s="104">
        <v>20</v>
      </c>
      <c r="I61" s="104"/>
      <c r="J61" s="104"/>
      <c r="K61" s="104"/>
      <c r="L61" s="104"/>
      <c r="M61" s="105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1"/>
      <c r="AF61" s="11"/>
    </row>
    <row r="62" spans="1:32" x14ac:dyDescent="0.2">
      <c r="A62" s="10" t="s">
        <v>84</v>
      </c>
      <c r="B62" s="75" t="s">
        <v>85</v>
      </c>
      <c r="D62" s="10" t="s">
        <v>3</v>
      </c>
      <c r="E62" s="10" t="s">
        <v>144</v>
      </c>
      <c r="F62" s="6">
        <f>(365-14)/(F61+1)</f>
        <v>16.714285714285715</v>
      </c>
      <c r="G62" s="6">
        <f>(365-14)/(G61+1)</f>
        <v>16.714285714285715</v>
      </c>
      <c r="H62" s="6">
        <f>(365-14)/(H61+1)</f>
        <v>16.714285714285715</v>
      </c>
      <c r="I62" s="6"/>
      <c r="J62" s="6"/>
      <c r="K62" s="6"/>
      <c r="L62" s="6"/>
      <c r="M62" s="6"/>
      <c r="N62" s="6"/>
      <c r="O62" s="6"/>
      <c r="P62" s="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1"/>
      <c r="AF62" s="11"/>
    </row>
    <row r="63" spans="1:32" s="12" customFormat="1" x14ac:dyDescent="0.2">
      <c r="A63" s="12" t="s">
        <v>84</v>
      </c>
      <c r="B63" s="75" t="s">
        <v>127</v>
      </c>
      <c r="C63" s="4"/>
      <c r="D63" s="10" t="s">
        <v>3</v>
      </c>
      <c r="E63" s="6" t="s">
        <v>145</v>
      </c>
      <c r="F63" s="80">
        <f t="shared" ref="F63" si="28">F58*F61</f>
        <v>15000</v>
      </c>
      <c r="G63" s="80">
        <f>G58*G61</f>
        <v>60000</v>
      </c>
      <c r="H63" s="80">
        <f>H58*H61</f>
        <v>240000</v>
      </c>
      <c r="I63" s="80"/>
      <c r="J63" s="80"/>
      <c r="K63" s="80"/>
      <c r="L63" s="80"/>
      <c r="M63" s="81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1"/>
      <c r="AF63" s="1"/>
    </row>
    <row r="64" spans="1:32" x14ac:dyDescent="0.2">
      <c r="A64" s="10" t="s">
        <v>126</v>
      </c>
      <c r="B64" s="75" t="s">
        <v>127</v>
      </c>
      <c r="D64" s="10" t="s">
        <v>3</v>
      </c>
      <c r="E64" s="6" t="s">
        <v>146</v>
      </c>
      <c r="F64" s="80">
        <v>3</v>
      </c>
      <c r="G64" s="80">
        <v>3</v>
      </c>
      <c r="H64" s="80">
        <v>3</v>
      </c>
      <c r="I64" s="80"/>
      <c r="J64" s="80"/>
      <c r="K64" s="80"/>
      <c r="L64" s="80"/>
      <c r="M64" s="81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11"/>
      <c r="AF64" s="11"/>
    </row>
    <row r="65" spans="1:32" x14ac:dyDescent="0.2">
      <c r="A65" s="10" t="s">
        <v>126</v>
      </c>
      <c r="B65" s="75" t="s">
        <v>127</v>
      </c>
      <c r="D65" s="10" t="s">
        <v>3</v>
      </c>
      <c r="E65" s="6" t="s">
        <v>147</v>
      </c>
      <c r="F65" s="110">
        <v>5</v>
      </c>
      <c r="G65" s="110">
        <v>5</v>
      </c>
      <c r="H65" s="110">
        <v>5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"/>
      <c r="AF65" s="11"/>
    </row>
    <row r="66" spans="1:32" x14ac:dyDescent="0.2">
      <c r="A66" s="10" t="s">
        <v>84</v>
      </c>
      <c r="B66" s="75" t="s">
        <v>85</v>
      </c>
      <c r="D66" s="10" t="s">
        <v>3</v>
      </c>
      <c r="E66" s="6" t="s">
        <v>148</v>
      </c>
      <c r="F66" s="110">
        <f>F57*F42/24/60/20*1000</f>
        <v>26.041666666666668</v>
      </c>
      <c r="G66" s="110">
        <f>G57*G42/24/60/20*1000</f>
        <v>104.16666666666667</v>
      </c>
      <c r="H66" s="110">
        <f>H57*H42/24/60/20*1000</f>
        <v>416.66666666666669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1"/>
      <c r="S66" s="111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"/>
      <c r="AF66" s="11"/>
    </row>
    <row r="67" spans="1:32" x14ac:dyDescent="0.2">
      <c r="A67" s="10" t="s">
        <v>84</v>
      </c>
      <c r="B67" s="75" t="s">
        <v>85</v>
      </c>
      <c r="D67" s="10" t="s">
        <v>3</v>
      </c>
      <c r="E67" s="6" t="s">
        <v>149</v>
      </c>
      <c r="F67" s="110">
        <f>F57*F42/24/60/5*1000</f>
        <v>104.16666666666667</v>
      </c>
      <c r="G67" s="110">
        <f>G57*G42/24/60/5*1000</f>
        <v>416.66666666666669</v>
      </c>
      <c r="H67" s="110">
        <f>H57*H42/24/60/5*1000</f>
        <v>1666.6666666666667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"/>
      <c r="AF67" s="11"/>
    </row>
    <row r="68" spans="1:32" s="12" customFormat="1" x14ac:dyDescent="0.2">
      <c r="A68" s="12" t="s">
        <v>84</v>
      </c>
      <c r="B68" s="75" t="s">
        <v>85</v>
      </c>
      <c r="C68" s="6"/>
      <c r="D68" s="10" t="s">
        <v>3</v>
      </c>
      <c r="E68" s="6" t="s">
        <v>150</v>
      </c>
      <c r="F68" s="80">
        <f t="shared" ref="F68" si="29">F63/F64</f>
        <v>5000</v>
      </c>
      <c r="G68" s="80">
        <f>G63/G64</f>
        <v>20000</v>
      </c>
      <c r="H68" s="80">
        <f>H63/H64</f>
        <v>80000</v>
      </c>
      <c r="I68" s="80"/>
      <c r="J68" s="80"/>
      <c r="K68" s="80"/>
      <c r="L68" s="80"/>
      <c r="M68" s="81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1"/>
      <c r="AF68" s="1"/>
    </row>
    <row r="69" spans="1:32" s="12" customFormat="1" x14ac:dyDescent="0.2">
      <c r="A69" s="13" t="s">
        <v>84</v>
      </c>
      <c r="B69" s="75" t="s">
        <v>127</v>
      </c>
      <c r="C69" s="6"/>
      <c r="D69" s="10" t="s">
        <v>3</v>
      </c>
      <c r="E69" s="6" t="s">
        <v>151</v>
      </c>
      <c r="F69" s="110">
        <f>F63/20</f>
        <v>750</v>
      </c>
      <c r="G69" s="110">
        <f>G63/20</f>
        <v>3000</v>
      </c>
      <c r="H69" s="110">
        <f>H63/20</f>
        <v>12000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"/>
      <c r="AF69" s="1"/>
    </row>
    <row r="70" spans="1:32" s="12" customFormat="1" x14ac:dyDescent="0.2">
      <c r="A70" s="13" t="s">
        <v>84</v>
      </c>
      <c r="B70" s="75" t="s">
        <v>127</v>
      </c>
      <c r="C70" s="6"/>
      <c r="D70" s="10" t="s">
        <v>3</v>
      </c>
      <c r="E70" s="6" t="s">
        <v>152</v>
      </c>
      <c r="F70" s="110">
        <f>F63/12</f>
        <v>1250</v>
      </c>
      <c r="G70" s="110">
        <f>G63/12</f>
        <v>5000</v>
      </c>
      <c r="H70" s="110">
        <f>H63/12</f>
        <v>20000</v>
      </c>
      <c r="I70" s="110"/>
      <c r="J70" s="110"/>
      <c r="K70" s="110"/>
      <c r="L70" s="110"/>
      <c r="M70" s="110"/>
      <c r="N70" s="110"/>
      <c r="O70" s="110"/>
      <c r="P70" s="110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1"/>
      <c r="AF70" s="1"/>
    </row>
    <row r="71" spans="1:32" s="12" customFormat="1" x14ac:dyDescent="0.2">
      <c r="A71" s="13" t="s">
        <v>84</v>
      </c>
      <c r="B71" s="75" t="s">
        <v>127</v>
      </c>
      <c r="C71" s="6"/>
      <c r="D71" s="10" t="s">
        <v>3</v>
      </c>
      <c r="E71" s="6" t="s">
        <v>153</v>
      </c>
      <c r="F71" s="110">
        <f t="shared" ref="F71" si="30">F63/5</f>
        <v>3000</v>
      </c>
      <c r="G71" s="110">
        <f>G63/5</f>
        <v>12000</v>
      </c>
      <c r="H71" s="110">
        <f>H63/5</f>
        <v>48000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"/>
      <c r="AF71" s="1"/>
    </row>
    <row r="72" spans="1:32" s="12" customFormat="1" x14ac:dyDescent="0.2">
      <c r="A72" s="12" t="s">
        <v>84</v>
      </c>
      <c r="B72" s="75" t="s">
        <v>127</v>
      </c>
      <c r="C72" s="6"/>
      <c r="D72" s="10" t="s">
        <v>3</v>
      </c>
      <c r="E72" s="6" t="s">
        <v>154</v>
      </c>
      <c r="F72" s="80">
        <f t="shared" ref="F72" si="31">F63-F68</f>
        <v>10000</v>
      </c>
      <c r="G72" s="80">
        <f>G63-G68</f>
        <v>40000</v>
      </c>
      <c r="H72" s="80">
        <f>H63-H68</f>
        <v>160000</v>
      </c>
      <c r="I72" s="80"/>
      <c r="J72" s="80"/>
      <c r="K72" s="80"/>
      <c r="L72" s="80"/>
      <c r="M72" s="81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1"/>
      <c r="AF72" s="1"/>
    </row>
    <row r="73" spans="1:32" s="12" customFormat="1" hidden="1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1"/>
      <c r="AF73" s="1"/>
    </row>
    <row r="74" spans="1:32" ht="26" x14ac:dyDescent="0.3">
      <c r="A74" s="10" t="s">
        <v>57</v>
      </c>
      <c r="B74" s="75" t="s">
        <v>127</v>
      </c>
      <c r="C74" s="6"/>
      <c r="D74" s="10" t="s">
        <v>155</v>
      </c>
      <c r="E74" s="30" t="s">
        <v>155</v>
      </c>
      <c r="F74" s="80"/>
      <c r="G74" s="80"/>
      <c r="H74" s="80"/>
      <c r="I74" s="80"/>
      <c r="J74" s="80"/>
      <c r="K74" s="80"/>
      <c r="L74" s="80"/>
      <c r="M74" s="81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11"/>
      <c r="AF74" s="11"/>
    </row>
    <row r="75" spans="1:32" x14ac:dyDescent="0.2">
      <c r="A75" s="10" t="s">
        <v>126</v>
      </c>
      <c r="B75" s="75" t="s">
        <v>127</v>
      </c>
      <c r="D75" s="10" t="s">
        <v>155</v>
      </c>
      <c r="E75" s="13" t="s">
        <v>156</v>
      </c>
      <c r="F75" s="80">
        <v>1000</v>
      </c>
      <c r="G75" s="80">
        <f>Table1[[#This Row],[Clinial Production]]</f>
        <v>1000</v>
      </c>
      <c r="H75" s="80">
        <f>Table1[[#This Row],[2000L, MCC High cellular productivity]]</f>
        <v>1000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11"/>
      <c r="AF75" s="11"/>
    </row>
    <row r="76" spans="1:32" x14ac:dyDescent="0.2">
      <c r="A76" s="10" t="s">
        <v>126</v>
      </c>
      <c r="B76" s="75" t="s">
        <v>127</v>
      </c>
      <c r="D76" s="10" t="s">
        <v>155</v>
      </c>
      <c r="E76" s="13" t="s">
        <v>35</v>
      </c>
      <c r="F76" s="112">
        <v>0.9</v>
      </c>
      <c r="G76" s="112">
        <f>Table1[[#This Row],[Clinial Production]]</f>
        <v>0.9</v>
      </c>
      <c r="H76" s="112">
        <f>Table1[[#This Row],[2000L, MCC High cellular productivity]]</f>
        <v>0.9</v>
      </c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"/>
      <c r="AF76" s="11"/>
    </row>
    <row r="77" spans="1:32" x14ac:dyDescent="0.2">
      <c r="A77" s="10" t="s">
        <v>126</v>
      </c>
      <c r="B77" s="75" t="s">
        <v>127</v>
      </c>
      <c r="D77" s="10" t="s">
        <v>155</v>
      </c>
      <c r="E77" s="13" t="s">
        <v>425</v>
      </c>
      <c r="F77" s="80">
        <v>2</v>
      </c>
      <c r="G77" s="80">
        <v>2</v>
      </c>
      <c r="H77" s="80">
        <v>8</v>
      </c>
      <c r="I77" s="80"/>
      <c r="J77" s="80"/>
      <c r="K77" s="80"/>
      <c r="L77" s="80"/>
      <c r="M77" s="81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11"/>
      <c r="AF77" s="11"/>
    </row>
    <row r="78" spans="1:32" x14ac:dyDescent="0.2">
      <c r="A78" s="10" t="s">
        <v>84</v>
      </c>
      <c r="B78" s="75" t="s">
        <v>85</v>
      </c>
      <c r="D78" s="10" t="s">
        <v>155</v>
      </c>
      <c r="E78" s="13" t="s">
        <v>157</v>
      </c>
      <c r="F78" s="113">
        <f t="shared" ref="F78:G78" si="32">F63/F75</f>
        <v>15</v>
      </c>
      <c r="G78" s="113">
        <f t="shared" si="32"/>
        <v>60</v>
      </c>
      <c r="H78" s="113">
        <f t="shared" ref="H78" si="33">H63/H75</f>
        <v>240</v>
      </c>
      <c r="I78" s="113"/>
      <c r="J78" s="113"/>
      <c r="K78" s="113"/>
      <c r="L78" s="113"/>
      <c r="M78" s="114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"/>
      <c r="AF78" s="11"/>
    </row>
    <row r="79" spans="1:32" x14ac:dyDescent="0.2">
      <c r="A79" s="10" t="s">
        <v>84</v>
      </c>
      <c r="B79" s="75" t="s">
        <v>85</v>
      </c>
      <c r="D79" s="10" t="s">
        <v>155</v>
      </c>
      <c r="E79" s="13" t="s">
        <v>158</v>
      </c>
      <c r="F79" s="82">
        <f t="shared" ref="F79:H79" si="34">F58/24/F78</f>
        <v>2.0833333333333335</v>
      </c>
      <c r="G79" s="82">
        <f t="shared" si="34"/>
        <v>2.0833333333333335</v>
      </c>
      <c r="H79" s="82">
        <f t="shared" si="34"/>
        <v>2.0833333333333335</v>
      </c>
      <c r="I79" s="82"/>
      <c r="J79" s="82"/>
      <c r="K79" s="82"/>
      <c r="L79" s="82"/>
      <c r="M79" s="82"/>
      <c r="N79" s="82"/>
      <c r="O79" s="82"/>
      <c r="P79" s="82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11"/>
      <c r="AF79" s="11"/>
    </row>
    <row r="80" spans="1:32" x14ac:dyDescent="0.2">
      <c r="A80" s="13" t="s">
        <v>84</v>
      </c>
      <c r="B80" s="75" t="s">
        <v>127</v>
      </c>
      <c r="D80" s="10" t="s">
        <v>155</v>
      </c>
      <c r="E80" s="13" t="s">
        <v>159</v>
      </c>
      <c r="F80" s="113">
        <f t="shared" ref="F80:G80" si="35">F78/F77</f>
        <v>7.5</v>
      </c>
      <c r="G80" s="113">
        <f t="shared" si="35"/>
        <v>30</v>
      </c>
      <c r="H80" s="113">
        <f t="shared" ref="H80" si="36">H78/H77</f>
        <v>30</v>
      </c>
      <c r="I80" s="113"/>
      <c r="J80" s="113"/>
      <c r="K80" s="113"/>
      <c r="L80" s="113"/>
      <c r="M80" s="114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"/>
      <c r="AF80" s="11"/>
    </row>
    <row r="81" spans="1:32" x14ac:dyDescent="0.2">
      <c r="A81" s="13" t="s">
        <v>84</v>
      </c>
      <c r="B81" s="75" t="s">
        <v>127</v>
      </c>
      <c r="D81" s="10" t="s">
        <v>155</v>
      </c>
      <c r="E81" s="13" t="s">
        <v>160</v>
      </c>
      <c r="F81" s="80">
        <f>ROUNDUP(F80/11,0)</f>
        <v>1</v>
      </c>
      <c r="G81" s="80">
        <f t="shared" ref="G81:H81" si="37">ROUNDUP(G80/11,0)</f>
        <v>3</v>
      </c>
      <c r="H81" s="80">
        <f t="shared" si="37"/>
        <v>3</v>
      </c>
      <c r="I81" s="80"/>
      <c r="J81" s="80"/>
      <c r="K81" s="80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11"/>
      <c r="AF81" s="11"/>
    </row>
    <row r="82" spans="1:32" x14ac:dyDescent="0.2">
      <c r="A82" s="10" t="s">
        <v>126</v>
      </c>
      <c r="B82" s="75" t="s">
        <v>85</v>
      </c>
      <c r="D82" s="10" t="s">
        <v>155</v>
      </c>
      <c r="E82" s="13" t="s">
        <v>161</v>
      </c>
      <c r="F82" s="113">
        <v>1</v>
      </c>
      <c r="G82" s="113">
        <v>1</v>
      </c>
      <c r="H82" s="113">
        <v>1</v>
      </c>
      <c r="I82" s="113"/>
      <c r="J82" s="113"/>
      <c r="K82" s="113"/>
      <c r="L82" s="113"/>
      <c r="M82" s="113"/>
      <c r="N82" s="113"/>
      <c r="O82" s="113"/>
      <c r="P82" s="113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11"/>
      <c r="AF82" s="11"/>
    </row>
    <row r="83" spans="1:32" s="12" customFormat="1" x14ac:dyDescent="0.2">
      <c r="A83" s="10" t="s">
        <v>126</v>
      </c>
      <c r="B83" s="75" t="s">
        <v>85</v>
      </c>
      <c r="C83" s="10"/>
      <c r="D83" s="10" t="s">
        <v>155</v>
      </c>
      <c r="E83" s="13" t="s">
        <v>162</v>
      </c>
      <c r="F83" s="82">
        <v>20</v>
      </c>
      <c r="G83" s="82">
        <v>41.5</v>
      </c>
      <c r="H83" s="82">
        <v>41.5</v>
      </c>
      <c r="I83" s="82"/>
      <c r="J83" s="82"/>
      <c r="K83" s="82"/>
      <c r="L83" s="82"/>
      <c r="M83" s="82"/>
      <c r="N83" s="82"/>
      <c r="O83" s="82"/>
      <c r="P83" s="82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1"/>
      <c r="AF83" s="1"/>
    </row>
    <row r="84" spans="1:32" s="12" customFormat="1" x14ac:dyDescent="0.2">
      <c r="A84" s="10" t="s">
        <v>163</v>
      </c>
      <c r="B84" s="75" t="s">
        <v>127</v>
      </c>
      <c r="C84" s="10"/>
      <c r="D84" s="10" t="s">
        <v>155</v>
      </c>
      <c r="E84" s="13" t="s">
        <v>164</v>
      </c>
      <c r="F84" s="139">
        <v>2</v>
      </c>
      <c r="G84" s="80">
        <v>4</v>
      </c>
      <c r="H84" s="80">
        <v>4</v>
      </c>
      <c r="I84" s="80"/>
      <c r="J84" s="80"/>
      <c r="K84" s="80"/>
      <c r="L84" s="80"/>
      <c r="M84" s="80"/>
      <c r="N84" s="80"/>
      <c r="O84" s="80"/>
      <c r="P84" s="80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1"/>
      <c r="AF84" s="1"/>
    </row>
    <row r="85" spans="1:32" s="12" customFormat="1" x14ac:dyDescent="0.2">
      <c r="A85" s="10" t="s">
        <v>126</v>
      </c>
      <c r="B85" s="75" t="s">
        <v>85</v>
      </c>
      <c r="C85" s="10"/>
      <c r="D85" s="10" t="s">
        <v>155</v>
      </c>
      <c r="E85" s="13" t="s">
        <v>165</v>
      </c>
      <c r="F85" s="150">
        <f>F84*F83+2*F84</f>
        <v>44</v>
      </c>
      <c r="G85" s="150">
        <f t="shared" ref="G85:H85" si="38">G84*G83+2*G84</f>
        <v>174</v>
      </c>
      <c r="H85" s="150">
        <f t="shared" si="38"/>
        <v>174</v>
      </c>
      <c r="I85" s="150"/>
      <c r="J85" s="150"/>
      <c r="K85" s="80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1"/>
      <c r="AF85" s="1"/>
    </row>
    <row r="86" spans="1:32" s="12" customFormat="1" x14ac:dyDescent="0.2">
      <c r="A86" s="10" t="s">
        <v>126</v>
      </c>
      <c r="B86" s="75" t="s">
        <v>85</v>
      </c>
      <c r="C86" s="6"/>
      <c r="D86" s="10" t="s">
        <v>155</v>
      </c>
      <c r="E86" s="13" t="s">
        <v>166</v>
      </c>
      <c r="F86" s="80">
        <v>2000</v>
      </c>
      <c r="G86" s="80">
        <v>2000</v>
      </c>
      <c r="H86" s="80">
        <v>2000</v>
      </c>
      <c r="I86" s="80"/>
      <c r="J86" s="80"/>
      <c r="K86" s="80"/>
      <c r="L86" s="80"/>
      <c r="M86" s="80"/>
      <c r="N86" s="80"/>
      <c r="O86" s="80"/>
      <c r="P86" s="80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1"/>
      <c r="AF86" s="1"/>
    </row>
    <row r="87" spans="1:32" s="12" customFormat="1" x14ac:dyDescent="0.2">
      <c r="A87" s="10" t="s">
        <v>84</v>
      </c>
      <c r="B87" s="75" t="s">
        <v>85</v>
      </c>
      <c r="C87" s="10"/>
      <c r="D87" s="10" t="s">
        <v>155</v>
      </c>
      <c r="E87" s="13" t="s">
        <v>167</v>
      </c>
      <c r="F87" s="80">
        <f>F80*10000/(F83*F84*(PI()*(F82/10)))</f>
        <v>5968.3103659460758</v>
      </c>
      <c r="G87" s="80">
        <f t="shared" ref="G87" si="39">G80*10000/(G83*G84*(PI()*(G82/10)))</f>
        <v>5752.5883045263381</v>
      </c>
      <c r="H87" s="80">
        <f t="shared" ref="H87" si="40">H80*10000/(H83*H84*(PI()*(H82/10)))</f>
        <v>5752.5883045263381</v>
      </c>
      <c r="I87" s="80"/>
      <c r="J87" s="80"/>
      <c r="K87" s="80"/>
      <c r="L87" s="80"/>
      <c r="M87" s="80"/>
      <c r="N87" s="80"/>
      <c r="O87" s="80"/>
      <c r="P87" s="8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1"/>
      <c r="AF87" s="1"/>
    </row>
    <row r="88" spans="1:32" s="12" customFormat="1" x14ac:dyDescent="0.2">
      <c r="A88" s="10" t="s">
        <v>84</v>
      </c>
      <c r="B88" s="75" t="s">
        <v>127</v>
      </c>
      <c r="C88" s="10"/>
      <c r="D88" s="10" t="s">
        <v>155</v>
      </c>
      <c r="E88" s="13" t="s">
        <v>168</v>
      </c>
      <c r="F88" s="80">
        <f>F87*(F86/4)*(PI()*(F82/2/10)^3)*60/1000</f>
        <v>70.312500000000028</v>
      </c>
      <c r="G88" s="80">
        <f t="shared" ref="G88" si="41">G87*(G86/4)*(PI()*(G82/2/10)^3)*60/1000</f>
        <v>67.771084337349421</v>
      </c>
      <c r="H88" s="80">
        <f t="shared" ref="H88" si="42">H87*(H86/4)*(PI()*(H82/2/10)^3)*60/1000</f>
        <v>67.771084337349421</v>
      </c>
      <c r="I88" s="80"/>
      <c r="J88" s="80"/>
      <c r="K88" s="80"/>
      <c r="L88" s="80"/>
      <c r="M88" s="80"/>
      <c r="N88" s="80"/>
      <c r="O88" s="80"/>
      <c r="P88" s="80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1"/>
      <c r="AF88" s="1"/>
    </row>
    <row r="89" spans="1:32" s="12" customFormat="1" x14ac:dyDescent="0.2">
      <c r="A89" s="10" t="s">
        <v>84</v>
      </c>
      <c r="B89" s="75" t="s">
        <v>127</v>
      </c>
      <c r="C89" s="10"/>
      <c r="D89" s="10" t="s">
        <v>155</v>
      </c>
      <c r="E89" s="13" t="s">
        <v>169</v>
      </c>
      <c r="F89" s="80">
        <f>F87*F83*F84*PI()*(F82/10/2)^2/1000/F88*60</f>
        <v>1.5999999999999996</v>
      </c>
      <c r="G89" s="80">
        <f t="shared" ref="G89" si="43">G87*G83*G84*PI()*(G82/10/2)^2/1000/G88*60</f>
        <v>6.6399999999999988</v>
      </c>
      <c r="H89" s="80">
        <f t="shared" ref="H89" si="44">H87*H83*H84*PI()*(H82/10/2)^2/1000/H88*60</f>
        <v>6.6399999999999988</v>
      </c>
      <c r="I89" s="80"/>
      <c r="J89" s="80"/>
      <c r="K89" s="80"/>
      <c r="L89" s="80"/>
      <c r="M89" s="80"/>
      <c r="N89" s="80"/>
      <c r="O89" s="80"/>
      <c r="P89" s="8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1"/>
      <c r="AF89" s="1"/>
    </row>
    <row r="90" spans="1:32" ht="26" x14ac:dyDescent="0.3">
      <c r="A90" s="10" t="s">
        <v>57</v>
      </c>
      <c r="B90" s="75" t="s">
        <v>127</v>
      </c>
      <c r="D90" s="10" t="s">
        <v>170</v>
      </c>
      <c r="E90" s="22" t="s">
        <v>170</v>
      </c>
      <c r="F90" s="104"/>
      <c r="G90" s="104"/>
      <c r="H90" s="104"/>
      <c r="I90" s="104"/>
      <c r="J90" s="104"/>
      <c r="K90" s="104"/>
      <c r="L90" s="104"/>
      <c r="M90" s="105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1"/>
      <c r="AF90" s="11"/>
    </row>
    <row r="91" spans="1:32" x14ac:dyDescent="0.2">
      <c r="A91" s="10" t="s">
        <v>126</v>
      </c>
      <c r="B91" s="75" t="s">
        <v>127</v>
      </c>
      <c r="D91" s="10" t="s">
        <v>170</v>
      </c>
      <c r="E91" s="13" t="s">
        <v>23</v>
      </c>
      <c r="F91" s="104">
        <v>300</v>
      </c>
      <c r="G91" s="104">
        <v>300</v>
      </c>
      <c r="H91" s="104">
        <v>300</v>
      </c>
      <c r="I91" s="104"/>
      <c r="J91" s="104"/>
      <c r="K91" s="104"/>
      <c r="L91" s="104"/>
      <c r="M91" s="105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1"/>
      <c r="AF91" s="11"/>
    </row>
    <row r="92" spans="1:32" x14ac:dyDescent="0.2">
      <c r="A92" s="10" t="s">
        <v>126</v>
      </c>
      <c r="B92" s="75" t="s">
        <v>127</v>
      </c>
      <c r="D92" s="10" t="s">
        <v>170</v>
      </c>
      <c r="E92" s="13" t="s">
        <v>24</v>
      </c>
      <c r="F92" s="104">
        <v>20</v>
      </c>
      <c r="G92" s="104">
        <v>10</v>
      </c>
      <c r="H92" s="104">
        <v>10</v>
      </c>
      <c r="I92" s="104"/>
      <c r="J92" s="104"/>
      <c r="K92" s="104"/>
      <c r="L92" s="104"/>
      <c r="M92" s="105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1"/>
      <c r="AF92" s="11"/>
    </row>
    <row r="93" spans="1:32" x14ac:dyDescent="0.2">
      <c r="A93" s="10" t="s">
        <v>126</v>
      </c>
      <c r="B93" s="75" t="s">
        <v>127</v>
      </c>
      <c r="D93" s="10" t="s">
        <v>170</v>
      </c>
      <c r="E93" s="13" t="s">
        <v>30</v>
      </c>
      <c r="F93" s="104">
        <v>60</v>
      </c>
      <c r="G93" s="104">
        <f>60*1.2</f>
        <v>72</v>
      </c>
      <c r="H93" s="104">
        <v>72</v>
      </c>
      <c r="I93" s="104"/>
      <c r="J93" s="104"/>
      <c r="K93" s="104"/>
      <c r="L93" s="104"/>
      <c r="M93" s="105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1"/>
      <c r="AF93" s="11"/>
    </row>
    <row r="94" spans="1:32" s="12" customFormat="1" x14ac:dyDescent="0.2">
      <c r="A94" s="12" t="s">
        <v>84</v>
      </c>
      <c r="B94" s="75" t="s">
        <v>127</v>
      </c>
      <c r="C94" s="10"/>
      <c r="D94" s="10" t="s">
        <v>170</v>
      </c>
      <c r="E94" s="13" t="s">
        <v>171</v>
      </c>
      <c r="F94" s="115">
        <f>IF(F58/24/60*F92/F91*60&gt;F60*F76/F93/F99,F58/24/60*F92/F91*60,F60*F76/F93/F99)</f>
        <v>2.0833333333333335</v>
      </c>
      <c r="G94" s="115">
        <f t="shared" ref="G94:H94" si="45">IF(G58/24/60*G92/G91*60&gt;G60*G76/G93/G99,G58/24/60*G92/G91*60,G60*G76/G93/G99)</f>
        <v>6</v>
      </c>
      <c r="H94" s="115">
        <f t="shared" si="45"/>
        <v>24</v>
      </c>
      <c r="I94" s="115"/>
      <c r="J94" s="115"/>
      <c r="K94" s="115"/>
      <c r="L94" s="115"/>
      <c r="M94" s="116"/>
      <c r="N94" s="102"/>
      <c r="O94" s="102"/>
      <c r="P94" s="102"/>
      <c r="Q94" s="115"/>
      <c r="R94" s="115"/>
      <c r="S94" s="115"/>
      <c r="T94" s="115"/>
      <c r="U94" s="115"/>
      <c r="V94" s="115"/>
      <c r="W94" s="102"/>
      <c r="X94" s="102"/>
      <c r="Y94" s="102"/>
      <c r="Z94" s="102"/>
      <c r="AA94" s="102"/>
      <c r="AB94" s="102"/>
      <c r="AC94" s="102"/>
      <c r="AD94" s="102"/>
      <c r="AE94" s="1"/>
      <c r="AF94" s="1"/>
    </row>
    <row r="95" spans="1:32" x14ac:dyDescent="0.2">
      <c r="A95" s="10" t="s">
        <v>126</v>
      </c>
      <c r="B95" s="75" t="s">
        <v>127</v>
      </c>
      <c r="D95" s="10" t="s">
        <v>170</v>
      </c>
      <c r="E95" s="13" t="s">
        <v>26</v>
      </c>
      <c r="F95" s="104">
        <v>2</v>
      </c>
      <c r="G95" s="104">
        <v>2</v>
      </c>
      <c r="H95" s="104">
        <v>2</v>
      </c>
      <c r="I95" s="104"/>
      <c r="J95" s="104"/>
      <c r="K95" s="104"/>
      <c r="L95" s="104"/>
      <c r="M95" s="105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1"/>
      <c r="AF95" s="11"/>
    </row>
    <row r="96" spans="1:32" s="12" customFormat="1" x14ac:dyDescent="0.2">
      <c r="A96" s="12" t="s">
        <v>84</v>
      </c>
      <c r="B96" s="75" t="s">
        <v>127</v>
      </c>
      <c r="C96" s="10"/>
      <c r="D96" s="10" t="s">
        <v>170</v>
      </c>
      <c r="E96" s="13" t="s">
        <v>172</v>
      </c>
      <c r="F96" s="115">
        <f t="shared" ref="F96" si="46">SQRT(F94/F92*1000)/PI()*2</f>
        <v>6.4974733436139687</v>
      </c>
      <c r="G96" s="115">
        <f>SQRT(G94/G92*1000)/PI()*2</f>
        <v>15.593936024673523</v>
      </c>
      <c r="H96" s="115">
        <v>20</v>
      </c>
      <c r="I96" s="115"/>
      <c r="J96" s="115"/>
      <c r="K96" s="115"/>
      <c r="L96" s="115"/>
      <c r="M96" s="116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"/>
      <c r="AF96" s="1"/>
    </row>
    <row r="97" spans="1:32" s="12" customFormat="1" x14ac:dyDescent="0.2">
      <c r="A97" s="12" t="s">
        <v>84</v>
      </c>
      <c r="B97" s="74" t="s">
        <v>85</v>
      </c>
      <c r="C97" s="10"/>
      <c r="D97" s="10" t="s">
        <v>170</v>
      </c>
      <c r="E97" s="13" t="s">
        <v>173</v>
      </c>
      <c r="F97" s="40">
        <f t="shared" ref="F97" si="47">F94*F93</f>
        <v>125.00000000000001</v>
      </c>
      <c r="G97" s="40">
        <f>G94*G93</f>
        <v>432</v>
      </c>
      <c r="H97" s="40">
        <f>H94*H93</f>
        <v>1728</v>
      </c>
      <c r="I97" s="40"/>
      <c r="J97" s="40"/>
      <c r="K97" s="40"/>
      <c r="L97" s="40"/>
      <c r="M97" s="55"/>
      <c r="N97" s="40"/>
      <c r="O97" s="40"/>
      <c r="P97" s="40"/>
      <c r="Q97" s="40">
        <f t="shared" ref="Q97:AD97" si="48">Q94*Q93</f>
        <v>0</v>
      </c>
      <c r="R97" s="40">
        <f t="shared" si="48"/>
        <v>0</v>
      </c>
      <c r="S97" s="40">
        <f t="shared" si="48"/>
        <v>0</v>
      </c>
      <c r="T97" s="40">
        <f t="shared" si="48"/>
        <v>0</v>
      </c>
      <c r="U97" s="40">
        <f t="shared" si="48"/>
        <v>0</v>
      </c>
      <c r="V97" s="40">
        <f t="shared" si="48"/>
        <v>0</v>
      </c>
      <c r="W97" s="40">
        <f t="shared" si="48"/>
        <v>0</v>
      </c>
      <c r="X97" s="40">
        <f t="shared" si="48"/>
        <v>0</v>
      </c>
      <c r="Y97" s="40">
        <f t="shared" si="48"/>
        <v>0</v>
      </c>
      <c r="Z97" s="40">
        <f t="shared" si="48"/>
        <v>0</v>
      </c>
      <c r="AA97" s="40">
        <f t="shared" si="48"/>
        <v>0</v>
      </c>
      <c r="AB97" s="40">
        <f t="shared" si="48"/>
        <v>0</v>
      </c>
      <c r="AC97" s="40">
        <f t="shared" si="48"/>
        <v>0</v>
      </c>
      <c r="AD97" s="40">
        <f t="shared" si="48"/>
        <v>0</v>
      </c>
      <c r="AE97" s="1"/>
      <c r="AF97" s="1"/>
    </row>
    <row r="98" spans="1:32" s="12" customFormat="1" x14ac:dyDescent="0.2">
      <c r="A98" s="12" t="s">
        <v>84</v>
      </c>
      <c r="B98" s="74" t="s">
        <v>85</v>
      </c>
      <c r="C98" s="10"/>
      <c r="D98" s="10" t="s">
        <v>170</v>
      </c>
      <c r="E98" s="13" t="s">
        <v>174</v>
      </c>
      <c r="F98" s="44">
        <f t="shared" ref="F98:AD98" si="49">(F60/F99)/F97</f>
        <v>0.39999999999999997</v>
      </c>
      <c r="G98" s="44">
        <f t="shared" si="49"/>
        <v>1.1111111111111112</v>
      </c>
      <c r="H98" s="44">
        <f t="shared" si="49"/>
        <v>1.1111111111111112</v>
      </c>
      <c r="I98" s="44"/>
      <c r="J98" s="44"/>
      <c r="K98" s="44"/>
      <c r="L98" s="44"/>
      <c r="M98" s="57"/>
      <c r="N98" s="44"/>
      <c r="O98" s="44"/>
      <c r="P98" s="44"/>
      <c r="Q98" s="44" t="e">
        <f t="shared" si="49"/>
        <v>#DIV/0!</v>
      </c>
      <c r="R98" s="44" t="e">
        <f t="shared" si="49"/>
        <v>#DIV/0!</v>
      </c>
      <c r="S98" s="44" t="e">
        <f t="shared" si="49"/>
        <v>#DIV/0!</v>
      </c>
      <c r="T98" s="44" t="e">
        <f t="shared" si="49"/>
        <v>#DIV/0!</v>
      </c>
      <c r="U98" s="44" t="e">
        <f t="shared" si="49"/>
        <v>#DIV/0!</v>
      </c>
      <c r="V98" s="44" t="e">
        <f t="shared" si="49"/>
        <v>#DIV/0!</v>
      </c>
      <c r="W98" s="44" t="e">
        <f t="shared" si="49"/>
        <v>#DIV/0!</v>
      </c>
      <c r="X98" s="44" t="e">
        <f t="shared" si="49"/>
        <v>#DIV/0!</v>
      </c>
      <c r="Y98" s="44" t="e">
        <f t="shared" si="49"/>
        <v>#DIV/0!</v>
      </c>
      <c r="Z98" s="44" t="e">
        <f t="shared" si="49"/>
        <v>#DIV/0!</v>
      </c>
      <c r="AA98" s="44" t="e">
        <f t="shared" si="49"/>
        <v>#DIV/0!</v>
      </c>
      <c r="AB98" s="44" t="e">
        <f t="shared" si="49"/>
        <v>#DIV/0!</v>
      </c>
      <c r="AC98" s="44" t="e">
        <f t="shared" si="49"/>
        <v>#DIV/0!</v>
      </c>
      <c r="AD98" s="44" t="e">
        <f t="shared" si="49"/>
        <v>#DIV/0!</v>
      </c>
      <c r="AE98" s="1"/>
      <c r="AF98" s="1"/>
    </row>
    <row r="99" spans="1:32" x14ac:dyDescent="0.2">
      <c r="A99" s="13" t="s">
        <v>126</v>
      </c>
      <c r="B99" s="75" t="s">
        <v>127</v>
      </c>
      <c r="D99" s="10" t="s">
        <v>170</v>
      </c>
      <c r="E99" s="13" t="s">
        <v>175</v>
      </c>
      <c r="F99" s="104">
        <v>10</v>
      </c>
      <c r="G99" s="104">
        <v>20</v>
      </c>
      <c r="H99" s="104">
        <v>20</v>
      </c>
      <c r="I99" s="104"/>
      <c r="J99" s="104"/>
      <c r="K99" s="104"/>
      <c r="L99" s="104"/>
      <c r="M99" s="105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1"/>
      <c r="AF99" s="11"/>
    </row>
    <row r="100" spans="1:32" x14ac:dyDescent="0.2">
      <c r="A100" s="12" t="s">
        <v>84</v>
      </c>
      <c r="B100" s="74" t="s">
        <v>85</v>
      </c>
      <c r="D100" s="10" t="s">
        <v>170</v>
      </c>
      <c r="E100" s="13" t="s">
        <v>176</v>
      </c>
      <c r="F100" s="38">
        <f>(F92/F$91)*60</f>
        <v>4</v>
      </c>
      <c r="G100" s="38">
        <f t="shared" ref="G100:H100" si="50">(G92/G$91)*60</f>
        <v>2</v>
      </c>
      <c r="H100" s="38">
        <f t="shared" si="50"/>
        <v>2</v>
      </c>
      <c r="I100" s="38"/>
      <c r="J100" s="38"/>
      <c r="K100" s="38"/>
      <c r="L100" s="38"/>
      <c r="M100" s="54"/>
      <c r="N100" s="38"/>
      <c r="O100" s="38"/>
      <c r="P100" s="38"/>
      <c r="Q100" s="38" t="e">
        <f t="shared" ref="Q100:AD100" si="51">(Q92/$I$91)*60</f>
        <v>#DIV/0!</v>
      </c>
      <c r="R100" s="38" t="e">
        <f t="shared" si="51"/>
        <v>#DIV/0!</v>
      </c>
      <c r="S100" s="38" t="e">
        <f t="shared" si="51"/>
        <v>#DIV/0!</v>
      </c>
      <c r="T100" s="38" t="e">
        <f t="shared" si="51"/>
        <v>#DIV/0!</v>
      </c>
      <c r="U100" s="38" t="e">
        <f t="shared" si="51"/>
        <v>#DIV/0!</v>
      </c>
      <c r="V100" s="38" t="e">
        <f t="shared" si="51"/>
        <v>#DIV/0!</v>
      </c>
      <c r="W100" s="38" t="e">
        <f t="shared" si="51"/>
        <v>#DIV/0!</v>
      </c>
      <c r="X100" s="38" t="e">
        <f t="shared" si="51"/>
        <v>#DIV/0!</v>
      </c>
      <c r="Y100" s="38" t="e">
        <f t="shared" si="51"/>
        <v>#DIV/0!</v>
      </c>
      <c r="Z100" s="38" t="e">
        <f t="shared" si="51"/>
        <v>#DIV/0!</v>
      </c>
      <c r="AA100" s="38" t="e">
        <f t="shared" si="51"/>
        <v>#DIV/0!</v>
      </c>
      <c r="AB100" s="38" t="e">
        <f t="shared" si="51"/>
        <v>#DIV/0!</v>
      </c>
      <c r="AC100" s="38" t="e">
        <f t="shared" si="51"/>
        <v>#DIV/0!</v>
      </c>
      <c r="AD100" s="38" t="e">
        <f t="shared" si="51"/>
        <v>#DIV/0!</v>
      </c>
    </row>
    <row r="101" spans="1:32" s="12" customFormat="1" x14ac:dyDescent="0.2">
      <c r="A101" s="12" t="s">
        <v>84</v>
      </c>
      <c r="B101" s="74" t="s">
        <v>85</v>
      </c>
      <c r="C101" s="4"/>
      <c r="D101" s="10" t="s">
        <v>170</v>
      </c>
      <c r="E101" s="12" t="s">
        <v>177</v>
      </c>
      <c r="F101" s="42">
        <f t="shared" ref="F101:AD101" si="52">(F58/F99)*(F100/F94)</f>
        <v>144</v>
      </c>
      <c r="G101" s="42">
        <f t="shared" si="52"/>
        <v>50</v>
      </c>
      <c r="H101" s="42">
        <f t="shared" si="52"/>
        <v>50</v>
      </c>
      <c r="I101" s="42"/>
      <c r="J101" s="42"/>
      <c r="K101" s="42"/>
      <c r="L101" s="42"/>
      <c r="M101" s="63"/>
      <c r="N101" s="42"/>
      <c r="O101" s="42"/>
      <c r="P101" s="42"/>
      <c r="Q101" s="42" t="e">
        <f t="shared" si="52"/>
        <v>#DIV/0!</v>
      </c>
      <c r="R101" s="42" t="e">
        <f t="shared" si="52"/>
        <v>#DIV/0!</v>
      </c>
      <c r="S101" s="42" t="e">
        <f t="shared" si="52"/>
        <v>#DIV/0!</v>
      </c>
      <c r="T101" s="42" t="e">
        <f t="shared" si="52"/>
        <v>#DIV/0!</v>
      </c>
      <c r="U101" s="42" t="e">
        <f t="shared" si="52"/>
        <v>#DIV/0!</v>
      </c>
      <c r="V101" s="42" t="e">
        <f t="shared" si="52"/>
        <v>#DIV/0!</v>
      </c>
      <c r="W101" s="42" t="e">
        <f t="shared" si="52"/>
        <v>#DIV/0!</v>
      </c>
      <c r="X101" s="42" t="e">
        <f t="shared" si="52"/>
        <v>#DIV/0!</v>
      </c>
      <c r="Y101" s="42" t="e">
        <f t="shared" si="52"/>
        <v>#DIV/0!</v>
      </c>
      <c r="Z101" s="42" t="e">
        <f t="shared" si="52"/>
        <v>#DIV/0!</v>
      </c>
      <c r="AA101" s="42" t="e">
        <f t="shared" si="52"/>
        <v>#DIV/0!</v>
      </c>
      <c r="AB101" s="42" t="e">
        <f t="shared" si="52"/>
        <v>#DIV/0!</v>
      </c>
      <c r="AC101" s="42" t="e">
        <f t="shared" si="52"/>
        <v>#DIV/0!</v>
      </c>
      <c r="AD101" s="42" t="e">
        <f t="shared" si="52"/>
        <v>#DIV/0!</v>
      </c>
      <c r="AE101" s="1"/>
      <c r="AF101" s="1"/>
    </row>
    <row r="102" spans="1:32" s="12" customFormat="1" x14ac:dyDescent="0.2">
      <c r="A102" s="13" t="s">
        <v>126</v>
      </c>
      <c r="B102" s="60" t="s">
        <v>85</v>
      </c>
      <c r="C102" s="4"/>
      <c r="D102" s="10" t="s">
        <v>170</v>
      </c>
      <c r="E102" s="12" t="s">
        <v>418</v>
      </c>
      <c r="F102" s="126">
        <v>22</v>
      </c>
      <c r="G102" s="126">
        <v>22</v>
      </c>
      <c r="H102" s="126">
        <v>22</v>
      </c>
      <c r="I102" s="3"/>
      <c r="J102" s="3"/>
      <c r="K102" s="42"/>
      <c r="L102" s="3"/>
      <c r="M102" s="22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1"/>
      <c r="AF102" s="1"/>
    </row>
    <row r="103" spans="1:32" s="12" customFormat="1" x14ac:dyDescent="0.2">
      <c r="A103" s="12" t="s">
        <v>84</v>
      </c>
      <c r="B103" s="74" t="s">
        <v>85</v>
      </c>
      <c r="C103" s="4"/>
      <c r="D103" s="10" t="s">
        <v>170</v>
      </c>
      <c r="E103" s="12" t="s">
        <v>178</v>
      </c>
      <c r="F103" s="42">
        <f>F102*F100</f>
        <v>88</v>
      </c>
      <c r="G103" s="42">
        <f t="shared" ref="G103:H103" si="53">G102*G100</f>
        <v>44</v>
      </c>
      <c r="H103" s="42">
        <f t="shared" si="53"/>
        <v>44</v>
      </c>
      <c r="I103" s="42"/>
      <c r="J103" s="42"/>
      <c r="K103" s="42"/>
      <c r="L103" s="42"/>
      <c r="M103" s="63"/>
      <c r="N103" s="42"/>
      <c r="O103" s="42"/>
      <c r="P103" s="42"/>
      <c r="Q103" s="42" t="e">
        <f t="shared" ref="Q103:AD103" si="54">22*Q100</f>
        <v>#DIV/0!</v>
      </c>
      <c r="R103" s="42" t="e">
        <f t="shared" si="54"/>
        <v>#DIV/0!</v>
      </c>
      <c r="S103" s="42" t="e">
        <f t="shared" si="54"/>
        <v>#DIV/0!</v>
      </c>
      <c r="T103" s="42" t="e">
        <f t="shared" si="54"/>
        <v>#DIV/0!</v>
      </c>
      <c r="U103" s="42" t="e">
        <f t="shared" si="54"/>
        <v>#DIV/0!</v>
      </c>
      <c r="V103" s="42" t="e">
        <f t="shared" si="54"/>
        <v>#DIV/0!</v>
      </c>
      <c r="W103" s="42" t="e">
        <f t="shared" si="54"/>
        <v>#DIV/0!</v>
      </c>
      <c r="X103" s="42" t="e">
        <f t="shared" si="54"/>
        <v>#DIV/0!</v>
      </c>
      <c r="Y103" s="42" t="e">
        <f t="shared" si="54"/>
        <v>#DIV/0!</v>
      </c>
      <c r="Z103" s="42" t="e">
        <f t="shared" si="54"/>
        <v>#DIV/0!</v>
      </c>
      <c r="AA103" s="42" t="e">
        <f t="shared" si="54"/>
        <v>#DIV/0!</v>
      </c>
      <c r="AB103" s="42" t="e">
        <f t="shared" si="54"/>
        <v>#DIV/0!</v>
      </c>
      <c r="AC103" s="42" t="e">
        <f t="shared" si="54"/>
        <v>#DIV/0!</v>
      </c>
      <c r="AD103" s="42" t="e">
        <f t="shared" si="54"/>
        <v>#DIV/0!</v>
      </c>
      <c r="AE103" s="1"/>
      <c r="AF103" s="1"/>
    </row>
    <row r="104" spans="1:32" s="12" customFormat="1" x14ac:dyDescent="0.2">
      <c r="A104" s="12" t="s">
        <v>84</v>
      </c>
      <c r="B104" s="74" t="s">
        <v>85</v>
      </c>
      <c r="C104" s="4"/>
      <c r="D104" s="10" t="s">
        <v>170</v>
      </c>
      <c r="E104" s="12" t="s">
        <v>179</v>
      </c>
      <c r="F104" s="42">
        <f t="shared" ref="F104" si="55">F103+F101</f>
        <v>232</v>
      </c>
      <c r="G104" s="42">
        <f>G103+G101</f>
        <v>94</v>
      </c>
      <c r="H104" s="42">
        <f>H103+H101</f>
        <v>94</v>
      </c>
      <c r="I104" s="42"/>
      <c r="J104" s="42"/>
      <c r="K104" s="42"/>
      <c r="L104" s="42"/>
      <c r="M104" s="63"/>
      <c r="N104" s="42"/>
      <c r="O104" s="42"/>
      <c r="P104" s="42"/>
      <c r="Q104" s="42" t="e">
        <f t="shared" ref="Q104:AD104" si="56">Q103+Q101</f>
        <v>#DIV/0!</v>
      </c>
      <c r="R104" s="42" t="e">
        <f t="shared" si="56"/>
        <v>#DIV/0!</v>
      </c>
      <c r="S104" s="42" t="e">
        <f t="shared" si="56"/>
        <v>#DIV/0!</v>
      </c>
      <c r="T104" s="42" t="e">
        <f t="shared" si="56"/>
        <v>#DIV/0!</v>
      </c>
      <c r="U104" s="42" t="e">
        <f t="shared" si="56"/>
        <v>#DIV/0!</v>
      </c>
      <c r="V104" s="42" t="e">
        <f t="shared" si="56"/>
        <v>#DIV/0!</v>
      </c>
      <c r="W104" s="42" t="e">
        <f t="shared" si="56"/>
        <v>#DIV/0!</v>
      </c>
      <c r="X104" s="42" t="e">
        <f t="shared" si="56"/>
        <v>#DIV/0!</v>
      </c>
      <c r="Y104" s="42" t="e">
        <f t="shared" si="56"/>
        <v>#DIV/0!</v>
      </c>
      <c r="Z104" s="42" t="e">
        <f t="shared" si="56"/>
        <v>#DIV/0!</v>
      </c>
      <c r="AA104" s="42" t="e">
        <f t="shared" si="56"/>
        <v>#DIV/0!</v>
      </c>
      <c r="AB104" s="42" t="e">
        <f t="shared" si="56"/>
        <v>#DIV/0!</v>
      </c>
      <c r="AC104" s="42" t="e">
        <f t="shared" si="56"/>
        <v>#DIV/0!</v>
      </c>
      <c r="AD104" s="42" t="e">
        <f t="shared" si="56"/>
        <v>#DIV/0!</v>
      </c>
      <c r="AE104" s="1"/>
      <c r="AF104" s="1"/>
    </row>
    <row r="105" spans="1:32" s="12" customFormat="1" x14ac:dyDescent="0.2">
      <c r="A105" s="12" t="s">
        <v>84</v>
      </c>
      <c r="B105" s="74" t="s">
        <v>85</v>
      </c>
      <c r="C105" s="10"/>
      <c r="D105" s="10" t="s">
        <v>170</v>
      </c>
      <c r="E105" s="13" t="s">
        <v>180</v>
      </c>
      <c r="F105" s="45">
        <f>IF(F95=2,MAX(F101,F103),F101+F103)*F99/60</f>
        <v>24</v>
      </c>
      <c r="G105" s="45">
        <f>IF(G95=2,MAX(G101,G103),G101+G103)*G99/60</f>
        <v>16.666666666666668</v>
      </c>
      <c r="H105" s="45">
        <f>IF(H95=2,MAX(H101,H103),H101+H103)*H99/60</f>
        <v>16.666666666666668</v>
      </c>
      <c r="I105" s="45"/>
      <c r="J105" s="45"/>
      <c r="K105" s="45"/>
      <c r="L105" s="45"/>
      <c r="M105" s="58"/>
      <c r="N105" s="45"/>
      <c r="O105" s="45"/>
      <c r="P105" s="45"/>
      <c r="Q105" s="45" t="e">
        <f t="shared" ref="Q105:AD105" si="57">IF(Q95=2,MAX(Q101,Q103),Q101+Q103)*Q99/60</f>
        <v>#DIV/0!</v>
      </c>
      <c r="R105" s="45" t="e">
        <f t="shared" si="57"/>
        <v>#DIV/0!</v>
      </c>
      <c r="S105" s="45" t="e">
        <f t="shared" si="57"/>
        <v>#DIV/0!</v>
      </c>
      <c r="T105" s="45" t="e">
        <f t="shared" si="57"/>
        <v>#DIV/0!</v>
      </c>
      <c r="U105" s="45" t="e">
        <f t="shared" si="57"/>
        <v>#DIV/0!</v>
      </c>
      <c r="V105" s="45" t="e">
        <f t="shared" si="57"/>
        <v>#DIV/0!</v>
      </c>
      <c r="W105" s="45" t="e">
        <f t="shared" si="57"/>
        <v>#DIV/0!</v>
      </c>
      <c r="X105" s="45" t="e">
        <f t="shared" si="57"/>
        <v>#DIV/0!</v>
      </c>
      <c r="Y105" s="45" t="e">
        <f t="shared" si="57"/>
        <v>#DIV/0!</v>
      </c>
      <c r="Z105" s="45" t="e">
        <f t="shared" si="57"/>
        <v>#DIV/0!</v>
      </c>
      <c r="AA105" s="45" t="e">
        <f t="shared" si="57"/>
        <v>#DIV/0!</v>
      </c>
      <c r="AB105" s="45" t="e">
        <f t="shared" si="57"/>
        <v>#DIV/0!</v>
      </c>
      <c r="AC105" s="45" t="e">
        <f t="shared" si="57"/>
        <v>#DIV/0!</v>
      </c>
      <c r="AD105" s="45" t="e">
        <f t="shared" si="57"/>
        <v>#DIV/0!</v>
      </c>
      <c r="AE105" s="1"/>
      <c r="AF105" s="1"/>
    </row>
    <row r="106" spans="1:32" s="12" customFormat="1" x14ac:dyDescent="0.2">
      <c r="A106" s="12" t="s">
        <v>84</v>
      </c>
      <c r="B106" s="74" t="s">
        <v>85</v>
      </c>
      <c r="C106" s="10"/>
      <c r="D106" s="10" t="s">
        <v>170</v>
      </c>
      <c r="E106" s="13" t="s">
        <v>181</v>
      </c>
      <c r="F106" s="46">
        <f t="shared" ref="F106" si="58">F94/F100</f>
        <v>0.52083333333333337</v>
      </c>
      <c r="G106" s="47">
        <f>G94/G100</f>
        <v>3</v>
      </c>
      <c r="H106" s="47">
        <f>H94/H100</f>
        <v>12</v>
      </c>
      <c r="I106" s="46"/>
      <c r="J106" s="46"/>
      <c r="K106" s="46"/>
      <c r="L106" s="47"/>
      <c r="M106" s="65"/>
      <c r="N106" s="47"/>
      <c r="O106" s="47"/>
      <c r="P106" s="47"/>
      <c r="Q106" s="46" t="e">
        <f t="shared" ref="Q106:AD106" si="59">Q94/Q100</f>
        <v>#DIV/0!</v>
      </c>
      <c r="R106" s="46" t="e">
        <f t="shared" si="59"/>
        <v>#DIV/0!</v>
      </c>
      <c r="S106" s="46" t="e">
        <f t="shared" si="59"/>
        <v>#DIV/0!</v>
      </c>
      <c r="T106" s="46" t="e">
        <f t="shared" si="59"/>
        <v>#DIV/0!</v>
      </c>
      <c r="U106" s="46" t="e">
        <f t="shared" si="59"/>
        <v>#DIV/0!</v>
      </c>
      <c r="V106" s="46" t="e">
        <f t="shared" si="59"/>
        <v>#DIV/0!</v>
      </c>
      <c r="W106" s="47" t="e">
        <f t="shared" si="59"/>
        <v>#DIV/0!</v>
      </c>
      <c r="X106" s="47" t="e">
        <f t="shared" si="59"/>
        <v>#DIV/0!</v>
      </c>
      <c r="Y106" s="47" t="e">
        <f t="shared" si="59"/>
        <v>#DIV/0!</v>
      </c>
      <c r="Z106" s="47" t="e">
        <f t="shared" si="59"/>
        <v>#DIV/0!</v>
      </c>
      <c r="AA106" s="47" t="e">
        <f t="shared" si="59"/>
        <v>#DIV/0!</v>
      </c>
      <c r="AB106" s="47" t="e">
        <f t="shared" si="59"/>
        <v>#DIV/0!</v>
      </c>
      <c r="AC106" s="47" t="e">
        <f t="shared" si="59"/>
        <v>#DIV/0!</v>
      </c>
      <c r="AD106" s="47" t="e">
        <f t="shared" si="59"/>
        <v>#DIV/0!</v>
      </c>
      <c r="AE106" s="1"/>
      <c r="AF106" s="1"/>
    </row>
    <row r="107" spans="1:32" s="12" customFormat="1" hidden="1" x14ac:dyDescent="0.2">
      <c r="C107" s="4"/>
      <c r="D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1"/>
      <c r="AF107" s="1"/>
    </row>
    <row r="108" spans="1:32" s="12" customFormat="1" hidden="1" x14ac:dyDescent="0.2">
      <c r="C108" s="4"/>
      <c r="D108" s="4"/>
      <c r="E108" s="18" t="s">
        <v>182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1"/>
      <c r="AF108" s="1"/>
    </row>
    <row r="109" spans="1:32" s="23" customFormat="1" x14ac:dyDescent="0.2">
      <c r="A109" s="13" t="s">
        <v>126</v>
      </c>
      <c r="B109" s="75" t="s">
        <v>127</v>
      </c>
      <c r="C109" s="9"/>
      <c r="D109" s="10" t="s">
        <v>170</v>
      </c>
      <c r="E109" s="23" t="s">
        <v>35</v>
      </c>
      <c r="F109" s="112">
        <v>0.95</v>
      </c>
      <c r="G109" s="112">
        <v>0.95</v>
      </c>
      <c r="H109" s="112">
        <v>0.95</v>
      </c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</row>
    <row r="110" spans="1:32" s="12" customFormat="1" x14ac:dyDescent="0.2">
      <c r="A110" s="12" t="s">
        <v>84</v>
      </c>
      <c r="B110" s="74" t="s">
        <v>85</v>
      </c>
      <c r="C110" s="4"/>
      <c r="D110" s="10" t="s">
        <v>170</v>
      </c>
      <c r="E110" s="12" t="s">
        <v>183</v>
      </c>
      <c r="F110" s="41">
        <f>F60*F109*F76</f>
        <v>427.5</v>
      </c>
      <c r="G110" s="41">
        <f>G60*G109*G76</f>
        <v>8208</v>
      </c>
      <c r="H110" s="41">
        <f>H60*H109*H76</f>
        <v>32832</v>
      </c>
      <c r="I110" s="41"/>
      <c r="J110" s="41"/>
      <c r="K110" s="41"/>
      <c r="L110" s="41"/>
      <c r="M110" s="62"/>
      <c r="N110" s="41"/>
      <c r="O110" s="41"/>
      <c r="P110" s="41"/>
      <c r="Q110" s="41">
        <f t="shared" ref="Q110:AD110" si="60">Q60*Q109</f>
        <v>0</v>
      </c>
      <c r="R110" s="41">
        <f t="shared" si="60"/>
        <v>0</v>
      </c>
      <c r="S110" s="41">
        <f t="shared" si="60"/>
        <v>0</v>
      </c>
      <c r="T110" s="41">
        <f t="shared" si="60"/>
        <v>0</v>
      </c>
      <c r="U110" s="41">
        <f t="shared" si="60"/>
        <v>0</v>
      </c>
      <c r="V110" s="41">
        <f t="shared" si="60"/>
        <v>0</v>
      </c>
      <c r="W110" s="41">
        <f t="shared" si="60"/>
        <v>0</v>
      </c>
      <c r="X110" s="41">
        <f t="shared" si="60"/>
        <v>0</v>
      </c>
      <c r="Y110" s="41">
        <f t="shared" si="60"/>
        <v>0</v>
      </c>
      <c r="Z110" s="41">
        <f t="shared" si="60"/>
        <v>0</v>
      </c>
      <c r="AA110" s="41">
        <f t="shared" si="60"/>
        <v>0</v>
      </c>
      <c r="AB110" s="41">
        <f t="shared" si="60"/>
        <v>0</v>
      </c>
      <c r="AC110" s="41">
        <f t="shared" si="60"/>
        <v>0</v>
      </c>
      <c r="AD110" s="41">
        <f t="shared" si="60"/>
        <v>0</v>
      </c>
      <c r="AE110" s="1"/>
      <c r="AF110" s="1"/>
    </row>
    <row r="111" spans="1:32" x14ac:dyDescent="0.2">
      <c r="A111" s="13" t="s">
        <v>126</v>
      </c>
      <c r="B111" s="75" t="s">
        <v>85</v>
      </c>
      <c r="D111" s="10" t="s">
        <v>170</v>
      </c>
      <c r="E111" s="13" t="s">
        <v>184</v>
      </c>
      <c r="F111" s="104">
        <v>2</v>
      </c>
      <c r="G111" s="104">
        <v>2</v>
      </c>
      <c r="H111" s="104">
        <v>2</v>
      </c>
      <c r="I111" s="104"/>
      <c r="J111" s="104"/>
      <c r="K111" s="104"/>
      <c r="L111" s="104"/>
      <c r="M111" s="105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1"/>
      <c r="AF111" s="11"/>
    </row>
    <row r="112" spans="1:32" x14ac:dyDescent="0.2">
      <c r="A112" s="13" t="s">
        <v>126</v>
      </c>
      <c r="B112" s="74" t="s">
        <v>85</v>
      </c>
      <c r="D112" s="10" t="s">
        <v>170</v>
      </c>
      <c r="E112" s="13" t="s">
        <v>185</v>
      </c>
      <c r="F112" s="38">
        <v>1</v>
      </c>
      <c r="G112" s="38">
        <v>1</v>
      </c>
      <c r="H112" s="38">
        <v>1</v>
      </c>
      <c r="I112" s="38"/>
      <c r="J112" s="38"/>
      <c r="K112" s="38"/>
      <c r="L112" s="38"/>
      <c r="M112" s="54"/>
      <c r="N112" s="38"/>
      <c r="O112" s="38"/>
      <c r="P112" s="38"/>
      <c r="Q112" s="38">
        <v>1</v>
      </c>
      <c r="R112" s="38">
        <v>1</v>
      </c>
      <c r="S112" s="38">
        <v>1</v>
      </c>
      <c r="T112" s="38">
        <v>1</v>
      </c>
      <c r="U112" s="38">
        <v>1</v>
      </c>
      <c r="V112" s="38">
        <v>1</v>
      </c>
      <c r="W112" s="38">
        <v>1</v>
      </c>
      <c r="X112" s="38">
        <v>1</v>
      </c>
      <c r="Y112" s="38">
        <v>1</v>
      </c>
      <c r="Z112" s="38">
        <v>1</v>
      </c>
      <c r="AA112" s="38">
        <v>1</v>
      </c>
      <c r="AB112" s="38">
        <v>1</v>
      </c>
      <c r="AC112" s="38">
        <v>1</v>
      </c>
      <c r="AD112" s="38">
        <v>1</v>
      </c>
      <c r="AE112" s="11"/>
      <c r="AF112" s="11"/>
    </row>
    <row r="113" spans="1:32" s="12" customFormat="1" x14ac:dyDescent="0.2">
      <c r="A113" s="12" t="s">
        <v>84</v>
      </c>
      <c r="B113" s="75" t="s">
        <v>127</v>
      </c>
      <c r="C113" s="4" t="s">
        <v>186</v>
      </c>
      <c r="D113" s="10" t="s">
        <v>170</v>
      </c>
      <c r="E113" s="12" t="s">
        <v>260</v>
      </c>
      <c r="F113" s="117">
        <f t="shared" ref="F113" si="61">F111*F99*F94</f>
        <v>41.666666666666671</v>
      </c>
      <c r="G113" s="108">
        <f>G111*G99*G94</f>
        <v>240</v>
      </c>
      <c r="H113" s="108">
        <f>H111*H99*H94</f>
        <v>960</v>
      </c>
      <c r="I113" s="117"/>
      <c r="J113" s="108"/>
      <c r="K113" s="108"/>
      <c r="L113" s="108"/>
      <c r="M113" s="109"/>
      <c r="N113" s="108"/>
      <c r="O113" s="108"/>
      <c r="P113" s="108"/>
      <c r="Q113" s="117"/>
      <c r="R113" s="108"/>
      <c r="S113" s="117"/>
      <c r="T113" s="108"/>
      <c r="U113" s="117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"/>
      <c r="AF113" s="1"/>
    </row>
    <row r="114" spans="1:32" s="12" customFormat="1" x14ac:dyDescent="0.2">
      <c r="A114" s="12" t="s">
        <v>84</v>
      </c>
      <c r="B114" s="74" t="s">
        <v>85</v>
      </c>
      <c r="C114" s="4" t="s">
        <v>186</v>
      </c>
      <c r="D114" s="10" t="s">
        <v>170</v>
      </c>
      <c r="E114" s="12" t="s">
        <v>420</v>
      </c>
      <c r="F114" s="42">
        <f t="shared" ref="F114" si="62">F113/F112</f>
        <v>41.666666666666671</v>
      </c>
      <c r="G114" s="42">
        <f>G113/G112</f>
        <v>240</v>
      </c>
      <c r="H114" s="42">
        <f>H113/H112</f>
        <v>960</v>
      </c>
      <c r="I114" s="42"/>
      <c r="J114" s="42"/>
      <c r="K114" s="42"/>
      <c r="L114" s="42"/>
      <c r="M114" s="63"/>
      <c r="N114" s="42"/>
      <c r="O114" s="42"/>
      <c r="P114" s="42"/>
      <c r="Q114" s="42">
        <f t="shared" ref="Q114:AD114" si="63">Q113/Q112</f>
        <v>0</v>
      </c>
      <c r="R114" s="42">
        <f t="shared" si="63"/>
        <v>0</v>
      </c>
      <c r="S114" s="42">
        <f t="shared" si="63"/>
        <v>0</v>
      </c>
      <c r="T114" s="42">
        <f t="shared" si="63"/>
        <v>0</v>
      </c>
      <c r="U114" s="42">
        <f t="shared" si="63"/>
        <v>0</v>
      </c>
      <c r="V114" s="42">
        <f t="shared" si="63"/>
        <v>0</v>
      </c>
      <c r="W114" s="42">
        <f t="shared" si="63"/>
        <v>0</v>
      </c>
      <c r="X114" s="42">
        <f t="shared" si="63"/>
        <v>0</v>
      </c>
      <c r="Y114" s="42">
        <f t="shared" si="63"/>
        <v>0</v>
      </c>
      <c r="Z114" s="42">
        <f t="shared" si="63"/>
        <v>0</v>
      </c>
      <c r="AA114" s="42">
        <f t="shared" si="63"/>
        <v>0</v>
      </c>
      <c r="AB114" s="42">
        <f t="shared" si="63"/>
        <v>0</v>
      </c>
      <c r="AC114" s="42">
        <f t="shared" si="63"/>
        <v>0</v>
      </c>
      <c r="AD114" s="42">
        <f t="shared" si="63"/>
        <v>0</v>
      </c>
      <c r="AE114" s="1"/>
      <c r="AF114" s="1"/>
    </row>
    <row r="115" spans="1:32" s="12" customFormat="1" x14ac:dyDescent="0.2">
      <c r="A115" s="12" t="s">
        <v>84</v>
      </c>
      <c r="B115" s="75" t="s">
        <v>85</v>
      </c>
      <c r="C115" s="10" t="s">
        <v>186</v>
      </c>
      <c r="D115" s="10" t="s">
        <v>170</v>
      </c>
      <c r="E115" s="13" t="s">
        <v>262</v>
      </c>
      <c r="F115" s="134">
        <f t="shared" ref="F115" si="64">F114*1.2</f>
        <v>50.000000000000007</v>
      </c>
      <c r="G115" s="135">
        <f>G114*1.2</f>
        <v>288</v>
      </c>
      <c r="H115" s="135">
        <f>H114*1.2</f>
        <v>1152</v>
      </c>
      <c r="I115" s="134"/>
      <c r="J115" s="119"/>
      <c r="K115" s="119"/>
      <c r="L115" s="119"/>
      <c r="M115" s="103"/>
      <c r="N115" s="102"/>
      <c r="O115" s="102"/>
      <c r="P115" s="102"/>
      <c r="Q115" s="118"/>
      <c r="R115" s="119"/>
      <c r="S115" s="118"/>
      <c r="T115" s="119"/>
      <c r="U115" s="118"/>
      <c r="V115" s="119"/>
      <c r="W115" s="102"/>
      <c r="X115" s="102"/>
      <c r="Y115" s="102"/>
      <c r="Z115" s="102"/>
      <c r="AA115" s="102"/>
      <c r="AB115" s="102"/>
      <c r="AC115" s="102"/>
      <c r="AD115" s="102"/>
      <c r="AE115" s="1"/>
      <c r="AF115" s="1"/>
    </row>
    <row r="116" spans="1:32" x14ac:dyDescent="0.2">
      <c r="A116" s="12" t="s">
        <v>84</v>
      </c>
      <c r="B116" s="75" t="s">
        <v>85</v>
      </c>
      <c r="C116" s="10" t="s">
        <v>188</v>
      </c>
      <c r="D116" s="10" t="s">
        <v>170</v>
      </c>
      <c r="E116" s="13" t="s">
        <v>189</v>
      </c>
      <c r="F116" s="80">
        <f>F110*F61</f>
        <v>8550</v>
      </c>
      <c r="G116" s="80">
        <f>G110*G61</f>
        <v>164160</v>
      </c>
      <c r="H116" s="80">
        <f>H110*H61</f>
        <v>656640</v>
      </c>
      <c r="I116" s="80"/>
      <c r="J116" s="80"/>
      <c r="K116" s="80"/>
      <c r="L116" s="80"/>
      <c r="M116" s="81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</row>
    <row r="117" spans="1:32" x14ac:dyDescent="0.2">
      <c r="A117" s="12" t="s">
        <v>84</v>
      </c>
      <c r="B117" s="75" t="s">
        <v>85</v>
      </c>
      <c r="C117" s="10" t="s">
        <v>186</v>
      </c>
      <c r="D117" s="10" t="s">
        <v>170</v>
      </c>
      <c r="E117" s="13" t="s">
        <v>421</v>
      </c>
      <c r="F117" s="128">
        <f>F113*F61</f>
        <v>833.33333333333348</v>
      </c>
      <c r="G117" s="80">
        <f>G113*G61</f>
        <v>4800</v>
      </c>
      <c r="H117" s="80">
        <f>H113*H61</f>
        <v>19200</v>
      </c>
      <c r="I117" s="128"/>
      <c r="J117" s="80"/>
      <c r="K117" s="80"/>
      <c r="L117" s="80"/>
      <c r="M117" s="81"/>
      <c r="N117" s="80"/>
      <c r="O117" s="80"/>
      <c r="P117" s="80"/>
      <c r="Q117" s="120"/>
      <c r="R117" s="80"/>
      <c r="S117" s="120"/>
      <c r="T117" s="80"/>
      <c r="U117" s="120"/>
      <c r="V117" s="80"/>
      <c r="W117" s="80"/>
      <c r="X117" s="80"/>
      <c r="Y117" s="80"/>
      <c r="Z117" s="80"/>
      <c r="AA117" s="80"/>
      <c r="AB117" s="80"/>
      <c r="AC117" s="80"/>
      <c r="AD117" s="80"/>
    </row>
    <row r="118" spans="1:32" x14ac:dyDescent="0.2">
      <c r="A118" s="12" t="s">
        <v>84</v>
      </c>
      <c r="B118" s="74" t="s">
        <v>85</v>
      </c>
      <c r="C118" s="10" t="s">
        <v>186</v>
      </c>
      <c r="D118" s="10" t="s">
        <v>170</v>
      </c>
      <c r="E118" s="13" t="s">
        <v>422</v>
      </c>
      <c r="F118" s="35">
        <f>F114*F61</f>
        <v>833.33333333333348</v>
      </c>
      <c r="G118" s="35">
        <f>G114*G61</f>
        <v>4800</v>
      </c>
      <c r="H118" s="35">
        <f>H114*H61</f>
        <v>19200</v>
      </c>
      <c r="I118" s="35"/>
      <c r="J118" s="35"/>
      <c r="K118" s="35"/>
      <c r="L118" s="35"/>
      <c r="M118" s="56"/>
      <c r="N118" s="35"/>
      <c r="O118" s="35"/>
      <c r="P118" s="35"/>
      <c r="Q118" s="35">
        <f t="shared" ref="Q118:AD118" si="65">Q114*Q61</f>
        <v>0</v>
      </c>
      <c r="R118" s="35">
        <f t="shared" si="65"/>
        <v>0</v>
      </c>
      <c r="S118" s="35">
        <f t="shared" si="65"/>
        <v>0</v>
      </c>
      <c r="T118" s="35">
        <f t="shared" si="65"/>
        <v>0</v>
      </c>
      <c r="U118" s="35">
        <f t="shared" si="65"/>
        <v>0</v>
      </c>
      <c r="V118" s="35">
        <f t="shared" si="65"/>
        <v>0</v>
      </c>
      <c r="W118" s="35">
        <f t="shared" si="65"/>
        <v>0</v>
      </c>
      <c r="X118" s="35">
        <f t="shared" si="65"/>
        <v>0</v>
      </c>
      <c r="Y118" s="35">
        <f t="shared" si="65"/>
        <v>0</v>
      </c>
      <c r="Z118" s="35">
        <f t="shared" si="65"/>
        <v>0</v>
      </c>
      <c r="AA118" s="35">
        <f t="shared" si="65"/>
        <v>0</v>
      </c>
      <c r="AB118" s="35">
        <f t="shared" si="65"/>
        <v>0</v>
      </c>
      <c r="AC118" s="35">
        <f t="shared" si="65"/>
        <v>0</v>
      </c>
      <c r="AD118" s="35">
        <f t="shared" si="65"/>
        <v>0</v>
      </c>
    </row>
    <row r="119" spans="1:32" hidden="1" x14ac:dyDescent="0.2">
      <c r="D119" s="10" t="s">
        <v>170</v>
      </c>
      <c r="E119" s="13" t="s">
        <v>423</v>
      </c>
      <c r="F119" s="6">
        <f t="shared" ref="F119" si="66">F116/F118</f>
        <v>10.259999999999998</v>
      </c>
      <c r="G119" s="6">
        <f>G116/G118</f>
        <v>34.200000000000003</v>
      </c>
      <c r="H119" s="6">
        <f>H116/H118</f>
        <v>34.200000000000003</v>
      </c>
      <c r="I119" s="6"/>
      <c r="J119" s="6"/>
      <c r="K119" s="6"/>
      <c r="L119" s="6"/>
      <c r="M119" s="6"/>
      <c r="N119" s="6"/>
      <c r="O119" s="6"/>
      <c r="P119" s="6"/>
      <c r="Q119" s="8" t="e">
        <f t="shared" ref="Q119:AD119" si="67">Q116/Q118</f>
        <v>#DIV/0!</v>
      </c>
      <c r="R119" s="8" t="e">
        <f t="shared" si="67"/>
        <v>#DIV/0!</v>
      </c>
      <c r="S119" s="8" t="e">
        <f t="shared" si="67"/>
        <v>#DIV/0!</v>
      </c>
      <c r="T119" s="8" t="e">
        <f t="shared" si="67"/>
        <v>#DIV/0!</v>
      </c>
      <c r="U119" s="8" t="e">
        <f t="shared" si="67"/>
        <v>#DIV/0!</v>
      </c>
      <c r="V119" s="8" t="e">
        <f t="shared" si="67"/>
        <v>#DIV/0!</v>
      </c>
      <c r="W119" s="8" t="e">
        <f t="shared" si="67"/>
        <v>#DIV/0!</v>
      </c>
      <c r="X119" s="8" t="e">
        <f t="shared" si="67"/>
        <v>#DIV/0!</v>
      </c>
      <c r="Y119" s="8" t="e">
        <f t="shared" si="67"/>
        <v>#DIV/0!</v>
      </c>
      <c r="Z119" s="8" t="e">
        <f t="shared" si="67"/>
        <v>#DIV/0!</v>
      </c>
      <c r="AA119" s="8" t="e">
        <f t="shared" si="67"/>
        <v>#DIV/0!</v>
      </c>
      <c r="AB119" s="8" t="e">
        <f t="shared" si="67"/>
        <v>#DIV/0!</v>
      </c>
      <c r="AC119" s="8" t="e">
        <f t="shared" si="67"/>
        <v>#DIV/0!</v>
      </c>
      <c r="AD119" s="8" t="e">
        <f t="shared" si="67"/>
        <v>#DIV/0!</v>
      </c>
    </row>
    <row r="120" spans="1:32" s="12" customFormat="1" hidden="1" x14ac:dyDescent="0.2">
      <c r="C120" s="4"/>
      <c r="D120" s="4"/>
      <c r="E120" s="18" t="s">
        <v>190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1"/>
      <c r="AF120" s="1"/>
    </row>
    <row r="121" spans="1:32" s="12" customFormat="1" x14ac:dyDescent="0.2">
      <c r="A121" s="12" t="s">
        <v>84</v>
      </c>
      <c r="B121" s="75" t="s">
        <v>85</v>
      </c>
      <c r="C121" s="4"/>
      <c r="D121" s="10" t="s">
        <v>170</v>
      </c>
      <c r="E121" s="12" t="s">
        <v>191</v>
      </c>
      <c r="F121" s="108">
        <f>F102*F94</f>
        <v>45.833333333333336</v>
      </c>
      <c r="G121" s="108">
        <f>G102*G94</f>
        <v>132</v>
      </c>
      <c r="H121" s="108">
        <f>H102*H94</f>
        <v>528</v>
      </c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"/>
      <c r="AF121" s="1"/>
    </row>
    <row r="122" spans="1:32" s="12" customFormat="1" x14ac:dyDescent="0.2">
      <c r="A122" s="12" t="s">
        <v>84</v>
      </c>
      <c r="B122" s="75" t="s">
        <v>85</v>
      </c>
      <c r="C122" s="4" t="s">
        <v>186</v>
      </c>
      <c r="D122" s="10" t="s">
        <v>170</v>
      </c>
      <c r="E122" s="12" t="s">
        <v>192</v>
      </c>
      <c r="F122" s="108">
        <f>F121*F99</f>
        <v>458.33333333333337</v>
      </c>
      <c r="G122" s="108">
        <f>G121*G99</f>
        <v>2640</v>
      </c>
      <c r="H122" s="108">
        <f>H121*H99</f>
        <v>10560</v>
      </c>
      <c r="I122" s="108"/>
      <c r="J122" s="108"/>
      <c r="K122" s="108"/>
      <c r="L122" s="108"/>
      <c r="M122" s="109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"/>
      <c r="AF122" s="1"/>
    </row>
    <row r="123" spans="1:32" x14ac:dyDescent="0.2">
      <c r="A123" s="13" t="s">
        <v>126</v>
      </c>
      <c r="B123" s="75" t="s">
        <v>85</v>
      </c>
      <c r="D123" s="10" t="s">
        <v>170</v>
      </c>
      <c r="E123" s="13" t="s">
        <v>25</v>
      </c>
      <c r="F123" s="102">
        <v>5</v>
      </c>
      <c r="G123" s="80">
        <f>Table1[[#This Row],[Clinial Production]]</f>
        <v>5</v>
      </c>
      <c r="H123" s="80">
        <f>Table1[[#This Row],[2000L, MCC High cellular productivity]]</f>
        <v>5</v>
      </c>
      <c r="I123" s="80"/>
      <c r="J123" s="80"/>
      <c r="K123" s="80"/>
      <c r="L123" s="80"/>
      <c r="M123" s="80"/>
      <c r="N123" s="80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"/>
      <c r="AF123" s="11"/>
    </row>
    <row r="124" spans="1:32" s="12" customFormat="1" x14ac:dyDescent="0.2">
      <c r="A124" s="12" t="s">
        <v>84</v>
      </c>
      <c r="B124" s="74" t="s">
        <v>127</v>
      </c>
      <c r="C124" s="4" t="s">
        <v>186</v>
      </c>
      <c r="D124" s="10" t="s">
        <v>170</v>
      </c>
      <c r="E124" s="13" t="s">
        <v>193</v>
      </c>
      <c r="F124" s="42">
        <f t="shared" ref="F124" si="68">F122/F123</f>
        <v>91.666666666666671</v>
      </c>
      <c r="G124" s="42">
        <f>G122/G123</f>
        <v>528</v>
      </c>
      <c r="H124" s="42">
        <f>H122/H123</f>
        <v>2112</v>
      </c>
      <c r="I124" s="42"/>
      <c r="J124" s="42"/>
      <c r="K124" s="42"/>
      <c r="L124" s="42"/>
      <c r="M124" s="63"/>
      <c r="N124" s="42"/>
      <c r="O124" s="42"/>
      <c r="P124" s="42"/>
      <c r="Q124" s="42" t="e">
        <f t="shared" ref="Q124:AD124" si="69">Q122/Q123</f>
        <v>#DIV/0!</v>
      </c>
      <c r="R124" s="42" t="e">
        <f t="shared" si="69"/>
        <v>#DIV/0!</v>
      </c>
      <c r="S124" s="42" t="e">
        <f t="shared" si="69"/>
        <v>#DIV/0!</v>
      </c>
      <c r="T124" s="42" t="e">
        <f t="shared" si="69"/>
        <v>#DIV/0!</v>
      </c>
      <c r="U124" s="42" t="e">
        <f t="shared" si="69"/>
        <v>#DIV/0!</v>
      </c>
      <c r="V124" s="42" t="e">
        <f t="shared" si="69"/>
        <v>#DIV/0!</v>
      </c>
      <c r="W124" s="42" t="e">
        <f t="shared" si="69"/>
        <v>#DIV/0!</v>
      </c>
      <c r="X124" s="42" t="e">
        <f t="shared" si="69"/>
        <v>#DIV/0!</v>
      </c>
      <c r="Y124" s="42" t="e">
        <f t="shared" si="69"/>
        <v>#DIV/0!</v>
      </c>
      <c r="Z124" s="42" t="e">
        <f t="shared" si="69"/>
        <v>#DIV/0!</v>
      </c>
      <c r="AA124" s="42" t="e">
        <f t="shared" si="69"/>
        <v>#DIV/0!</v>
      </c>
      <c r="AB124" s="42" t="e">
        <f t="shared" si="69"/>
        <v>#DIV/0!</v>
      </c>
      <c r="AC124" s="42" t="e">
        <f t="shared" si="69"/>
        <v>#DIV/0!</v>
      </c>
      <c r="AD124" s="42" t="e">
        <f t="shared" si="69"/>
        <v>#DIV/0!</v>
      </c>
      <c r="AE124" s="1"/>
      <c r="AF124" s="1"/>
    </row>
    <row r="125" spans="1:32" s="12" customFormat="1" x14ac:dyDescent="0.2">
      <c r="A125" s="12" t="s">
        <v>84</v>
      </c>
      <c r="B125" s="74" t="s">
        <v>85</v>
      </c>
      <c r="C125" s="4" t="s">
        <v>186</v>
      </c>
      <c r="D125" s="10" t="s">
        <v>170</v>
      </c>
      <c r="E125" s="13" t="s">
        <v>194</v>
      </c>
      <c r="F125" s="42">
        <f t="shared" ref="F125" si="70">F122-F124</f>
        <v>366.66666666666669</v>
      </c>
      <c r="G125" s="42">
        <f>G122-G124</f>
        <v>2112</v>
      </c>
      <c r="H125" s="42">
        <f>H122-H124</f>
        <v>8448</v>
      </c>
      <c r="I125" s="42"/>
      <c r="J125" s="42"/>
      <c r="K125" s="42"/>
      <c r="L125" s="42"/>
      <c r="M125" s="63"/>
      <c r="N125" s="42"/>
      <c r="O125" s="42"/>
      <c r="P125" s="42"/>
      <c r="Q125" s="42" t="e">
        <f t="shared" ref="Q125:AD125" si="71">Q122-Q124</f>
        <v>#DIV/0!</v>
      </c>
      <c r="R125" s="42" t="e">
        <f t="shared" si="71"/>
        <v>#DIV/0!</v>
      </c>
      <c r="S125" s="42" t="e">
        <f t="shared" si="71"/>
        <v>#DIV/0!</v>
      </c>
      <c r="T125" s="42" t="e">
        <f t="shared" si="71"/>
        <v>#DIV/0!</v>
      </c>
      <c r="U125" s="42" t="e">
        <f t="shared" si="71"/>
        <v>#DIV/0!</v>
      </c>
      <c r="V125" s="42" t="e">
        <f t="shared" si="71"/>
        <v>#DIV/0!</v>
      </c>
      <c r="W125" s="42" t="e">
        <f t="shared" si="71"/>
        <v>#DIV/0!</v>
      </c>
      <c r="X125" s="42" t="e">
        <f t="shared" si="71"/>
        <v>#DIV/0!</v>
      </c>
      <c r="Y125" s="42" t="e">
        <f t="shared" si="71"/>
        <v>#DIV/0!</v>
      </c>
      <c r="Z125" s="42" t="e">
        <f t="shared" si="71"/>
        <v>#DIV/0!</v>
      </c>
      <c r="AA125" s="42" t="e">
        <f t="shared" si="71"/>
        <v>#DIV/0!</v>
      </c>
      <c r="AB125" s="42" t="e">
        <f t="shared" si="71"/>
        <v>#DIV/0!</v>
      </c>
      <c r="AC125" s="42" t="e">
        <f t="shared" si="71"/>
        <v>#DIV/0!</v>
      </c>
      <c r="AD125" s="42" t="e">
        <f t="shared" si="71"/>
        <v>#DIV/0!</v>
      </c>
      <c r="AE125" s="1"/>
      <c r="AF125" s="1"/>
    </row>
    <row r="126" spans="1:32" s="12" customFormat="1" x14ac:dyDescent="0.2">
      <c r="A126" s="12" t="s">
        <v>84</v>
      </c>
      <c r="B126" s="75" t="s">
        <v>127</v>
      </c>
      <c r="C126" s="10" t="s">
        <v>195</v>
      </c>
      <c r="D126" s="10" t="s">
        <v>170</v>
      </c>
      <c r="E126" s="13" t="s">
        <v>196</v>
      </c>
      <c r="F126" s="121">
        <f>F106/F123</f>
        <v>0.10416666666666667</v>
      </c>
      <c r="G126" s="119">
        <f>G106/G123</f>
        <v>0.6</v>
      </c>
      <c r="H126" s="119">
        <f>H106/H123</f>
        <v>2.4</v>
      </c>
      <c r="I126" s="121"/>
      <c r="J126" s="121"/>
      <c r="K126" s="121"/>
      <c r="L126" s="119"/>
      <c r="M126" s="122"/>
      <c r="N126" s="119"/>
      <c r="O126" s="119"/>
      <c r="P126" s="119"/>
      <c r="Q126" s="121"/>
      <c r="R126" s="121"/>
      <c r="S126" s="121"/>
      <c r="T126" s="121"/>
      <c r="U126" s="121"/>
      <c r="V126" s="121"/>
      <c r="W126" s="119"/>
      <c r="X126" s="119"/>
      <c r="Y126" s="119"/>
      <c r="Z126" s="119"/>
      <c r="AA126" s="119"/>
      <c r="AB126" s="119"/>
      <c r="AC126" s="119"/>
      <c r="AD126" s="119"/>
      <c r="AE126" s="1"/>
      <c r="AF126" s="1"/>
    </row>
    <row r="127" spans="1:32" s="12" customFormat="1" x14ac:dyDescent="0.2">
      <c r="A127" s="12" t="s">
        <v>84</v>
      </c>
      <c r="B127" s="75" t="s">
        <v>127</v>
      </c>
      <c r="C127" s="10" t="s">
        <v>195</v>
      </c>
      <c r="D127" s="10" t="s">
        <v>170</v>
      </c>
      <c r="E127" s="13" t="s">
        <v>197</v>
      </c>
      <c r="F127" s="119">
        <f>F106-F126</f>
        <v>0.41666666666666669</v>
      </c>
      <c r="G127" s="119">
        <f>G106-G126</f>
        <v>2.4</v>
      </c>
      <c r="H127" s="119">
        <f>H106-H126</f>
        <v>9.6</v>
      </c>
      <c r="I127" s="119"/>
      <c r="J127" s="119"/>
      <c r="K127" s="119"/>
      <c r="L127" s="119"/>
      <c r="M127" s="122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"/>
      <c r="AF127" s="1"/>
    </row>
    <row r="128" spans="1:32" s="12" customFormat="1" x14ac:dyDescent="0.2">
      <c r="A128" s="12" t="s">
        <v>84</v>
      </c>
      <c r="B128" s="74" t="s">
        <v>85</v>
      </c>
      <c r="C128" s="6" t="s">
        <v>186</v>
      </c>
      <c r="D128" s="10" t="s">
        <v>170</v>
      </c>
      <c r="E128" s="13" t="s">
        <v>198</v>
      </c>
      <c r="F128" s="40">
        <f>F122*F61</f>
        <v>9166.6666666666679</v>
      </c>
      <c r="G128" s="40">
        <f>G122*G61</f>
        <v>52800</v>
      </c>
      <c r="H128" s="40">
        <f>H122*H61</f>
        <v>211200</v>
      </c>
      <c r="I128" s="40"/>
      <c r="J128" s="40"/>
      <c r="K128" s="40"/>
      <c r="L128" s="40"/>
      <c r="M128" s="55"/>
      <c r="N128" s="40"/>
      <c r="O128" s="40"/>
      <c r="P128" s="40"/>
      <c r="Q128" s="40">
        <f t="shared" ref="Q128:AD128" si="72">Q122*Q61</f>
        <v>0</v>
      </c>
      <c r="R128" s="40">
        <f t="shared" si="72"/>
        <v>0</v>
      </c>
      <c r="S128" s="40">
        <f t="shared" si="72"/>
        <v>0</v>
      </c>
      <c r="T128" s="40">
        <f t="shared" si="72"/>
        <v>0</v>
      </c>
      <c r="U128" s="40">
        <f t="shared" si="72"/>
        <v>0</v>
      </c>
      <c r="V128" s="40">
        <f t="shared" si="72"/>
        <v>0</v>
      </c>
      <c r="W128" s="40">
        <f t="shared" si="72"/>
        <v>0</v>
      </c>
      <c r="X128" s="40">
        <f t="shared" si="72"/>
        <v>0</v>
      </c>
      <c r="Y128" s="40">
        <f t="shared" si="72"/>
        <v>0</v>
      </c>
      <c r="Z128" s="40">
        <f t="shared" si="72"/>
        <v>0</v>
      </c>
      <c r="AA128" s="40">
        <f t="shared" si="72"/>
        <v>0</v>
      </c>
      <c r="AB128" s="40">
        <f t="shared" si="72"/>
        <v>0</v>
      </c>
      <c r="AC128" s="40">
        <f t="shared" si="72"/>
        <v>0</v>
      </c>
      <c r="AD128" s="40">
        <f t="shared" si="72"/>
        <v>0</v>
      </c>
      <c r="AE128" s="1"/>
      <c r="AF128" s="1"/>
    </row>
    <row r="129" spans="1:32" s="12" customFormat="1" x14ac:dyDescent="0.2">
      <c r="A129" s="12" t="s">
        <v>84</v>
      </c>
      <c r="B129" s="75" t="s">
        <v>127</v>
      </c>
      <c r="C129" s="10" t="s">
        <v>186</v>
      </c>
      <c r="D129" s="10" t="s">
        <v>170</v>
      </c>
      <c r="E129" s="13" t="s">
        <v>199</v>
      </c>
      <c r="F129" s="102">
        <f>F124*F61</f>
        <v>1833.3333333333335</v>
      </c>
      <c r="G129" s="102">
        <f>G124*G61</f>
        <v>10560</v>
      </c>
      <c r="H129" s="102">
        <f>H124*H61</f>
        <v>42240</v>
      </c>
      <c r="I129" s="102"/>
      <c r="J129" s="102"/>
      <c r="K129" s="102"/>
      <c r="L129" s="102"/>
      <c r="M129" s="103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"/>
      <c r="AF129" s="1"/>
    </row>
    <row r="130" spans="1:32" s="12" customFormat="1" x14ac:dyDescent="0.2">
      <c r="A130" s="12" t="s">
        <v>84</v>
      </c>
      <c r="B130" s="75" t="s">
        <v>85</v>
      </c>
      <c r="C130" s="10" t="s">
        <v>186</v>
      </c>
      <c r="D130" s="10" t="s">
        <v>170</v>
      </c>
      <c r="E130" s="13" t="s">
        <v>200</v>
      </c>
      <c r="F130" s="102">
        <f>F125*F61</f>
        <v>7333.3333333333339</v>
      </c>
      <c r="G130" s="102">
        <f>G125*G61</f>
        <v>42240</v>
      </c>
      <c r="H130" s="102">
        <f>H125*H61</f>
        <v>168960</v>
      </c>
      <c r="I130" s="102"/>
      <c r="J130" s="102"/>
      <c r="K130" s="102"/>
      <c r="L130" s="102"/>
      <c r="M130" s="103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"/>
      <c r="AF130" s="1"/>
    </row>
    <row r="131" spans="1:32" s="12" customFormat="1" hidden="1" x14ac:dyDescent="0.2">
      <c r="C131" s="4"/>
      <c r="D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1"/>
      <c r="AF131" s="1"/>
    </row>
    <row r="132" spans="1:32" ht="26" x14ac:dyDescent="0.3">
      <c r="A132" s="10" t="s">
        <v>57</v>
      </c>
      <c r="B132" s="74" t="s">
        <v>127</v>
      </c>
      <c r="D132" s="10" t="s">
        <v>201</v>
      </c>
      <c r="E132" s="22" t="s">
        <v>201</v>
      </c>
      <c r="F132" s="104"/>
      <c r="G132" s="104"/>
      <c r="H132" s="104"/>
      <c r="I132" s="104"/>
      <c r="J132" s="104"/>
      <c r="K132" s="104"/>
      <c r="L132" s="104"/>
      <c r="M132" s="105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1"/>
      <c r="AF132" s="11"/>
    </row>
    <row r="133" spans="1:32" x14ac:dyDescent="0.2">
      <c r="A133" s="13" t="s">
        <v>126</v>
      </c>
      <c r="B133" s="75" t="s">
        <v>127</v>
      </c>
      <c r="D133" s="10" t="s">
        <v>201</v>
      </c>
      <c r="E133" s="13" t="s">
        <v>202</v>
      </c>
      <c r="F133" s="149">
        <v>0.1</v>
      </c>
      <c r="G133" s="149">
        <v>0.1</v>
      </c>
      <c r="H133" s="149">
        <v>0.1</v>
      </c>
      <c r="I133" s="149"/>
      <c r="J133" s="149"/>
      <c r="K133" s="149"/>
      <c r="L133" s="104"/>
      <c r="M133" s="105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1"/>
      <c r="AF133" s="11"/>
    </row>
    <row r="134" spans="1:32" x14ac:dyDescent="0.2">
      <c r="A134" s="13" t="s">
        <v>126</v>
      </c>
      <c r="B134" s="75" t="s">
        <v>127</v>
      </c>
      <c r="D134" s="10" t="s">
        <v>201</v>
      </c>
      <c r="E134" s="13" t="s">
        <v>203</v>
      </c>
      <c r="F134" s="149">
        <v>1</v>
      </c>
      <c r="G134" s="149">
        <v>1</v>
      </c>
      <c r="H134" s="149">
        <v>1</v>
      </c>
      <c r="I134" s="149"/>
      <c r="J134" s="149"/>
      <c r="K134" s="149"/>
      <c r="L134" s="82"/>
      <c r="M134" s="82"/>
      <c r="N134" s="82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1"/>
      <c r="AF134" s="11"/>
    </row>
    <row r="135" spans="1:32" s="12" customFormat="1" x14ac:dyDescent="0.2">
      <c r="A135" s="12" t="s">
        <v>84</v>
      </c>
      <c r="B135" s="73" t="s">
        <v>85</v>
      </c>
      <c r="C135" s="4"/>
      <c r="D135" s="10" t="s">
        <v>201</v>
      </c>
      <c r="E135" s="12" t="s">
        <v>204</v>
      </c>
      <c r="F135" s="49">
        <f>F133*F114</f>
        <v>4.166666666666667</v>
      </c>
      <c r="G135" s="49">
        <f>G133*G114</f>
        <v>24</v>
      </c>
      <c r="H135" s="49">
        <f>H133*H114</f>
        <v>96</v>
      </c>
      <c r="I135" s="49"/>
      <c r="J135" s="49"/>
      <c r="K135" s="49"/>
      <c r="L135" s="49"/>
      <c r="M135" s="66"/>
      <c r="N135" s="49"/>
      <c r="O135" s="49"/>
      <c r="P135" s="49"/>
      <c r="Q135" s="49">
        <f t="shared" ref="Q135:AD135" si="73">Q133*Q114</f>
        <v>0</v>
      </c>
      <c r="R135" s="49">
        <f t="shared" si="73"/>
        <v>0</v>
      </c>
      <c r="S135" s="49">
        <f t="shared" si="73"/>
        <v>0</v>
      </c>
      <c r="T135" s="49">
        <f t="shared" si="73"/>
        <v>0</v>
      </c>
      <c r="U135" s="49">
        <f t="shared" si="73"/>
        <v>0</v>
      </c>
      <c r="V135" s="49">
        <f t="shared" si="73"/>
        <v>0</v>
      </c>
      <c r="W135" s="49">
        <f t="shared" si="73"/>
        <v>0</v>
      </c>
      <c r="X135" s="49">
        <f t="shared" si="73"/>
        <v>0</v>
      </c>
      <c r="Y135" s="49">
        <f t="shared" si="73"/>
        <v>0</v>
      </c>
      <c r="Z135" s="49">
        <f t="shared" si="73"/>
        <v>0</v>
      </c>
      <c r="AA135" s="49">
        <f t="shared" si="73"/>
        <v>0</v>
      </c>
      <c r="AB135" s="49">
        <f t="shared" si="73"/>
        <v>0</v>
      </c>
      <c r="AC135" s="49">
        <f t="shared" si="73"/>
        <v>0</v>
      </c>
      <c r="AD135" s="49">
        <f t="shared" si="73"/>
        <v>0</v>
      </c>
      <c r="AE135" s="1"/>
      <c r="AF135" s="1"/>
    </row>
    <row r="136" spans="1:32" s="12" customFormat="1" x14ac:dyDescent="0.2">
      <c r="A136" s="12" t="s">
        <v>84</v>
      </c>
      <c r="B136" s="73" t="s">
        <v>85</v>
      </c>
      <c r="C136" s="4"/>
      <c r="D136" s="10" t="s">
        <v>201</v>
      </c>
      <c r="E136" s="12" t="s">
        <v>205</v>
      </c>
      <c r="F136" s="49">
        <f t="shared" ref="F136" si="74">F135*F134</f>
        <v>4.166666666666667</v>
      </c>
      <c r="G136" s="49">
        <f>G135*G134</f>
        <v>24</v>
      </c>
      <c r="H136" s="49">
        <f>H135*H134</f>
        <v>96</v>
      </c>
      <c r="I136" s="49"/>
      <c r="J136" s="49"/>
      <c r="K136" s="49"/>
      <c r="L136" s="49"/>
      <c r="M136" s="66"/>
      <c r="N136" s="49"/>
      <c r="O136" s="49"/>
      <c r="P136" s="49"/>
      <c r="Q136" s="49">
        <f t="shared" ref="Q136:AD136" si="75">Q135*Q134</f>
        <v>0</v>
      </c>
      <c r="R136" s="49">
        <f t="shared" si="75"/>
        <v>0</v>
      </c>
      <c r="S136" s="49">
        <f t="shared" si="75"/>
        <v>0</v>
      </c>
      <c r="T136" s="49">
        <f t="shared" si="75"/>
        <v>0</v>
      </c>
      <c r="U136" s="49">
        <f t="shared" si="75"/>
        <v>0</v>
      </c>
      <c r="V136" s="49">
        <f t="shared" si="75"/>
        <v>0</v>
      </c>
      <c r="W136" s="49">
        <f t="shared" si="75"/>
        <v>0</v>
      </c>
      <c r="X136" s="49">
        <f t="shared" si="75"/>
        <v>0</v>
      </c>
      <c r="Y136" s="49">
        <f t="shared" si="75"/>
        <v>0</v>
      </c>
      <c r="Z136" s="49">
        <f t="shared" si="75"/>
        <v>0</v>
      </c>
      <c r="AA136" s="49">
        <f t="shared" si="75"/>
        <v>0</v>
      </c>
      <c r="AB136" s="49">
        <f t="shared" si="75"/>
        <v>0</v>
      </c>
      <c r="AC136" s="49">
        <f t="shared" si="75"/>
        <v>0</v>
      </c>
      <c r="AD136" s="49">
        <f t="shared" si="75"/>
        <v>0</v>
      </c>
      <c r="AE136" s="1"/>
      <c r="AF136" s="1"/>
    </row>
    <row r="137" spans="1:32" x14ac:dyDescent="0.2">
      <c r="A137" s="13" t="s">
        <v>126</v>
      </c>
      <c r="B137" s="75" t="s">
        <v>127</v>
      </c>
      <c r="D137" s="10" t="s">
        <v>201</v>
      </c>
      <c r="E137" s="13" t="s">
        <v>35</v>
      </c>
      <c r="F137" s="112">
        <v>0.98</v>
      </c>
      <c r="G137" s="112">
        <f>Table1[[#This Row],[Clinial Production]]</f>
        <v>0.98</v>
      </c>
      <c r="H137" s="112">
        <f>Table1[[#This Row],[2000L, MCC High cellular productivity]]</f>
        <v>0.98</v>
      </c>
      <c r="I137" s="112"/>
      <c r="J137" s="112"/>
      <c r="K137" s="112"/>
      <c r="L137" s="112"/>
      <c r="M137" s="112"/>
      <c r="N137" s="112"/>
      <c r="O137" s="112"/>
      <c r="P137" s="112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1"/>
      <c r="AF137" s="11"/>
    </row>
    <row r="138" spans="1:32" s="12" customFormat="1" x14ac:dyDescent="0.2">
      <c r="A138" s="12" t="s">
        <v>84</v>
      </c>
      <c r="B138" s="73" t="s">
        <v>85</v>
      </c>
      <c r="C138" s="10"/>
      <c r="D138" s="10" t="s">
        <v>201</v>
      </c>
      <c r="E138" s="13" t="s">
        <v>206</v>
      </c>
      <c r="F138" s="35">
        <f>F136+F135+F114</f>
        <v>50.000000000000007</v>
      </c>
      <c r="G138" s="35">
        <f>G136+G135+G114</f>
        <v>288</v>
      </c>
      <c r="H138" s="35">
        <f>H136+H135+H114</f>
        <v>1152</v>
      </c>
      <c r="I138" s="35"/>
      <c r="J138" s="35"/>
      <c r="K138" s="35"/>
      <c r="L138" s="35"/>
      <c r="M138" s="56"/>
      <c r="N138" s="35"/>
      <c r="O138" s="35"/>
      <c r="P138" s="35"/>
      <c r="Q138" s="35">
        <f t="shared" ref="Q138:AD138" si="76">Q136+Q135+Q114</f>
        <v>0</v>
      </c>
      <c r="R138" s="35">
        <f t="shared" si="76"/>
        <v>0</v>
      </c>
      <c r="S138" s="35">
        <f t="shared" si="76"/>
        <v>0</v>
      </c>
      <c r="T138" s="35">
        <f t="shared" si="76"/>
        <v>0</v>
      </c>
      <c r="U138" s="35">
        <f t="shared" si="76"/>
        <v>0</v>
      </c>
      <c r="V138" s="35">
        <f t="shared" si="76"/>
        <v>0</v>
      </c>
      <c r="W138" s="35">
        <f t="shared" si="76"/>
        <v>0</v>
      </c>
      <c r="X138" s="35">
        <f t="shared" si="76"/>
        <v>0</v>
      </c>
      <c r="Y138" s="35">
        <f t="shared" si="76"/>
        <v>0</v>
      </c>
      <c r="Z138" s="35">
        <f t="shared" si="76"/>
        <v>0</v>
      </c>
      <c r="AA138" s="35">
        <f t="shared" si="76"/>
        <v>0</v>
      </c>
      <c r="AB138" s="35">
        <f t="shared" si="76"/>
        <v>0</v>
      </c>
      <c r="AC138" s="35">
        <f t="shared" si="76"/>
        <v>0</v>
      </c>
      <c r="AD138" s="35">
        <f t="shared" si="76"/>
        <v>0</v>
      </c>
      <c r="AE138" s="1"/>
      <c r="AF138" s="1"/>
    </row>
    <row r="139" spans="1:32" s="12" customFormat="1" x14ac:dyDescent="0.2">
      <c r="A139" s="12" t="s">
        <v>84</v>
      </c>
      <c r="B139" s="75" t="s">
        <v>127</v>
      </c>
      <c r="C139" s="10"/>
      <c r="D139" s="10" t="s">
        <v>201</v>
      </c>
      <c r="E139" s="13" t="s">
        <v>207</v>
      </c>
      <c r="F139" s="80">
        <f t="shared" ref="F139" si="77">F138*1.2</f>
        <v>60.000000000000007</v>
      </c>
      <c r="G139" s="80">
        <f>G138*1.2</f>
        <v>345.59999999999997</v>
      </c>
      <c r="H139" s="80">
        <f>H138*1.2</f>
        <v>1382.3999999999999</v>
      </c>
      <c r="I139" s="80"/>
      <c r="J139" s="80"/>
      <c r="K139" s="80"/>
      <c r="L139" s="80"/>
      <c r="M139" s="81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1"/>
      <c r="AF139" s="1"/>
    </row>
    <row r="140" spans="1:32" s="12" customFormat="1" x14ac:dyDescent="0.2">
      <c r="A140" s="12" t="s">
        <v>84</v>
      </c>
      <c r="B140" s="73" t="s">
        <v>85</v>
      </c>
      <c r="C140" s="10"/>
      <c r="D140" s="10" t="s">
        <v>201</v>
      </c>
      <c r="E140" s="13" t="s">
        <v>208</v>
      </c>
      <c r="F140" s="35">
        <f>F137*F110</f>
        <v>418.95</v>
      </c>
      <c r="G140" s="35">
        <f>G137*G110</f>
        <v>8043.84</v>
      </c>
      <c r="H140" s="35">
        <f>H137*H110</f>
        <v>32175.360000000001</v>
      </c>
      <c r="I140" s="35"/>
      <c r="J140" s="35"/>
      <c r="K140" s="35"/>
      <c r="L140" s="35"/>
      <c r="M140" s="56"/>
      <c r="N140" s="35"/>
      <c r="O140" s="35"/>
      <c r="P140" s="35"/>
      <c r="Q140" s="35">
        <f t="shared" ref="Q140:AD140" si="78">Q137*Q110</f>
        <v>0</v>
      </c>
      <c r="R140" s="35">
        <f t="shared" si="78"/>
        <v>0</v>
      </c>
      <c r="S140" s="35">
        <f t="shared" si="78"/>
        <v>0</v>
      </c>
      <c r="T140" s="35">
        <f t="shared" si="78"/>
        <v>0</v>
      </c>
      <c r="U140" s="35">
        <f t="shared" si="78"/>
        <v>0</v>
      </c>
      <c r="V140" s="35">
        <f t="shared" si="78"/>
        <v>0</v>
      </c>
      <c r="W140" s="35">
        <f t="shared" si="78"/>
        <v>0</v>
      </c>
      <c r="X140" s="35">
        <f t="shared" si="78"/>
        <v>0</v>
      </c>
      <c r="Y140" s="35">
        <f t="shared" si="78"/>
        <v>0</v>
      </c>
      <c r="Z140" s="35">
        <f t="shared" si="78"/>
        <v>0</v>
      </c>
      <c r="AA140" s="35">
        <f t="shared" si="78"/>
        <v>0</v>
      </c>
      <c r="AB140" s="35">
        <f t="shared" si="78"/>
        <v>0</v>
      </c>
      <c r="AC140" s="35">
        <f t="shared" si="78"/>
        <v>0</v>
      </c>
      <c r="AD140" s="35">
        <f t="shared" si="78"/>
        <v>0</v>
      </c>
      <c r="AE140" s="1"/>
      <c r="AF140" s="1"/>
    </row>
    <row r="141" spans="1:32" s="12" customFormat="1" x14ac:dyDescent="0.2">
      <c r="A141" s="12" t="s">
        <v>84</v>
      </c>
      <c r="B141" s="73" t="s">
        <v>85</v>
      </c>
      <c r="C141" s="10"/>
      <c r="D141" s="10" t="s">
        <v>201</v>
      </c>
      <c r="E141" s="13" t="s">
        <v>209</v>
      </c>
      <c r="F141" s="45">
        <f>F133*F118</f>
        <v>83.333333333333357</v>
      </c>
      <c r="G141" s="45">
        <f>G133*G118</f>
        <v>480</v>
      </c>
      <c r="H141" s="45">
        <f>H133*H118</f>
        <v>1920</v>
      </c>
      <c r="I141" s="45"/>
      <c r="J141" s="45"/>
      <c r="K141" s="45"/>
      <c r="L141" s="45"/>
      <c r="M141" s="58"/>
      <c r="N141" s="45"/>
      <c r="O141" s="45"/>
      <c r="P141" s="45"/>
      <c r="Q141" s="45">
        <f t="shared" ref="Q141:AD141" si="79">Q133*Q118</f>
        <v>0</v>
      </c>
      <c r="R141" s="45">
        <f t="shared" si="79"/>
        <v>0</v>
      </c>
      <c r="S141" s="45">
        <f t="shared" si="79"/>
        <v>0</v>
      </c>
      <c r="T141" s="45">
        <f t="shared" si="79"/>
        <v>0</v>
      </c>
      <c r="U141" s="45">
        <f t="shared" si="79"/>
        <v>0</v>
      </c>
      <c r="V141" s="45">
        <f t="shared" si="79"/>
        <v>0</v>
      </c>
      <c r="W141" s="45">
        <f t="shared" si="79"/>
        <v>0</v>
      </c>
      <c r="X141" s="45">
        <f t="shared" si="79"/>
        <v>0</v>
      </c>
      <c r="Y141" s="45">
        <f t="shared" si="79"/>
        <v>0</v>
      </c>
      <c r="Z141" s="45">
        <f t="shared" si="79"/>
        <v>0</v>
      </c>
      <c r="AA141" s="45">
        <f t="shared" si="79"/>
        <v>0</v>
      </c>
      <c r="AB141" s="45">
        <f t="shared" si="79"/>
        <v>0</v>
      </c>
      <c r="AC141" s="45">
        <f t="shared" si="79"/>
        <v>0</v>
      </c>
      <c r="AD141" s="45">
        <f t="shared" si="79"/>
        <v>0</v>
      </c>
      <c r="AE141" s="1"/>
      <c r="AF141" s="1"/>
    </row>
    <row r="142" spans="1:32" s="12" customFormat="1" x14ac:dyDescent="0.2">
      <c r="A142" s="12" t="s">
        <v>84</v>
      </c>
      <c r="B142" s="73" t="s">
        <v>85</v>
      </c>
      <c r="C142" s="10"/>
      <c r="D142" s="10" t="s">
        <v>201</v>
      </c>
      <c r="E142" s="13" t="s">
        <v>210</v>
      </c>
      <c r="F142" s="45">
        <f t="shared" ref="F142:AD142" si="80">F134*F141</f>
        <v>83.333333333333357</v>
      </c>
      <c r="G142" s="45">
        <f t="shared" si="80"/>
        <v>480</v>
      </c>
      <c r="H142" s="45">
        <f t="shared" si="80"/>
        <v>1920</v>
      </c>
      <c r="I142" s="45"/>
      <c r="J142" s="45"/>
      <c r="K142" s="45"/>
      <c r="L142" s="45"/>
      <c r="M142" s="58"/>
      <c r="N142" s="45"/>
      <c r="O142" s="45"/>
      <c r="P142" s="45"/>
      <c r="Q142" s="45">
        <f t="shared" si="80"/>
        <v>0</v>
      </c>
      <c r="R142" s="45">
        <f t="shared" si="80"/>
        <v>0</v>
      </c>
      <c r="S142" s="45">
        <f t="shared" si="80"/>
        <v>0</v>
      </c>
      <c r="T142" s="45">
        <f t="shared" si="80"/>
        <v>0</v>
      </c>
      <c r="U142" s="45">
        <f t="shared" si="80"/>
        <v>0</v>
      </c>
      <c r="V142" s="45">
        <f t="shared" si="80"/>
        <v>0</v>
      </c>
      <c r="W142" s="45">
        <f t="shared" si="80"/>
        <v>0</v>
      </c>
      <c r="X142" s="45">
        <f t="shared" si="80"/>
        <v>0</v>
      </c>
      <c r="Y142" s="45">
        <f t="shared" si="80"/>
        <v>0</v>
      </c>
      <c r="Z142" s="45">
        <f t="shared" si="80"/>
        <v>0</v>
      </c>
      <c r="AA142" s="45">
        <f t="shared" si="80"/>
        <v>0</v>
      </c>
      <c r="AB142" s="45">
        <f t="shared" si="80"/>
        <v>0</v>
      </c>
      <c r="AC142" s="45">
        <f t="shared" si="80"/>
        <v>0</v>
      </c>
      <c r="AD142" s="45">
        <f t="shared" si="80"/>
        <v>0</v>
      </c>
      <c r="AE142" s="1"/>
      <c r="AF142" s="1"/>
    </row>
    <row r="143" spans="1:32" x14ac:dyDescent="0.2">
      <c r="A143" s="12" t="s">
        <v>84</v>
      </c>
      <c r="B143" s="73" t="s">
        <v>85</v>
      </c>
      <c r="D143" s="10" t="s">
        <v>201</v>
      </c>
      <c r="E143" s="13" t="s">
        <v>211</v>
      </c>
      <c r="F143" s="35">
        <f>F118+F141+F142</f>
        <v>1000.0000000000002</v>
      </c>
      <c r="G143" s="35">
        <f>G118+G141+G142</f>
        <v>5760</v>
      </c>
      <c r="H143" s="35">
        <f>H118+H141+H142</f>
        <v>23040</v>
      </c>
      <c r="I143" s="35"/>
      <c r="J143" s="35"/>
      <c r="K143" s="35"/>
      <c r="L143" s="35"/>
      <c r="M143" s="56"/>
      <c r="N143" s="35"/>
      <c r="O143" s="35"/>
      <c r="P143" s="35"/>
      <c r="Q143" s="35">
        <f t="shared" ref="Q143:AD143" si="81">Q118+Q141+Q142</f>
        <v>0</v>
      </c>
      <c r="R143" s="35">
        <f t="shared" si="81"/>
        <v>0</v>
      </c>
      <c r="S143" s="35">
        <f t="shared" si="81"/>
        <v>0</v>
      </c>
      <c r="T143" s="35">
        <f t="shared" si="81"/>
        <v>0</v>
      </c>
      <c r="U143" s="35">
        <f t="shared" si="81"/>
        <v>0</v>
      </c>
      <c r="V143" s="35">
        <f t="shared" si="81"/>
        <v>0</v>
      </c>
      <c r="W143" s="35">
        <f t="shared" si="81"/>
        <v>0</v>
      </c>
      <c r="X143" s="35">
        <f t="shared" si="81"/>
        <v>0</v>
      </c>
      <c r="Y143" s="35">
        <f t="shared" si="81"/>
        <v>0</v>
      </c>
      <c r="Z143" s="35">
        <f t="shared" si="81"/>
        <v>0</v>
      </c>
      <c r="AA143" s="35">
        <f t="shared" si="81"/>
        <v>0</v>
      </c>
      <c r="AB143" s="35">
        <f t="shared" si="81"/>
        <v>0</v>
      </c>
      <c r="AC143" s="35">
        <f t="shared" si="81"/>
        <v>0</v>
      </c>
      <c r="AD143" s="35">
        <f t="shared" si="81"/>
        <v>0</v>
      </c>
      <c r="AE143" s="11"/>
      <c r="AF143" s="11"/>
    </row>
    <row r="144" spans="1:32" x14ac:dyDescent="0.2">
      <c r="A144" s="12" t="s">
        <v>84</v>
      </c>
      <c r="B144" s="73" t="s">
        <v>85</v>
      </c>
      <c r="D144" s="10" t="s">
        <v>201</v>
      </c>
      <c r="E144" s="13" t="s">
        <v>424</v>
      </c>
      <c r="F144" s="35">
        <f>F116*F137</f>
        <v>8379</v>
      </c>
      <c r="G144" s="35">
        <f>G116*G137</f>
        <v>160876.79999999999</v>
      </c>
      <c r="H144" s="35">
        <f>H116*H137</f>
        <v>643507.19999999995</v>
      </c>
      <c r="I144" s="35"/>
      <c r="J144" s="35"/>
      <c r="K144" s="35"/>
      <c r="L144" s="35"/>
      <c r="M144" s="56"/>
      <c r="N144" s="35"/>
      <c r="O144" s="35"/>
      <c r="P144" s="35"/>
      <c r="Q144" s="35">
        <f t="shared" ref="Q144:AD144" si="82">Q116*Q137</f>
        <v>0</v>
      </c>
      <c r="R144" s="35">
        <f t="shared" si="82"/>
        <v>0</v>
      </c>
      <c r="S144" s="35">
        <f t="shared" si="82"/>
        <v>0</v>
      </c>
      <c r="T144" s="35">
        <f t="shared" si="82"/>
        <v>0</v>
      </c>
      <c r="U144" s="35">
        <f t="shared" si="82"/>
        <v>0</v>
      </c>
      <c r="V144" s="35">
        <f t="shared" si="82"/>
        <v>0</v>
      </c>
      <c r="W144" s="35">
        <f t="shared" si="82"/>
        <v>0</v>
      </c>
      <c r="X144" s="35">
        <f t="shared" si="82"/>
        <v>0</v>
      </c>
      <c r="Y144" s="35">
        <f t="shared" si="82"/>
        <v>0</v>
      </c>
      <c r="Z144" s="35">
        <f t="shared" si="82"/>
        <v>0</v>
      </c>
      <c r="AA144" s="35">
        <f t="shared" si="82"/>
        <v>0</v>
      </c>
      <c r="AB144" s="35">
        <f t="shared" si="82"/>
        <v>0</v>
      </c>
      <c r="AC144" s="35">
        <f t="shared" si="82"/>
        <v>0</v>
      </c>
      <c r="AD144" s="35">
        <f t="shared" si="82"/>
        <v>0</v>
      </c>
      <c r="AE144" s="11"/>
      <c r="AF144" s="11"/>
    </row>
    <row r="145" spans="1:32" s="12" customFormat="1" x14ac:dyDescent="0.2">
      <c r="A145" s="12" t="s">
        <v>126</v>
      </c>
      <c r="B145" s="12" t="s">
        <v>127</v>
      </c>
      <c r="C145" s="4"/>
      <c r="D145" s="10" t="s">
        <v>201</v>
      </c>
      <c r="E145" s="12" t="s">
        <v>212</v>
      </c>
      <c r="F145" s="126">
        <v>100</v>
      </c>
      <c r="G145" s="126">
        <v>100</v>
      </c>
      <c r="H145" s="126">
        <v>100</v>
      </c>
      <c r="I145" s="126"/>
      <c r="J145" s="126"/>
      <c r="K145" s="126"/>
      <c r="L145" s="126"/>
      <c r="M145" s="126"/>
      <c r="N145" s="126"/>
      <c r="O145" s="126"/>
      <c r="P145" s="12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1"/>
      <c r="AF145" s="1"/>
    </row>
    <row r="146" spans="1:32" s="12" customFormat="1" x14ac:dyDescent="0.2">
      <c r="A146" s="12" t="s">
        <v>84</v>
      </c>
      <c r="B146" s="12" t="s">
        <v>127</v>
      </c>
      <c r="C146" s="4"/>
      <c r="D146" s="10" t="s">
        <v>201</v>
      </c>
      <c r="E146" s="12" t="s">
        <v>213</v>
      </c>
      <c r="F146" s="126">
        <f>F61</f>
        <v>20</v>
      </c>
      <c r="G146" s="126">
        <f>G61</f>
        <v>20</v>
      </c>
      <c r="H146" s="126">
        <f>H61</f>
        <v>20</v>
      </c>
      <c r="I146" s="126"/>
      <c r="J146" s="126"/>
      <c r="K146" s="126"/>
      <c r="L146" s="126"/>
      <c r="M146" s="126"/>
      <c r="N146" s="126"/>
      <c r="O146" s="126"/>
      <c r="P146" s="12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"/>
      <c r="AF146" s="1"/>
    </row>
    <row r="147" spans="1:32" s="12" customFormat="1" x14ac:dyDescent="0.2">
      <c r="A147" s="12" t="s">
        <v>84</v>
      </c>
      <c r="B147" s="12" t="s">
        <v>127</v>
      </c>
      <c r="C147" s="4"/>
      <c r="D147" s="10" t="s">
        <v>201</v>
      </c>
      <c r="E147" s="12" t="s">
        <v>214</v>
      </c>
      <c r="F147" s="140">
        <f>F143/F145/F146</f>
        <v>0.50000000000000011</v>
      </c>
      <c r="G147" s="140">
        <f t="shared" ref="G147:H147" si="83">G143/G145/G146</f>
        <v>2.88</v>
      </c>
      <c r="H147" s="140">
        <f t="shared" si="83"/>
        <v>11.52</v>
      </c>
      <c r="I147" s="140"/>
      <c r="J147" s="140"/>
      <c r="K147" s="140"/>
      <c r="L147" s="140"/>
      <c r="M147" s="140"/>
      <c r="N147" s="140"/>
      <c r="O147" s="140"/>
      <c r="P147" s="140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"/>
      <c r="AF147" s="1"/>
    </row>
    <row r="148" spans="1:32" ht="26" x14ac:dyDescent="0.3">
      <c r="A148" s="10" t="s">
        <v>57</v>
      </c>
      <c r="B148" s="75" t="s">
        <v>127</v>
      </c>
      <c r="D148" s="13" t="s">
        <v>215</v>
      </c>
      <c r="E148" s="22" t="s">
        <v>216</v>
      </c>
      <c r="F148" s="38"/>
      <c r="G148" s="38"/>
      <c r="H148" s="38"/>
      <c r="I148" s="38"/>
      <c r="J148" s="38"/>
      <c r="K148" s="38"/>
      <c r="L148" s="38"/>
      <c r="M148" s="54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11"/>
      <c r="AF148" s="11"/>
    </row>
    <row r="149" spans="1:32" x14ac:dyDescent="0.2">
      <c r="A149" s="13" t="s">
        <v>126</v>
      </c>
      <c r="B149" s="60" t="s">
        <v>85</v>
      </c>
      <c r="C149" s="13"/>
      <c r="D149" s="13" t="s">
        <v>215</v>
      </c>
      <c r="E149" s="13" t="s">
        <v>23</v>
      </c>
      <c r="F149" s="38">
        <v>300</v>
      </c>
      <c r="G149" s="38">
        <v>300</v>
      </c>
      <c r="H149" s="38">
        <v>300</v>
      </c>
      <c r="I149" s="38"/>
      <c r="J149" s="38"/>
      <c r="K149" s="38"/>
      <c r="L149" s="38"/>
      <c r="M149" s="54"/>
      <c r="N149" s="38"/>
      <c r="O149" s="38"/>
      <c r="P149" s="38"/>
      <c r="Q149" s="38">
        <v>300</v>
      </c>
      <c r="R149" s="38">
        <v>300</v>
      </c>
      <c r="S149" s="38">
        <v>300</v>
      </c>
      <c r="T149" s="38">
        <v>300</v>
      </c>
      <c r="U149" s="38">
        <v>300</v>
      </c>
      <c r="V149" s="38">
        <v>300</v>
      </c>
      <c r="W149" s="38">
        <v>300</v>
      </c>
      <c r="X149" s="38">
        <v>300</v>
      </c>
      <c r="Y149" s="38">
        <v>300</v>
      </c>
      <c r="Z149" s="38">
        <v>300</v>
      </c>
      <c r="AA149" s="38">
        <v>300</v>
      </c>
      <c r="AB149" s="38">
        <v>300</v>
      </c>
      <c r="AC149" s="38">
        <v>300</v>
      </c>
      <c r="AD149" s="38">
        <v>300</v>
      </c>
      <c r="AE149" s="11"/>
      <c r="AF149" s="11"/>
    </row>
    <row r="150" spans="1:32" x14ac:dyDescent="0.2">
      <c r="A150" s="13" t="s">
        <v>126</v>
      </c>
      <c r="B150" s="75" t="s">
        <v>127</v>
      </c>
      <c r="D150" s="13" t="s">
        <v>215</v>
      </c>
      <c r="E150" s="13" t="s">
        <v>24</v>
      </c>
      <c r="F150" s="104">
        <v>20</v>
      </c>
      <c r="G150" s="104">
        <v>10</v>
      </c>
      <c r="H150" s="104">
        <v>10</v>
      </c>
      <c r="I150" s="104"/>
      <c r="J150" s="104"/>
      <c r="K150" s="104"/>
      <c r="L150" s="104"/>
      <c r="M150" s="105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1"/>
      <c r="AF150" s="11"/>
    </row>
    <row r="151" spans="1:32" x14ac:dyDescent="0.2">
      <c r="A151" s="13" t="s">
        <v>126</v>
      </c>
      <c r="B151" s="75" t="s">
        <v>127</v>
      </c>
      <c r="D151" s="13" t="s">
        <v>215</v>
      </c>
      <c r="E151" s="13" t="s">
        <v>30</v>
      </c>
      <c r="F151" s="104">
        <v>100</v>
      </c>
      <c r="G151" s="104">
        <v>120</v>
      </c>
      <c r="H151" s="104">
        <v>120</v>
      </c>
      <c r="I151" s="104"/>
      <c r="J151" s="104"/>
      <c r="K151" s="104"/>
      <c r="L151" s="104"/>
      <c r="M151" s="105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1"/>
      <c r="AF151" s="11"/>
    </row>
    <row r="152" spans="1:32" s="12" customFormat="1" x14ac:dyDescent="0.2">
      <c r="A152" s="12" t="s">
        <v>84</v>
      </c>
      <c r="B152" s="75" t="s">
        <v>127</v>
      </c>
      <c r="C152" s="4" t="s">
        <v>186</v>
      </c>
      <c r="D152" s="13" t="s">
        <v>215</v>
      </c>
      <c r="E152" s="12" t="s">
        <v>171</v>
      </c>
      <c r="F152" s="108">
        <f>F140/F151/F157</f>
        <v>4.1894999999999998</v>
      </c>
      <c r="G152" s="108">
        <f>G140/G151/G157</f>
        <v>3.7239999999999998</v>
      </c>
      <c r="H152" s="108">
        <f>H140/H151/H157</f>
        <v>13.4064</v>
      </c>
      <c r="I152" s="108"/>
      <c r="J152" s="108"/>
      <c r="K152" s="108"/>
      <c r="L152" s="131"/>
      <c r="M152" s="109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"/>
      <c r="AF152" s="1"/>
    </row>
    <row r="153" spans="1:32" x14ac:dyDescent="0.2">
      <c r="A153" s="13" t="s">
        <v>126</v>
      </c>
      <c r="B153" s="75" t="s">
        <v>127</v>
      </c>
      <c r="D153" s="13" t="s">
        <v>215</v>
      </c>
      <c r="E153" s="13" t="s">
        <v>26</v>
      </c>
      <c r="F153" s="104">
        <v>2</v>
      </c>
      <c r="G153" s="104">
        <v>2</v>
      </c>
      <c r="H153" s="104">
        <v>2</v>
      </c>
      <c r="I153" s="104"/>
      <c r="J153" s="104"/>
      <c r="K153" s="104"/>
      <c r="L153" s="104"/>
      <c r="M153" s="105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1"/>
      <c r="AF153" s="11"/>
    </row>
    <row r="154" spans="1:32" s="12" customFormat="1" x14ac:dyDescent="0.2">
      <c r="A154" s="12" t="s">
        <v>84</v>
      </c>
      <c r="B154" s="74" t="s">
        <v>85</v>
      </c>
      <c r="C154" s="4"/>
      <c r="D154" s="13" t="s">
        <v>215</v>
      </c>
      <c r="E154" s="12" t="s">
        <v>217</v>
      </c>
      <c r="F154" s="45">
        <f t="shared" ref="F154" si="84">SQRT(F152/F150*1000)/PI()*2</f>
        <v>9.2139578778022866</v>
      </c>
      <c r="G154" s="45">
        <f>SQRT(G152/G150*1000)/PI()*2</f>
        <v>12.285277170403049</v>
      </c>
      <c r="H154" s="45">
        <f>SQRT(H152/H150*1000)/PI()*2</f>
        <v>23.309674526965299</v>
      </c>
      <c r="I154" s="45"/>
      <c r="J154" s="45"/>
      <c r="K154" s="45"/>
      <c r="L154" s="45"/>
      <c r="M154" s="58"/>
      <c r="N154" s="45"/>
      <c r="O154" s="45"/>
      <c r="P154" s="45"/>
      <c r="Q154" s="45" t="e">
        <f t="shared" ref="Q154:AD154" si="85">SQRT(Q152/Q150*1000)/PI()*2</f>
        <v>#DIV/0!</v>
      </c>
      <c r="R154" s="45" t="e">
        <f t="shared" si="85"/>
        <v>#DIV/0!</v>
      </c>
      <c r="S154" s="45" t="e">
        <f t="shared" si="85"/>
        <v>#DIV/0!</v>
      </c>
      <c r="T154" s="45" t="e">
        <f t="shared" si="85"/>
        <v>#DIV/0!</v>
      </c>
      <c r="U154" s="45" t="e">
        <f t="shared" si="85"/>
        <v>#DIV/0!</v>
      </c>
      <c r="V154" s="45" t="e">
        <f t="shared" si="85"/>
        <v>#DIV/0!</v>
      </c>
      <c r="W154" s="45" t="e">
        <f t="shared" si="85"/>
        <v>#DIV/0!</v>
      </c>
      <c r="X154" s="45" t="e">
        <f t="shared" si="85"/>
        <v>#DIV/0!</v>
      </c>
      <c r="Y154" s="45" t="e">
        <f t="shared" si="85"/>
        <v>#DIV/0!</v>
      </c>
      <c r="Z154" s="45" t="e">
        <f t="shared" si="85"/>
        <v>#DIV/0!</v>
      </c>
      <c r="AA154" s="45" t="e">
        <f t="shared" si="85"/>
        <v>#DIV/0!</v>
      </c>
      <c r="AB154" s="45" t="e">
        <f t="shared" si="85"/>
        <v>#DIV/0!</v>
      </c>
      <c r="AC154" s="45" t="e">
        <f t="shared" si="85"/>
        <v>#DIV/0!</v>
      </c>
      <c r="AD154" s="45" t="e">
        <f t="shared" si="85"/>
        <v>#DIV/0!</v>
      </c>
      <c r="AE154" s="1"/>
      <c r="AF154" s="1"/>
    </row>
    <row r="155" spans="1:32" s="12" customFormat="1" x14ac:dyDescent="0.2">
      <c r="A155" s="12" t="s">
        <v>84</v>
      </c>
      <c r="B155" s="74" t="s">
        <v>85</v>
      </c>
      <c r="C155" s="4"/>
      <c r="D155" s="13" t="s">
        <v>215</v>
      </c>
      <c r="E155" s="12" t="s">
        <v>173</v>
      </c>
      <c r="F155" s="41">
        <f t="shared" ref="F155" si="86">F152*F151</f>
        <v>418.95</v>
      </c>
      <c r="G155" s="41">
        <f>G152*G151</f>
        <v>446.88</v>
      </c>
      <c r="H155" s="41">
        <f>H152*H151</f>
        <v>1608.768</v>
      </c>
      <c r="I155" s="41"/>
      <c r="J155" s="41"/>
      <c r="K155" s="41"/>
      <c r="L155" s="42"/>
      <c r="M155" s="62"/>
      <c r="N155" s="41"/>
      <c r="O155" s="41"/>
      <c r="P155" s="41"/>
      <c r="Q155" s="41">
        <f t="shared" ref="Q155:AD155" si="87">Q152*Q151</f>
        <v>0</v>
      </c>
      <c r="R155" s="41">
        <f t="shared" si="87"/>
        <v>0</v>
      </c>
      <c r="S155" s="41">
        <f t="shared" si="87"/>
        <v>0</v>
      </c>
      <c r="T155" s="41">
        <f t="shared" si="87"/>
        <v>0</v>
      </c>
      <c r="U155" s="41">
        <f t="shared" si="87"/>
        <v>0</v>
      </c>
      <c r="V155" s="41">
        <f t="shared" si="87"/>
        <v>0</v>
      </c>
      <c r="W155" s="41">
        <f t="shared" si="87"/>
        <v>0</v>
      </c>
      <c r="X155" s="41">
        <f t="shared" si="87"/>
        <v>0</v>
      </c>
      <c r="Y155" s="41">
        <f t="shared" si="87"/>
        <v>0</v>
      </c>
      <c r="Z155" s="41">
        <f t="shared" si="87"/>
        <v>0</v>
      </c>
      <c r="AA155" s="41">
        <f t="shared" si="87"/>
        <v>0</v>
      </c>
      <c r="AB155" s="41">
        <f t="shared" si="87"/>
        <v>0</v>
      </c>
      <c r="AC155" s="41">
        <f t="shared" si="87"/>
        <v>0</v>
      </c>
      <c r="AD155" s="41">
        <f t="shared" si="87"/>
        <v>0</v>
      </c>
      <c r="AE155" s="1"/>
      <c r="AF155" s="1"/>
    </row>
    <row r="156" spans="1:32" s="12" customFormat="1" x14ac:dyDescent="0.2">
      <c r="A156" s="12" t="s">
        <v>84</v>
      </c>
      <c r="B156" s="73" t="s">
        <v>85</v>
      </c>
      <c r="C156" s="4"/>
      <c r="D156" s="13" t="s">
        <v>215</v>
      </c>
      <c r="E156" s="12" t="s">
        <v>174</v>
      </c>
      <c r="F156" s="50">
        <f>(F140/F157)/F155</f>
        <v>1</v>
      </c>
      <c r="G156" s="50">
        <f>(G140/G157)/G155</f>
        <v>1</v>
      </c>
      <c r="H156" s="50">
        <f>(H140/H157)/H155</f>
        <v>1</v>
      </c>
      <c r="I156" s="50"/>
      <c r="J156" s="50"/>
      <c r="K156" s="50"/>
      <c r="L156" s="50"/>
      <c r="M156" s="67"/>
      <c r="N156" s="50"/>
      <c r="O156" s="50"/>
      <c r="P156" s="50"/>
      <c r="Q156" s="50" t="e">
        <f t="shared" ref="Q156:AD156" si="88">(Q140/Q157)/Q155</f>
        <v>#DIV/0!</v>
      </c>
      <c r="R156" s="50" t="e">
        <f t="shared" si="88"/>
        <v>#DIV/0!</v>
      </c>
      <c r="S156" s="50" t="e">
        <f t="shared" si="88"/>
        <v>#DIV/0!</v>
      </c>
      <c r="T156" s="50" t="e">
        <f t="shared" si="88"/>
        <v>#DIV/0!</v>
      </c>
      <c r="U156" s="50" t="e">
        <f t="shared" si="88"/>
        <v>#DIV/0!</v>
      </c>
      <c r="V156" s="50" t="e">
        <f t="shared" si="88"/>
        <v>#DIV/0!</v>
      </c>
      <c r="W156" s="50" t="e">
        <f t="shared" si="88"/>
        <v>#DIV/0!</v>
      </c>
      <c r="X156" s="50" t="e">
        <f t="shared" si="88"/>
        <v>#DIV/0!</v>
      </c>
      <c r="Y156" s="50" t="e">
        <f t="shared" si="88"/>
        <v>#DIV/0!</v>
      </c>
      <c r="Z156" s="50" t="e">
        <f t="shared" si="88"/>
        <v>#DIV/0!</v>
      </c>
      <c r="AA156" s="50" t="e">
        <f t="shared" si="88"/>
        <v>#DIV/0!</v>
      </c>
      <c r="AB156" s="50" t="e">
        <f t="shared" si="88"/>
        <v>#DIV/0!</v>
      </c>
      <c r="AC156" s="50" t="e">
        <f t="shared" si="88"/>
        <v>#DIV/0!</v>
      </c>
      <c r="AD156" s="50" t="e">
        <f t="shared" si="88"/>
        <v>#DIV/0!</v>
      </c>
      <c r="AE156" s="1"/>
      <c r="AF156" s="1"/>
    </row>
    <row r="157" spans="1:32" x14ac:dyDescent="0.2">
      <c r="A157" s="13" t="s">
        <v>126</v>
      </c>
      <c r="B157" s="75" t="s">
        <v>127</v>
      </c>
      <c r="D157" s="13" t="s">
        <v>215</v>
      </c>
      <c r="E157" s="13" t="s">
        <v>218</v>
      </c>
      <c r="F157" s="104">
        <v>1</v>
      </c>
      <c r="G157" s="104">
        <v>18</v>
      </c>
      <c r="H157" s="104">
        <v>20</v>
      </c>
      <c r="I157" s="104"/>
      <c r="J157" s="104"/>
      <c r="K157" s="104"/>
      <c r="L157" s="121"/>
      <c r="M157" s="105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1"/>
      <c r="AF157" s="11"/>
    </row>
    <row r="158" spans="1:32" s="12" customFormat="1" x14ac:dyDescent="0.2">
      <c r="A158" s="12" t="s">
        <v>84</v>
      </c>
      <c r="B158" s="73" t="s">
        <v>85</v>
      </c>
      <c r="C158" s="10" t="s">
        <v>219</v>
      </c>
      <c r="D158" s="13" t="s">
        <v>215</v>
      </c>
      <c r="E158" s="12" t="s">
        <v>220</v>
      </c>
      <c r="F158" s="38">
        <f>(F150/F$149)*60</f>
        <v>4</v>
      </c>
      <c r="G158" s="38">
        <f t="shared" ref="G158:H158" si="89">(G150/G$149)*60</f>
        <v>2</v>
      </c>
      <c r="H158" s="38">
        <f t="shared" si="89"/>
        <v>2</v>
      </c>
      <c r="I158" s="38"/>
      <c r="J158" s="38"/>
      <c r="K158" s="38"/>
      <c r="L158" s="38"/>
      <c r="M158" s="54"/>
      <c r="N158" s="38"/>
      <c r="O158" s="38"/>
      <c r="P158" s="38"/>
      <c r="Q158" s="38" t="e">
        <f t="shared" ref="Q158:AD158" si="90">(Q150/$I$149)*60</f>
        <v>#DIV/0!</v>
      </c>
      <c r="R158" s="38" t="e">
        <f t="shared" si="90"/>
        <v>#DIV/0!</v>
      </c>
      <c r="S158" s="38" t="e">
        <f t="shared" si="90"/>
        <v>#DIV/0!</v>
      </c>
      <c r="T158" s="38" t="e">
        <f t="shared" si="90"/>
        <v>#DIV/0!</v>
      </c>
      <c r="U158" s="38" t="e">
        <f t="shared" si="90"/>
        <v>#DIV/0!</v>
      </c>
      <c r="V158" s="38" t="e">
        <f t="shared" si="90"/>
        <v>#DIV/0!</v>
      </c>
      <c r="W158" s="38" t="e">
        <f t="shared" si="90"/>
        <v>#DIV/0!</v>
      </c>
      <c r="X158" s="38" t="e">
        <f t="shared" si="90"/>
        <v>#DIV/0!</v>
      </c>
      <c r="Y158" s="38" t="e">
        <f t="shared" si="90"/>
        <v>#DIV/0!</v>
      </c>
      <c r="Z158" s="38" t="e">
        <f t="shared" si="90"/>
        <v>#DIV/0!</v>
      </c>
      <c r="AA158" s="38" t="e">
        <f t="shared" si="90"/>
        <v>#DIV/0!</v>
      </c>
      <c r="AB158" s="38" t="e">
        <f t="shared" si="90"/>
        <v>#DIV/0!</v>
      </c>
      <c r="AC158" s="38" t="e">
        <f t="shared" si="90"/>
        <v>#DIV/0!</v>
      </c>
      <c r="AD158" s="38" t="e">
        <f t="shared" si="90"/>
        <v>#DIV/0!</v>
      </c>
      <c r="AE158" s="1"/>
      <c r="AF158" s="1"/>
    </row>
    <row r="159" spans="1:32" s="12" customFormat="1" x14ac:dyDescent="0.2">
      <c r="A159" s="12" t="s">
        <v>84</v>
      </c>
      <c r="B159" s="73" t="s">
        <v>85</v>
      </c>
      <c r="C159" s="4" t="s">
        <v>219</v>
      </c>
      <c r="D159" s="13" t="s">
        <v>215</v>
      </c>
      <c r="E159" s="12" t="s">
        <v>221</v>
      </c>
      <c r="F159" s="42">
        <f>(F138/F157)*(F158/F152)</f>
        <v>47.738393603055272</v>
      </c>
      <c r="G159" s="42">
        <f>(G138/G157)*(G158/G152)</f>
        <v>8.5929108485499466</v>
      </c>
      <c r="H159" s="42">
        <f>(H138/H157)*(H158/H152)</f>
        <v>8.5929108485499466</v>
      </c>
      <c r="I159" s="42"/>
      <c r="J159" s="42"/>
      <c r="K159" s="42"/>
      <c r="L159" s="42"/>
      <c r="M159" s="63"/>
      <c r="N159" s="42"/>
      <c r="O159" s="42"/>
      <c r="P159" s="42"/>
      <c r="Q159" s="42" t="e">
        <f t="shared" ref="Q159:AD159" si="91">(Q138/Q157)*(Q158/Q152)</f>
        <v>#DIV/0!</v>
      </c>
      <c r="R159" s="42" t="e">
        <f t="shared" si="91"/>
        <v>#DIV/0!</v>
      </c>
      <c r="S159" s="42" t="e">
        <f t="shared" si="91"/>
        <v>#DIV/0!</v>
      </c>
      <c r="T159" s="42" t="e">
        <f t="shared" si="91"/>
        <v>#DIV/0!</v>
      </c>
      <c r="U159" s="42" t="e">
        <f t="shared" si="91"/>
        <v>#DIV/0!</v>
      </c>
      <c r="V159" s="42" t="e">
        <f t="shared" si="91"/>
        <v>#DIV/0!</v>
      </c>
      <c r="W159" s="42" t="e">
        <f t="shared" si="91"/>
        <v>#DIV/0!</v>
      </c>
      <c r="X159" s="42" t="e">
        <f t="shared" si="91"/>
        <v>#DIV/0!</v>
      </c>
      <c r="Y159" s="42" t="e">
        <f t="shared" si="91"/>
        <v>#DIV/0!</v>
      </c>
      <c r="Z159" s="42" t="e">
        <f t="shared" si="91"/>
        <v>#DIV/0!</v>
      </c>
      <c r="AA159" s="42" t="e">
        <f t="shared" si="91"/>
        <v>#DIV/0!</v>
      </c>
      <c r="AB159" s="42" t="e">
        <f t="shared" si="91"/>
        <v>#DIV/0!</v>
      </c>
      <c r="AC159" s="42" t="e">
        <f t="shared" si="91"/>
        <v>#DIV/0!</v>
      </c>
      <c r="AD159" s="42" t="e">
        <f t="shared" si="91"/>
        <v>#DIV/0!</v>
      </c>
      <c r="AE159" s="1"/>
      <c r="AF159" s="1"/>
    </row>
    <row r="160" spans="1:32" s="12" customFormat="1" x14ac:dyDescent="0.2">
      <c r="A160" s="13" t="s">
        <v>126</v>
      </c>
      <c r="B160" s="227" t="s">
        <v>85</v>
      </c>
      <c r="C160" s="4"/>
      <c r="D160" s="10" t="s">
        <v>215</v>
      </c>
      <c r="E160" s="12" t="s">
        <v>419</v>
      </c>
      <c r="F160" s="42">
        <f>16</f>
        <v>16</v>
      </c>
      <c r="G160" s="42">
        <f>16</f>
        <v>16</v>
      </c>
      <c r="H160" s="42">
        <f>16</f>
        <v>16</v>
      </c>
      <c r="I160" s="3"/>
      <c r="J160" s="3"/>
      <c r="K160" s="42"/>
      <c r="L160" s="3"/>
      <c r="M160" s="226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1"/>
      <c r="AF160" s="1"/>
    </row>
    <row r="161" spans="1:32" s="12" customFormat="1" x14ac:dyDescent="0.2">
      <c r="A161" s="12" t="s">
        <v>84</v>
      </c>
      <c r="B161" s="73" t="s">
        <v>85</v>
      </c>
      <c r="C161" s="4" t="s">
        <v>219</v>
      </c>
      <c r="D161" s="13" t="s">
        <v>215</v>
      </c>
      <c r="E161" s="12" t="s">
        <v>222</v>
      </c>
      <c r="F161" s="42">
        <f>F160*F158</f>
        <v>64</v>
      </c>
      <c r="G161" s="42">
        <f t="shared" ref="G161:H161" si="92">G160*G158</f>
        <v>32</v>
      </c>
      <c r="H161" s="42">
        <f t="shared" si="92"/>
        <v>32</v>
      </c>
      <c r="I161" s="42"/>
      <c r="J161" s="42"/>
      <c r="K161" s="42"/>
      <c r="L161" s="42"/>
      <c r="M161" s="63"/>
      <c r="N161" s="42"/>
      <c r="O161" s="42"/>
      <c r="P161" s="42"/>
      <c r="Q161" s="42" t="e">
        <f t="shared" ref="Q161:AD161" si="93">16*Q158</f>
        <v>#DIV/0!</v>
      </c>
      <c r="R161" s="42" t="e">
        <f t="shared" si="93"/>
        <v>#DIV/0!</v>
      </c>
      <c r="S161" s="42" t="e">
        <f t="shared" si="93"/>
        <v>#DIV/0!</v>
      </c>
      <c r="T161" s="42" t="e">
        <f t="shared" si="93"/>
        <v>#DIV/0!</v>
      </c>
      <c r="U161" s="42" t="e">
        <f t="shared" si="93"/>
        <v>#DIV/0!</v>
      </c>
      <c r="V161" s="42" t="e">
        <f t="shared" si="93"/>
        <v>#DIV/0!</v>
      </c>
      <c r="W161" s="42" t="e">
        <f t="shared" si="93"/>
        <v>#DIV/0!</v>
      </c>
      <c r="X161" s="42" t="e">
        <f t="shared" si="93"/>
        <v>#DIV/0!</v>
      </c>
      <c r="Y161" s="42" t="e">
        <f t="shared" si="93"/>
        <v>#DIV/0!</v>
      </c>
      <c r="Z161" s="42" t="e">
        <f t="shared" si="93"/>
        <v>#DIV/0!</v>
      </c>
      <c r="AA161" s="42" t="e">
        <f t="shared" si="93"/>
        <v>#DIV/0!</v>
      </c>
      <c r="AB161" s="42" t="e">
        <f t="shared" si="93"/>
        <v>#DIV/0!</v>
      </c>
      <c r="AC161" s="42" t="e">
        <f t="shared" si="93"/>
        <v>#DIV/0!</v>
      </c>
      <c r="AD161" s="42" t="e">
        <f t="shared" si="93"/>
        <v>#DIV/0!</v>
      </c>
      <c r="AE161" s="1"/>
      <c r="AF161" s="1"/>
    </row>
    <row r="162" spans="1:32" s="12" customFormat="1" x14ac:dyDescent="0.2">
      <c r="A162" s="12" t="s">
        <v>84</v>
      </c>
      <c r="B162" s="73" t="s">
        <v>85</v>
      </c>
      <c r="C162" s="4" t="s">
        <v>219</v>
      </c>
      <c r="D162" s="13" t="s">
        <v>215</v>
      </c>
      <c r="E162" s="12" t="s">
        <v>223</v>
      </c>
      <c r="F162" s="42">
        <f t="shared" ref="F162" si="94">F161+F159</f>
        <v>111.73839360305527</v>
      </c>
      <c r="G162" s="42">
        <f>G161+G159</f>
        <v>40.592910848549948</v>
      </c>
      <c r="H162" s="42">
        <f>H161+H159</f>
        <v>40.592910848549948</v>
      </c>
      <c r="I162" s="42"/>
      <c r="J162" s="42"/>
      <c r="K162" s="42"/>
      <c r="L162" s="42"/>
      <c r="M162" s="63"/>
      <c r="N162" s="42"/>
      <c r="O162" s="42"/>
      <c r="P162" s="42"/>
      <c r="Q162" s="42" t="e">
        <f t="shared" ref="Q162:AD162" si="95">Q161+Q159</f>
        <v>#DIV/0!</v>
      </c>
      <c r="R162" s="42" t="e">
        <f t="shared" si="95"/>
        <v>#DIV/0!</v>
      </c>
      <c r="S162" s="42" t="e">
        <f t="shared" si="95"/>
        <v>#DIV/0!</v>
      </c>
      <c r="T162" s="42" t="e">
        <f t="shared" si="95"/>
        <v>#DIV/0!</v>
      </c>
      <c r="U162" s="42" t="e">
        <f t="shared" si="95"/>
        <v>#DIV/0!</v>
      </c>
      <c r="V162" s="42" t="e">
        <f t="shared" si="95"/>
        <v>#DIV/0!</v>
      </c>
      <c r="W162" s="42" t="e">
        <f t="shared" si="95"/>
        <v>#DIV/0!</v>
      </c>
      <c r="X162" s="42" t="e">
        <f t="shared" si="95"/>
        <v>#DIV/0!</v>
      </c>
      <c r="Y162" s="42" t="e">
        <f t="shared" si="95"/>
        <v>#DIV/0!</v>
      </c>
      <c r="Z162" s="42" t="e">
        <f t="shared" si="95"/>
        <v>#DIV/0!</v>
      </c>
      <c r="AA162" s="42" t="e">
        <f t="shared" si="95"/>
        <v>#DIV/0!</v>
      </c>
      <c r="AB162" s="42" t="e">
        <f t="shared" si="95"/>
        <v>#DIV/0!</v>
      </c>
      <c r="AC162" s="42" t="e">
        <f t="shared" si="95"/>
        <v>#DIV/0!</v>
      </c>
      <c r="AD162" s="42" t="e">
        <f t="shared" si="95"/>
        <v>#DIV/0!</v>
      </c>
      <c r="AE162" s="1"/>
      <c r="AF162" s="1"/>
    </row>
    <row r="163" spans="1:32" s="12" customFormat="1" x14ac:dyDescent="0.2">
      <c r="A163" s="12" t="s">
        <v>84</v>
      </c>
      <c r="B163" s="73" t="s">
        <v>85</v>
      </c>
      <c r="C163" s="10" t="s">
        <v>224</v>
      </c>
      <c r="D163" s="13" t="s">
        <v>215</v>
      </c>
      <c r="E163" s="13" t="s">
        <v>225</v>
      </c>
      <c r="F163" s="45">
        <f t="shared" ref="F163" si="96">IF(F153=2,MAX(F159,F161),F159+F161)*F157/60</f>
        <v>1.0666666666666667</v>
      </c>
      <c r="G163" s="45">
        <f>IF(G153=2,MAX(G159,G161),G159+G161)*G157/60</f>
        <v>9.6</v>
      </c>
      <c r="H163" s="45">
        <f>IF(H153=2,MAX(H159,H161),H159+H161)*H157/60</f>
        <v>10.666666666666666</v>
      </c>
      <c r="I163" s="45"/>
      <c r="J163" s="45"/>
      <c r="K163" s="45"/>
      <c r="L163" s="45"/>
      <c r="M163" s="58"/>
      <c r="N163" s="45"/>
      <c r="O163" s="45"/>
      <c r="P163" s="45"/>
      <c r="Q163" s="45" t="e">
        <f t="shared" ref="Q163:AD163" si="97">IF(Q153=2,MAX(Q159,Q161),Q159+Q161)*Q157/60</f>
        <v>#DIV/0!</v>
      </c>
      <c r="R163" s="45" t="e">
        <f t="shared" si="97"/>
        <v>#DIV/0!</v>
      </c>
      <c r="S163" s="45" t="e">
        <f t="shared" si="97"/>
        <v>#DIV/0!</v>
      </c>
      <c r="T163" s="45" t="e">
        <f t="shared" si="97"/>
        <v>#DIV/0!</v>
      </c>
      <c r="U163" s="45" t="e">
        <f t="shared" si="97"/>
        <v>#DIV/0!</v>
      </c>
      <c r="V163" s="45" t="e">
        <f t="shared" si="97"/>
        <v>#DIV/0!</v>
      </c>
      <c r="W163" s="45" t="e">
        <f t="shared" si="97"/>
        <v>#DIV/0!</v>
      </c>
      <c r="X163" s="45" t="e">
        <f t="shared" si="97"/>
        <v>#DIV/0!</v>
      </c>
      <c r="Y163" s="45" t="e">
        <f t="shared" si="97"/>
        <v>#DIV/0!</v>
      </c>
      <c r="Z163" s="45" t="e">
        <f t="shared" si="97"/>
        <v>#DIV/0!</v>
      </c>
      <c r="AA163" s="45" t="e">
        <f t="shared" si="97"/>
        <v>#DIV/0!</v>
      </c>
      <c r="AB163" s="45" t="e">
        <f t="shared" si="97"/>
        <v>#DIV/0!</v>
      </c>
      <c r="AC163" s="45" t="e">
        <f t="shared" si="97"/>
        <v>#DIV/0!</v>
      </c>
      <c r="AD163" s="45" t="e">
        <f t="shared" si="97"/>
        <v>#DIV/0!</v>
      </c>
      <c r="AE163" s="1"/>
      <c r="AF163" s="1"/>
    </row>
    <row r="164" spans="1:32" s="12" customFormat="1" x14ac:dyDescent="0.2">
      <c r="A164" s="12" t="s">
        <v>84</v>
      </c>
      <c r="B164" s="73" t="s">
        <v>85</v>
      </c>
      <c r="C164" s="10" t="s">
        <v>195</v>
      </c>
      <c r="D164" s="13" t="s">
        <v>215</v>
      </c>
      <c r="E164" s="13" t="s">
        <v>226</v>
      </c>
      <c r="F164" s="47">
        <f t="shared" ref="F164" si="98">F152/F158</f>
        <v>1.0473749999999999</v>
      </c>
      <c r="G164" s="47">
        <f>G152/G158</f>
        <v>1.8619999999999999</v>
      </c>
      <c r="H164" s="47">
        <f>H152/H158</f>
        <v>6.7031999999999998</v>
      </c>
      <c r="I164" s="47"/>
      <c r="J164" s="47"/>
      <c r="K164" s="47"/>
      <c r="L164" s="47"/>
      <c r="M164" s="65"/>
      <c r="N164" s="47"/>
      <c r="O164" s="47"/>
      <c r="P164" s="47"/>
      <c r="Q164" s="47" t="e">
        <f t="shared" ref="Q164:AD164" si="99">Q152/Q158</f>
        <v>#DIV/0!</v>
      </c>
      <c r="R164" s="47" t="e">
        <f t="shared" si="99"/>
        <v>#DIV/0!</v>
      </c>
      <c r="S164" s="47" t="e">
        <f t="shared" si="99"/>
        <v>#DIV/0!</v>
      </c>
      <c r="T164" s="47" t="e">
        <f t="shared" si="99"/>
        <v>#DIV/0!</v>
      </c>
      <c r="U164" s="47" t="e">
        <f t="shared" si="99"/>
        <v>#DIV/0!</v>
      </c>
      <c r="V164" s="47" t="e">
        <f t="shared" si="99"/>
        <v>#DIV/0!</v>
      </c>
      <c r="W164" s="47" t="e">
        <f t="shared" si="99"/>
        <v>#DIV/0!</v>
      </c>
      <c r="X164" s="47" t="e">
        <f t="shared" si="99"/>
        <v>#DIV/0!</v>
      </c>
      <c r="Y164" s="47" t="e">
        <f t="shared" si="99"/>
        <v>#DIV/0!</v>
      </c>
      <c r="Z164" s="47" t="e">
        <f t="shared" si="99"/>
        <v>#DIV/0!</v>
      </c>
      <c r="AA164" s="47" t="e">
        <f t="shared" si="99"/>
        <v>#DIV/0!</v>
      </c>
      <c r="AB164" s="47" t="e">
        <f t="shared" si="99"/>
        <v>#DIV/0!</v>
      </c>
      <c r="AC164" s="47" t="e">
        <f t="shared" si="99"/>
        <v>#DIV/0!</v>
      </c>
      <c r="AD164" s="47" t="e">
        <f t="shared" si="99"/>
        <v>#DIV/0!</v>
      </c>
      <c r="AE164" s="1"/>
      <c r="AF164" s="1"/>
    </row>
    <row r="165" spans="1:32" s="12" customFormat="1" ht="26" hidden="1" x14ac:dyDescent="0.3">
      <c r="C165" s="4"/>
      <c r="D165" s="4"/>
      <c r="E165" s="1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"/>
      <c r="AF165" s="1"/>
    </row>
    <row r="166" spans="1:32" x14ac:dyDescent="0.2">
      <c r="A166" s="13" t="s">
        <v>126</v>
      </c>
      <c r="B166" s="75" t="s">
        <v>127</v>
      </c>
      <c r="D166" s="13" t="s">
        <v>215</v>
      </c>
      <c r="E166" s="13" t="s">
        <v>35</v>
      </c>
      <c r="F166" s="112">
        <v>0.95</v>
      </c>
      <c r="G166" s="112">
        <f>Table1[[#This Row],[Clinial Production]]</f>
        <v>0.95</v>
      </c>
      <c r="H166" s="112">
        <f>Table1[[#This Row],[2000L, MCC High cellular productivity]]</f>
        <v>0.95</v>
      </c>
      <c r="I166" s="112"/>
      <c r="J166" s="112"/>
      <c r="K166" s="112"/>
      <c r="L166" s="112"/>
      <c r="M166" s="112"/>
      <c r="N166" s="112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1"/>
      <c r="AF166" s="11"/>
    </row>
    <row r="167" spans="1:32" x14ac:dyDescent="0.2">
      <c r="A167" s="12" t="s">
        <v>84</v>
      </c>
      <c r="B167" s="73" t="s">
        <v>85</v>
      </c>
      <c r="C167" s="10" t="s">
        <v>227</v>
      </c>
      <c r="D167" s="13" t="s">
        <v>215</v>
      </c>
      <c r="E167" s="13" t="s">
        <v>228</v>
      </c>
      <c r="F167" s="38">
        <v>0.2</v>
      </c>
      <c r="G167" s="38">
        <v>0.2</v>
      </c>
      <c r="H167" s="38">
        <v>0.2</v>
      </c>
      <c r="I167" s="38"/>
      <c r="J167" s="38"/>
      <c r="K167" s="38"/>
      <c r="L167" s="38"/>
      <c r="M167" s="54"/>
      <c r="N167" s="38"/>
      <c r="O167" s="38"/>
      <c r="P167" s="38"/>
      <c r="Q167" s="38">
        <v>0.2</v>
      </c>
      <c r="R167" s="38">
        <v>0.2</v>
      </c>
      <c r="S167" s="38">
        <v>0.2</v>
      </c>
      <c r="T167" s="38">
        <v>0.2</v>
      </c>
      <c r="U167" s="38">
        <v>0.2</v>
      </c>
      <c r="V167" s="38">
        <v>0.2</v>
      </c>
      <c r="W167" s="38">
        <v>0.2</v>
      </c>
      <c r="X167" s="38">
        <v>0.2</v>
      </c>
      <c r="Y167" s="38">
        <v>0.2</v>
      </c>
      <c r="Z167" s="38">
        <v>0.2</v>
      </c>
      <c r="AA167" s="38">
        <v>0.2</v>
      </c>
      <c r="AB167" s="38">
        <v>0.2</v>
      </c>
      <c r="AC167" s="38">
        <v>0.2</v>
      </c>
      <c r="AD167" s="38">
        <v>0.2</v>
      </c>
      <c r="AE167" s="11"/>
      <c r="AF167" s="11"/>
    </row>
    <row r="168" spans="1:32" s="12" customFormat="1" x14ac:dyDescent="0.2">
      <c r="A168" s="12" t="s">
        <v>84</v>
      </c>
      <c r="B168" s="73" t="s">
        <v>85</v>
      </c>
      <c r="C168" s="4" t="s">
        <v>186</v>
      </c>
      <c r="D168" s="13" t="s">
        <v>215</v>
      </c>
      <c r="E168" s="12" t="s">
        <v>229</v>
      </c>
      <c r="F168" s="42">
        <f>F138+(F167*F157*F152)</f>
        <v>50.837900000000005</v>
      </c>
      <c r="G168" s="42">
        <f>G138+(G167*G157*G152)</f>
        <v>301.40640000000002</v>
      </c>
      <c r="H168" s="42">
        <f>H138+(H167*H157*H152)</f>
        <v>1205.6256000000001</v>
      </c>
      <c r="I168" s="42"/>
      <c r="J168" s="42"/>
      <c r="K168" s="42"/>
      <c r="L168" s="42"/>
      <c r="M168" s="63"/>
      <c r="N168" s="42"/>
      <c r="O168" s="42"/>
      <c r="P168" s="42"/>
      <c r="Q168" s="42">
        <f t="shared" ref="Q168:AD168" si="100">Q138+(Q167*Q157*Q152)</f>
        <v>0</v>
      </c>
      <c r="R168" s="42">
        <f t="shared" si="100"/>
        <v>0</v>
      </c>
      <c r="S168" s="42">
        <f t="shared" si="100"/>
        <v>0</v>
      </c>
      <c r="T168" s="42">
        <f t="shared" si="100"/>
        <v>0</v>
      </c>
      <c r="U168" s="42">
        <f t="shared" si="100"/>
        <v>0</v>
      </c>
      <c r="V168" s="42">
        <f t="shared" si="100"/>
        <v>0</v>
      </c>
      <c r="W168" s="42">
        <f t="shared" si="100"/>
        <v>0</v>
      </c>
      <c r="X168" s="42">
        <f t="shared" si="100"/>
        <v>0</v>
      </c>
      <c r="Y168" s="42">
        <f t="shared" si="100"/>
        <v>0</v>
      </c>
      <c r="Z168" s="42">
        <f t="shared" si="100"/>
        <v>0</v>
      </c>
      <c r="AA168" s="42">
        <f t="shared" si="100"/>
        <v>0</v>
      </c>
      <c r="AB168" s="42">
        <f t="shared" si="100"/>
        <v>0</v>
      </c>
      <c r="AC168" s="42">
        <f t="shared" si="100"/>
        <v>0</v>
      </c>
      <c r="AD168" s="42">
        <f t="shared" si="100"/>
        <v>0</v>
      </c>
      <c r="AE168" s="1"/>
      <c r="AF168" s="1"/>
    </row>
    <row r="169" spans="1:32" x14ac:dyDescent="0.2">
      <c r="A169" s="13" t="s">
        <v>126</v>
      </c>
      <c r="B169" s="73" t="s">
        <v>85</v>
      </c>
      <c r="D169" s="13" t="s">
        <v>215</v>
      </c>
      <c r="E169" s="13" t="s">
        <v>230</v>
      </c>
      <c r="F169" s="38">
        <v>1</v>
      </c>
      <c r="G169" s="38">
        <v>1</v>
      </c>
      <c r="H169" s="38">
        <v>2</v>
      </c>
      <c r="I169" s="38"/>
      <c r="J169" s="38"/>
      <c r="K169" s="38"/>
      <c r="L169" s="38"/>
      <c r="M169" s="54"/>
      <c r="N169" s="38"/>
      <c r="O169" s="38"/>
      <c r="P169" s="38"/>
      <c r="Q169" s="38">
        <v>1</v>
      </c>
      <c r="R169" s="38">
        <v>1</v>
      </c>
      <c r="S169" s="38">
        <v>1</v>
      </c>
      <c r="T169" s="38">
        <v>1</v>
      </c>
      <c r="U169" s="38">
        <v>1</v>
      </c>
      <c r="V169" s="38">
        <v>1</v>
      </c>
      <c r="W169" s="38">
        <v>1</v>
      </c>
      <c r="X169" s="38">
        <v>1</v>
      </c>
      <c r="Y169" s="38">
        <v>1</v>
      </c>
      <c r="Z169" s="38">
        <v>1</v>
      </c>
      <c r="AA169" s="38">
        <v>1</v>
      </c>
      <c r="AB169" s="38">
        <v>1</v>
      </c>
      <c r="AC169" s="38">
        <v>1</v>
      </c>
      <c r="AD169" s="38">
        <v>1</v>
      </c>
      <c r="AE169" s="11"/>
      <c r="AF169" s="11"/>
    </row>
    <row r="170" spans="1:32" s="12" customFormat="1" x14ac:dyDescent="0.2">
      <c r="A170" s="12" t="s">
        <v>84</v>
      </c>
      <c r="B170" s="73" t="s">
        <v>85</v>
      </c>
      <c r="C170" s="4"/>
      <c r="D170" s="13" t="s">
        <v>215</v>
      </c>
      <c r="E170" s="12" t="s">
        <v>231</v>
      </c>
      <c r="F170" s="42">
        <f t="shared" ref="F170" si="101">F168/F169</f>
        <v>50.837900000000005</v>
      </c>
      <c r="G170" s="42">
        <f>G168/G169</f>
        <v>301.40640000000002</v>
      </c>
      <c r="H170" s="42">
        <f>H168/H169</f>
        <v>602.81280000000004</v>
      </c>
      <c r="I170" s="42"/>
      <c r="J170" s="42"/>
      <c r="K170" s="42"/>
      <c r="L170" s="42"/>
      <c r="M170" s="63"/>
      <c r="N170" s="42"/>
      <c r="O170" s="42"/>
      <c r="P170" s="42"/>
      <c r="Q170" s="42">
        <f t="shared" ref="Q170:AD170" si="102">Q168/Q169</f>
        <v>0</v>
      </c>
      <c r="R170" s="42">
        <f t="shared" si="102"/>
        <v>0</v>
      </c>
      <c r="S170" s="42">
        <f t="shared" si="102"/>
        <v>0</v>
      </c>
      <c r="T170" s="42">
        <f t="shared" si="102"/>
        <v>0</v>
      </c>
      <c r="U170" s="42">
        <f t="shared" si="102"/>
        <v>0</v>
      </c>
      <c r="V170" s="42">
        <f t="shared" si="102"/>
        <v>0</v>
      </c>
      <c r="W170" s="42">
        <f t="shared" si="102"/>
        <v>0</v>
      </c>
      <c r="X170" s="42">
        <f t="shared" si="102"/>
        <v>0</v>
      </c>
      <c r="Y170" s="42">
        <f t="shared" si="102"/>
        <v>0</v>
      </c>
      <c r="Z170" s="42">
        <f t="shared" si="102"/>
        <v>0</v>
      </c>
      <c r="AA170" s="42">
        <f t="shared" si="102"/>
        <v>0</v>
      </c>
      <c r="AB170" s="42">
        <f t="shared" si="102"/>
        <v>0</v>
      </c>
      <c r="AC170" s="42">
        <f t="shared" si="102"/>
        <v>0</v>
      </c>
      <c r="AD170" s="42">
        <f t="shared" si="102"/>
        <v>0</v>
      </c>
      <c r="AE170" s="1"/>
      <c r="AF170" s="1"/>
    </row>
    <row r="171" spans="1:32" s="12" customFormat="1" x14ac:dyDescent="0.2">
      <c r="A171" s="12" t="s">
        <v>84</v>
      </c>
      <c r="B171" s="73" t="s">
        <v>85</v>
      </c>
      <c r="C171" s="10" t="s">
        <v>186</v>
      </c>
      <c r="D171" s="13" t="s">
        <v>215</v>
      </c>
      <c r="E171" s="13" t="s">
        <v>232</v>
      </c>
      <c r="F171" s="45">
        <f t="shared" ref="F171" si="103">F170*1.3</f>
        <v>66.089270000000013</v>
      </c>
      <c r="G171" s="45">
        <f>G170*1.3</f>
        <v>391.82832000000002</v>
      </c>
      <c r="H171" s="45">
        <f>H170*1.3</f>
        <v>783.65664000000004</v>
      </c>
      <c r="I171" s="45"/>
      <c r="J171" s="45"/>
      <c r="K171" s="45"/>
      <c r="L171" s="45"/>
      <c r="M171" s="58"/>
      <c r="N171" s="45"/>
      <c r="O171" s="45"/>
      <c r="P171" s="45"/>
      <c r="Q171" s="45">
        <f t="shared" ref="Q171:AD171" si="104">Q170*1.3</f>
        <v>0</v>
      </c>
      <c r="R171" s="45">
        <f t="shared" si="104"/>
        <v>0</v>
      </c>
      <c r="S171" s="45">
        <f t="shared" si="104"/>
        <v>0</v>
      </c>
      <c r="T171" s="45">
        <f t="shared" si="104"/>
        <v>0</v>
      </c>
      <c r="U171" s="45">
        <f t="shared" si="104"/>
        <v>0</v>
      </c>
      <c r="V171" s="45">
        <f t="shared" si="104"/>
        <v>0</v>
      </c>
      <c r="W171" s="45">
        <f t="shared" si="104"/>
        <v>0</v>
      </c>
      <c r="X171" s="45">
        <f t="shared" si="104"/>
        <v>0</v>
      </c>
      <c r="Y171" s="45">
        <f t="shared" si="104"/>
        <v>0</v>
      </c>
      <c r="Z171" s="45">
        <f t="shared" si="104"/>
        <v>0</v>
      </c>
      <c r="AA171" s="45">
        <f t="shared" si="104"/>
        <v>0</v>
      </c>
      <c r="AB171" s="45">
        <f t="shared" si="104"/>
        <v>0</v>
      </c>
      <c r="AC171" s="45">
        <f t="shared" si="104"/>
        <v>0</v>
      </c>
      <c r="AD171" s="45">
        <f t="shared" si="104"/>
        <v>0</v>
      </c>
      <c r="AE171" s="1"/>
      <c r="AF171" s="1"/>
    </row>
    <row r="172" spans="1:32" s="12" customFormat="1" x14ac:dyDescent="0.2">
      <c r="A172" s="12" t="s">
        <v>84</v>
      </c>
      <c r="B172" s="73" t="s">
        <v>85</v>
      </c>
      <c r="C172" s="10" t="s">
        <v>188</v>
      </c>
      <c r="D172" s="13" t="s">
        <v>215</v>
      </c>
      <c r="E172" s="13" t="s">
        <v>208</v>
      </c>
      <c r="F172" s="35">
        <f>F166*F140</f>
        <v>398.0025</v>
      </c>
      <c r="G172" s="35">
        <f>G166*G140</f>
        <v>7641.6480000000001</v>
      </c>
      <c r="H172" s="35">
        <f>H166*H140</f>
        <v>30566.592000000001</v>
      </c>
      <c r="I172" s="35"/>
      <c r="J172" s="35"/>
      <c r="K172" s="35"/>
      <c r="L172" s="35"/>
      <c r="M172" s="56"/>
      <c r="N172" s="35"/>
      <c r="O172" s="35"/>
      <c r="P172" s="35"/>
      <c r="Q172" s="35">
        <f t="shared" ref="Q172:AD172" si="105">Q166*Q140</f>
        <v>0</v>
      </c>
      <c r="R172" s="35">
        <f t="shared" si="105"/>
        <v>0</v>
      </c>
      <c r="S172" s="35">
        <f t="shared" si="105"/>
        <v>0</v>
      </c>
      <c r="T172" s="35">
        <f t="shared" si="105"/>
        <v>0</v>
      </c>
      <c r="U172" s="35">
        <f t="shared" si="105"/>
        <v>0</v>
      </c>
      <c r="V172" s="35">
        <f t="shared" si="105"/>
        <v>0</v>
      </c>
      <c r="W172" s="35">
        <f t="shared" si="105"/>
        <v>0</v>
      </c>
      <c r="X172" s="35">
        <f t="shared" si="105"/>
        <v>0</v>
      </c>
      <c r="Y172" s="35">
        <f t="shared" si="105"/>
        <v>0</v>
      </c>
      <c r="Z172" s="35">
        <f t="shared" si="105"/>
        <v>0</v>
      </c>
      <c r="AA172" s="35">
        <f t="shared" si="105"/>
        <v>0</v>
      </c>
      <c r="AB172" s="35">
        <f t="shared" si="105"/>
        <v>0</v>
      </c>
      <c r="AC172" s="35">
        <f t="shared" si="105"/>
        <v>0</v>
      </c>
      <c r="AD172" s="35">
        <f t="shared" si="105"/>
        <v>0</v>
      </c>
      <c r="AE172" s="1"/>
      <c r="AF172" s="1"/>
    </row>
    <row r="173" spans="1:32" s="12" customFormat="1" x14ac:dyDescent="0.2">
      <c r="A173" s="12" t="s">
        <v>84</v>
      </c>
      <c r="B173" s="73" t="s">
        <v>85</v>
      </c>
      <c r="C173" s="4" t="s">
        <v>233</v>
      </c>
      <c r="D173" s="13" t="s">
        <v>215</v>
      </c>
      <c r="E173" s="12" t="s">
        <v>234</v>
      </c>
      <c r="F173" s="41">
        <f t="shared" ref="F173" si="106">F172/F170</f>
        <v>7.8288540636021544</v>
      </c>
      <c r="G173" s="41">
        <f>G172/G170</f>
        <v>25.353303712197217</v>
      </c>
      <c r="H173" s="41">
        <f>H172/H170</f>
        <v>50.706607424394434</v>
      </c>
      <c r="I173" s="41"/>
      <c r="J173" s="41"/>
      <c r="K173" s="41"/>
      <c r="L173" s="41"/>
      <c r="M173" s="62"/>
      <c r="N173" s="41"/>
      <c r="O173" s="41"/>
      <c r="P173" s="41"/>
      <c r="Q173" s="41" t="e">
        <f t="shared" ref="Q173:AD173" si="107">Q172/Q170</f>
        <v>#DIV/0!</v>
      </c>
      <c r="R173" s="41" t="e">
        <f t="shared" si="107"/>
        <v>#DIV/0!</v>
      </c>
      <c r="S173" s="41" t="e">
        <f t="shared" si="107"/>
        <v>#DIV/0!</v>
      </c>
      <c r="T173" s="41" t="e">
        <f t="shared" si="107"/>
        <v>#DIV/0!</v>
      </c>
      <c r="U173" s="41" t="e">
        <f t="shared" si="107"/>
        <v>#DIV/0!</v>
      </c>
      <c r="V173" s="41" t="e">
        <f t="shared" si="107"/>
        <v>#DIV/0!</v>
      </c>
      <c r="W173" s="41" t="e">
        <f t="shared" si="107"/>
        <v>#DIV/0!</v>
      </c>
      <c r="X173" s="41" t="e">
        <f t="shared" si="107"/>
        <v>#DIV/0!</v>
      </c>
      <c r="Y173" s="41" t="e">
        <f t="shared" si="107"/>
        <v>#DIV/0!</v>
      </c>
      <c r="Z173" s="41" t="e">
        <f t="shared" si="107"/>
        <v>#DIV/0!</v>
      </c>
      <c r="AA173" s="41" t="e">
        <f t="shared" si="107"/>
        <v>#DIV/0!</v>
      </c>
      <c r="AB173" s="41" t="e">
        <f t="shared" si="107"/>
        <v>#DIV/0!</v>
      </c>
      <c r="AC173" s="41" t="e">
        <f t="shared" si="107"/>
        <v>#DIV/0!</v>
      </c>
      <c r="AD173" s="41" t="e">
        <f t="shared" si="107"/>
        <v>#DIV/0!</v>
      </c>
      <c r="AE173" s="1"/>
      <c r="AF173" s="1"/>
    </row>
    <row r="174" spans="1:32" x14ac:dyDescent="0.2">
      <c r="A174" s="12" t="s">
        <v>84</v>
      </c>
      <c r="B174" s="75" t="s">
        <v>127</v>
      </c>
      <c r="C174" s="10" t="s">
        <v>186</v>
      </c>
      <c r="D174" s="13" t="s">
        <v>215</v>
      </c>
      <c r="E174" s="13" t="s">
        <v>235</v>
      </c>
      <c r="F174" s="128">
        <f>F168*F61</f>
        <v>1016.758</v>
      </c>
      <c r="G174" s="80">
        <f>G168*G61</f>
        <v>6028.1280000000006</v>
      </c>
      <c r="H174" s="80">
        <f>H168*H61</f>
        <v>24112.512000000002</v>
      </c>
      <c r="I174" s="128"/>
      <c r="J174" s="80"/>
      <c r="K174" s="80"/>
      <c r="L174" s="80"/>
      <c r="M174" s="81"/>
      <c r="N174" s="80"/>
      <c r="O174" s="80"/>
      <c r="P174" s="80"/>
      <c r="Q174" s="120"/>
      <c r="R174" s="80"/>
      <c r="S174" s="120"/>
      <c r="T174" s="80"/>
      <c r="U174" s="120"/>
      <c r="V174" s="80"/>
      <c r="W174" s="80"/>
      <c r="X174" s="80"/>
      <c r="Y174" s="80"/>
      <c r="Z174" s="80"/>
      <c r="AA174" s="80"/>
      <c r="AB174" s="80"/>
      <c r="AC174" s="80"/>
      <c r="AD174" s="80"/>
      <c r="AE174" s="11"/>
      <c r="AF174" s="11"/>
    </row>
    <row r="175" spans="1:32" x14ac:dyDescent="0.2">
      <c r="A175" s="12" t="s">
        <v>84</v>
      </c>
      <c r="B175" s="75" t="s">
        <v>85</v>
      </c>
      <c r="C175" s="10" t="s">
        <v>188</v>
      </c>
      <c r="D175" s="13" t="s">
        <v>215</v>
      </c>
      <c r="E175" s="13" t="s">
        <v>236</v>
      </c>
      <c r="F175" s="80">
        <f>F166*F144</f>
        <v>7960.0499999999993</v>
      </c>
      <c r="G175" s="80">
        <f>G166*G144</f>
        <v>152832.95999999999</v>
      </c>
      <c r="H175" s="80">
        <f>H166*H144</f>
        <v>611331.83999999997</v>
      </c>
      <c r="I175" s="80"/>
      <c r="J175" s="80"/>
      <c r="K175" s="80"/>
      <c r="L175" s="80"/>
      <c r="M175" s="81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11"/>
      <c r="AF175" s="11"/>
    </row>
    <row r="176" spans="1:32" s="12" customFormat="1" hidden="1" x14ac:dyDescent="0.2">
      <c r="C176" s="4"/>
      <c r="D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"/>
      <c r="AF176" s="1"/>
    </row>
    <row r="177" spans="1:32" s="12" customFormat="1" hidden="1" x14ac:dyDescent="0.2">
      <c r="C177" s="4"/>
      <c r="D177" s="4"/>
      <c r="E177" s="18" t="s">
        <v>237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"/>
      <c r="AF177" s="1"/>
    </row>
    <row r="178" spans="1:32" s="12" customFormat="1" x14ac:dyDescent="0.2">
      <c r="A178" s="12" t="s">
        <v>84</v>
      </c>
      <c r="B178" s="73" t="s">
        <v>85</v>
      </c>
      <c r="C178" s="4" t="s">
        <v>186</v>
      </c>
      <c r="D178" s="13" t="s">
        <v>215</v>
      </c>
      <c r="E178" s="12" t="s">
        <v>238</v>
      </c>
      <c r="F178" s="41">
        <f>F160*F152*F157</f>
        <v>67.031999999999996</v>
      </c>
      <c r="G178" s="41">
        <f t="shared" ref="G178:H178" si="108">G160*G152*G157</f>
        <v>1072.5119999999999</v>
      </c>
      <c r="H178" s="41">
        <f t="shared" si="108"/>
        <v>4290.0479999999998</v>
      </c>
      <c r="I178" s="41"/>
      <c r="J178" s="41"/>
      <c r="K178" s="41"/>
      <c r="L178" s="41"/>
      <c r="M178" s="62"/>
      <c r="N178" s="41"/>
      <c r="O178" s="41"/>
      <c r="P178" s="41"/>
      <c r="Q178" s="41">
        <f t="shared" ref="Q178:AD178" si="109">16*Q152*Q157</f>
        <v>0</v>
      </c>
      <c r="R178" s="41">
        <f t="shared" si="109"/>
        <v>0</v>
      </c>
      <c r="S178" s="41">
        <f t="shared" si="109"/>
        <v>0</v>
      </c>
      <c r="T178" s="41">
        <f t="shared" si="109"/>
        <v>0</v>
      </c>
      <c r="U178" s="41">
        <f t="shared" si="109"/>
        <v>0</v>
      </c>
      <c r="V178" s="41">
        <f t="shared" si="109"/>
        <v>0</v>
      </c>
      <c r="W178" s="41">
        <f t="shared" si="109"/>
        <v>0</v>
      </c>
      <c r="X178" s="41">
        <f t="shared" si="109"/>
        <v>0</v>
      </c>
      <c r="Y178" s="41">
        <f t="shared" si="109"/>
        <v>0</v>
      </c>
      <c r="Z178" s="41">
        <f t="shared" si="109"/>
        <v>0</v>
      </c>
      <c r="AA178" s="41">
        <f t="shared" si="109"/>
        <v>0</v>
      </c>
      <c r="AB178" s="41">
        <f t="shared" si="109"/>
        <v>0</v>
      </c>
      <c r="AC178" s="41">
        <f t="shared" si="109"/>
        <v>0</v>
      </c>
      <c r="AD178" s="41">
        <f t="shared" si="109"/>
        <v>0</v>
      </c>
      <c r="AE178" s="1"/>
      <c r="AF178" s="1"/>
    </row>
    <row r="179" spans="1:32" x14ac:dyDescent="0.2">
      <c r="A179" s="13" t="s">
        <v>126</v>
      </c>
      <c r="B179" s="73" t="s">
        <v>85</v>
      </c>
      <c r="D179" s="13" t="s">
        <v>215</v>
      </c>
      <c r="E179" s="13" t="s">
        <v>25</v>
      </c>
      <c r="F179" s="38">
        <v>5</v>
      </c>
      <c r="G179" s="38">
        <v>5</v>
      </c>
      <c r="H179" s="38">
        <v>6</v>
      </c>
      <c r="I179" s="38"/>
      <c r="J179" s="38"/>
      <c r="K179" s="38"/>
      <c r="L179" s="38"/>
      <c r="M179" s="54"/>
      <c r="N179" s="38"/>
      <c r="O179" s="38"/>
      <c r="P179" s="38"/>
      <c r="Q179" s="38">
        <v>5</v>
      </c>
      <c r="R179" s="38">
        <v>5</v>
      </c>
      <c r="S179" s="38">
        <v>5</v>
      </c>
      <c r="T179" s="38">
        <v>5</v>
      </c>
      <c r="U179" s="38">
        <v>5</v>
      </c>
      <c r="V179" s="38">
        <v>5</v>
      </c>
      <c r="W179" s="38">
        <v>5</v>
      </c>
      <c r="X179" s="38">
        <v>5</v>
      </c>
      <c r="Y179" s="38">
        <v>5</v>
      </c>
      <c r="Z179" s="38">
        <v>5</v>
      </c>
      <c r="AA179" s="38">
        <v>5</v>
      </c>
      <c r="AB179" s="38">
        <v>5</v>
      </c>
      <c r="AC179" s="38">
        <v>5</v>
      </c>
      <c r="AD179" s="38">
        <v>5</v>
      </c>
      <c r="AE179" s="11"/>
      <c r="AF179" s="11"/>
    </row>
    <row r="180" spans="1:32" s="12" customFormat="1" x14ac:dyDescent="0.2">
      <c r="A180" s="12" t="s">
        <v>84</v>
      </c>
      <c r="B180" s="73" t="s">
        <v>85</v>
      </c>
      <c r="C180" s="4" t="s">
        <v>186</v>
      </c>
      <c r="D180" s="13" t="s">
        <v>215</v>
      </c>
      <c r="E180" s="12" t="s">
        <v>239</v>
      </c>
      <c r="F180" s="49">
        <f t="shared" ref="F180" si="110">F178/F179</f>
        <v>13.4064</v>
      </c>
      <c r="G180" s="49">
        <f>G178/G179</f>
        <v>214.50239999999999</v>
      </c>
      <c r="H180" s="49">
        <f>H178/H179</f>
        <v>715.00799999999992</v>
      </c>
      <c r="I180" s="49"/>
      <c r="J180" s="49"/>
      <c r="K180" s="49"/>
      <c r="L180" s="49"/>
      <c r="M180" s="66"/>
      <c r="N180" s="49"/>
      <c r="O180" s="49"/>
      <c r="P180" s="49"/>
      <c r="Q180" s="49">
        <f t="shared" ref="Q180:AD180" si="111">Q178/Q179</f>
        <v>0</v>
      </c>
      <c r="R180" s="49">
        <f t="shared" si="111"/>
        <v>0</v>
      </c>
      <c r="S180" s="49">
        <f t="shared" si="111"/>
        <v>0</v>
      </c>
      <c r="T180" s="49">
        <f t="shared" si="111"/>
        <v>0</v>
      </c>
      <c r="U180" s="49">
        <f t="shared" si="111"/>
        <v>0</v>
      </c>
      <c r="V180" s="49">
        <f t="shared" si="111"/>
        <v>0</v>
      </c>
      <c r="W180" s="49">
        <f t="shared" si="111"/>
        <v>0</v>
      </c>
      <c r="X180" s="49">
        <f t="shared" si="111"/>
        <v>0</v>
      </c>
      <c r="Y180" s="49">
        <f t="shared" si="111"/>
        <v>0</v>
      </c>
      <c r="Z180" s="49">
        <f t="shared" si="111"/>
        <v>0</v>
      </c>
      <c r="AA180" s="49">
        <f t="shared" si="111"/>
        <v>0</v>
      </c>
      <c r="AB180" s="49">
        <f t="shared" si="111"/>
        <v>0</v>
      </c>
      <c r="AC180" s="49">
        <f t="shared" si="111"/>
        <v>0</v>
      </c>
      <c r="AD180" s="49">
        <f t="shared" si="111"/>
        <v>0</v>
      </c>
      <c r="AE180" s="1"/>
      <c r="AF180" s="1"/>
    </row>
    <row r="181" spans="1:32" s="12" customFormat="1" x14ac:dyDescent="0.2">
      <c r="A181" s="12" t="s">
        <v>84</v>
      </c>
      <c r="B181" s="73" t="s">
        <v>85</v>
      </c>
      <c r="C181" s="4" t="s">
        <v>186</v>
      </c>
      <c r="D181" s="13" t="s">
        <v>215</v>
      </c>
      <c r="E181" s="12" t="s">
        <v>240</v>
      </c>
      <c r="F181" s="49">
        <f t="shared" ref="F181" si="112">F178-F180</f>
        <v>53.625599999999999</v>
      </c>
      <c r="G181" s="49">
        <f>G178-G180</f>
        <v>858.00959999999998</v>
      </c>
      <c r="H181" s="49">
        <f>H178-H180</f>
        <v>3575.04</v>
      </c>
      <c r="I181" s="49"/>
      <c r="J181" s="49"/>
      <c r="K181" s="49"/>
      <c r="L181" s="49"/>
      <c r="M181" s="66"/>
      <c r="N181" s="49"/>
      <c r="O181" s="49"/>
      <c r="P181" s="49"/>
      <c r="Q181" s="49">
        <f t="shared" ref="Q181:AD181" si="113">Q178-Q180</f>
        <v>0</v>
      </c>
      <c r="R181" s="49">
        <f t="shared" si="113"/>
        <v>0</v>
      </c>
      <c r="S181" s="49">
        <f t="shared" si="113"/>
        <v>0</v>
      </c>
      <c r="T181" s="49">
        <f t="shared" si="113"/>
        <v>0</v>
      </c>
      <c r="U181" s="49">
        <f t="shared" si="113"/>
        <v>0</v>
      </c>
      <c r="V181" s="49">
        <f t="shared" si="113"/>
        <v>0</v>
      </c>
      <c r="W181" s="49">
        <f t="shared" si="113"/>
        <v>0</v>
      </c>
      <c r="X181" s="49">
        <f t="shared" si="113"/>
        <v>0</v>
      </c>
      <c r="Y181" s="49">
        <f t="shared" si="113"/>
        <v>0</v>
      </c>
      <c r="Z181" s="49">
        <f t="shared" si="113"/>
        <v>0</v>
      </c>
      <c r="AA181" s="49">
        <f t="shared" si="113"/>
        <v>0</v>
      </c>
      <c r="AB181" s="49">
        <f t="shared" si="113"/>
        <v>0</v>
      </c>
      <c r="AC181" s="49">
        <f t="shared" si="113"/>
        <v>0</v>
      </c>
      <c r="AD181" s="49">
        <f t="shared" si="113"/>
        <v>0</v>
      </c>
      <c r="AE181" s="1"/>
      <c r="AF181" s="1"/>
    </row>
    <row r="182" spans="1:32" x14ac:dyDescent="0.2">
      <c r="A182" s="12" t="s">
        <v>84</v>
      </c>
      <c r="B182" s="75" t="s">
        <v>127</v>
      </c>
      <c r="C182" s="10" t="s">
        <v>195</v>
      </c>
      <c r="D182" s="13" t="s">
        <v>215</v>
      </c>
      <c r="E182" s="13" t="s">
        <v>241</v>
      </c>
      <c r="F182" s="123">
        <f t="shared" ref="F182" si="114">F164/F179</f>
        <v>0.20947499999999999</v>
      </c>
      <c r="G182" s="123">
        <f>G164/G179</f>
        <v>0.37239999999999995</v>
      </c>
      <c r="H182" s="123">
        <f>H164/H179</f>
        <v>1.1172</v>
      </c>
      <c r="I182" s="123"/>
      <c r="J182" s="123"/>
      <c r="K182" s="123"/>
      <c r="L182" s="123"/>
      <c r="M182" s="124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1"/>
      <c r="AF182" s="11"/>
    </row>
    <row r="183" spans="1:32" x14ac:dyDescent="0.2">
      <c r="A183" s="12" t="s">
        <v>84</v>
      </c>
      <c r="B183" s="75" t="s">
        <v>127</v>
      </c>
      <c r="C183" s="10" t="s">
        <v>195</v>
      </c>
      <c r="D183" s="13" t="s">
        <v>215</v>
      </c>
      <c r="E183" s="13" t="s">
        <v>242</v>
      </c>
      <c r="F183" s="123">
        <f t="shared" ref="F183" si="115">F164-F182</f>
        <v>0.83789999999999998</v>
      </c>
      <c r="G183" s="123">
        <f>G164-G182</f>
        <v>1.4895999999999998</v>
      </c>
      <c r="H183" s="123">
        <f>H164-H182</f>
        <v>5.5860000000000003</v>
      </c>
      <c r="I183" s="123"/>
      <c r="J183" s="123"/>
      <c r="K183" s="123"/>
      <c r="L183" s="123"/>
      <c r="M183" s="124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1"/>
      <c r="AF183" s="11"/>
    </row>
    <row r="184" spans="1:32" s="12" customFormat="1" hidden="1" x14ac:dyDescent="0.2"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"/>
      <c r="AF184" s="1"/>
    </row>
    <row r="185" spans="1:32" x14ac:dyDescent="0.2">
      <c r="A185" s="12" t="s">
        <v>84</v>
      </c>
      <c r="B185" s="75" t="s">
        <v>243</v>
      </c>
      <c r="C185" s="10" t="s">
        <v>186</v>
      </c>
      <c r="D185" s="13" t="s">
        <v>215</v>
      </c>
      <c r="E185" s="13" t="s">
        <v>244</v>
      </c>
      <c r="F185" s="35">
        <f t="shared" ref="F185" si="116">F178*F$61</f>
        <v>1340.6399999999999</v>
      </c>
      <c r="G185" s="35">
        <f>G178*G$61</f>
        <v>21450.239999999998</v>
      </c>
      <c r="H185" s="35">
        <f>H178*H$61</f>
        <v>85800.959999999992</v>
      </c>
      <c r="I185" s="35"/>
      <c r="J185" s="35"/>
      <c r="K185" s="35"/>
      <c r="L185" s="35"/>
      <c r="M185" s="56"/>
      <c r="N185" s="35"/>
      <c r="O185" s="35"/>
      <c r="P185" s="35"/>
      <c r="Q185" s="35">
        <f t="shared" ref="Q185:AD185" si="117">Q178*Q$61</f>
        <v>0</v>
      </c>
      <c r="R185" s="35">
        <f t="shared" si="117"/>
        <v>0</v>
      </c>
      <c r="S185" s="35">
        <f t="shared" si="117"/>
        <v>0</v>
      </c>
      <c r="T185" s="35">
        <f t="shared" si="117"/>
        <v>0</v>
      </c>
      <c r="U185" s="35">
        <f t="shared" si="117"/>
        <v>0</v>
      </c>
      <c r="V185" s="35">
        <f t="shared" si="117"/>
        <v>0</v>
      </c>
      <c r="W185" s="35">
        <f t="shared" si="117"/>
        <v>0</v>
      </c>
      <c r="X185" s="35">
        <f t="shared" si="117"/>
        <v>0</v>
      </c>
      <c r="Y185" s="35">
        <f t="shared" si="117"/>
        <v>0</v>
      </c>
      <c r="Z185" s="35">
        <f t="shared" si="117"/>
        <v>0</v>
      </c>
      <c r="AA185" s="35">
        <f t="shared" si="117"/>
        <v>0</v>
      </c>
      <c r="AB185" s="35">
        <f t="shared" si="117"/>
        <v>0</v>
      </c>
      <c r="AC185" s="35">
        <f t="shared" si="117"/>
        <v>0</v>
      </c>
      <c r="AD185" s="35">
        <f t="shared" si="117"/>
        <v>0</v>
      </c>
      <c r="AE185" s="11"/>
      <c r="AF185" s="11"/>
    </row>
    <row r="186" spans="1:32" x14ac:dyDescent="0.2">
      <c r="A186" s="12" t="s">
        <v>84</v>
      </c>
      <c r="B186" s="75" t="s">
        <v>127</v>
      </c>
      <c r="C186" s="10" t="s">
        <v>186</v>
      </c>
      <c r="D186" s="13" t="s">
        <v>215</v>
      </c>
      <c r="E186" s="13" t="s">
        <v>245</v>
      </c>
      <c r="F186" s="80">
        <f t="shared" ref="F186" si="118">F180*F$61</f>
        <v>268.12799999999999</v>
      </c>
      <c r="G186" s="80">
        <f>G180*G$61</f>
        <v>4290.0479999999998</v>
      </c>
      <c r="H186" s="80">
        <f>H180*H$61</f>
        <v>14300.159999999998</v>
      </c>
      <c r="I186" s="80"/>
      <c r="J186" s="80"/>
      <c r="K186" s="80"/>
      <c r="L186" s="80"/>
      <c r="M186" s="81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11"/>
      <c r="AF186" s="11"/>
    </row>
    <row r="187" spans="1:32" x14ac:dyDescent="0.2">
      <c r="A187" s="12" t="s">
        <v>84</v>
      </c>
      <c r="B187" s="75" t="s">
        <v>85</v>
      </c>
      <c r="C187" s="10" t="s">
        <v>186</v>
      </c>
      <c r="D187" s="13" t="s">
        <v>215</v>
      </c>
      <c r="E187" s="13" t="s">
        <v>246</v>
      </c>
      <c r="F187" s="80">
        <f t="shared" ref="F187" si="119">F181*F$61</f>
        <v>1072.5119999999999</v>
      </c>
      <c r="G187" s="80">
        <f>G181*G$61</f>
        <v>17160.191999999999</v>
      </c>
      <c r="H187" s="80">
        <f>H181*H$61</f>
        <v>71500.800000000003</v>
      </c>
      <c r="I187" s="80"/>
      <c r="J187" s="80"/>
      <c r="K187" s="80"/>
      <c r="L187" s="80"/>
      <c r="M187" s="81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11"/>
      <c r="AF187" s="11"/>
    </row>
    <row r="188" spans="1:32" hidden="1" x14ac:dyDescent="0.2">
      <c r="F188" s="10"/>
      <c r="K188" s="10"/>
      <c r="AC188" s="10"/>
      <c r="AD188" s="10"/>
      <c r="AE188" s="11"/>
      <c r="AF188" s="11"/>
    </row>
    <row r="189" spans="1:32" ht="26" x14ac:dyDescent="0.3">
      <c r="A189" s="10" t="s">
        <v>57</v>
      </c>
      <c r="B189" s="75" t="s">
        <v>85</v>
      </c>
      <c r="D189" s="10" t="s">
        <v>247</v>
      </c>
      <c r="E189" s="22" t="s">
        <v>248</v>
      </c>
      <c r="F189" s="104"/>
      <c r="G189" s="104"/>
      <c r="H189" s="104"/>
      <c r="I189" s="104"/>
      <c r="J189" s="104"/>
      <c r="K189" s="104"/>
      <c r="L189" s="104"/>
      <c r="M189" s="105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1"/>
      <c r="AF189" s="11"/>
    </row>
    <row r="190" spans="1:32" x14ac:dyDescent="0.2">
      <c r="A190" s="13" t="s">
        <v>126</v>
      </c>
      <c r="B190" s="60" t="s">
        <v>85</v>
      </c>
      <c r="D190" s="10" t="s">
        <v>247</v>
      </c>
      <c r="E190" s="13" t="s">
        <v>249</v>
      </c>
      <c r="F190" s="38">
        <v>0.1</v>
      </c>
      <c r="G190" s="38">
        <v>0.1</v>
      </c>
      <c r="H190" s="38">
        <v>1.1000000000000001</v>
      </c>
      <c r="I190" s="38"/>
      <c r="J190" s="38"/>
      <c r="K190" s="38"/>
      <c r="L190" s="38"/>
      <c r="M190" s="54"/>
      <c r="N190" s="38"/>
      <c r="O190" s="38"/>
      <c r="P190" s="38"/>
      <c r="Q190" s="38">
        <v>0.1</v>
      </c>
      <c r="R190" s="38">
        <v>0.1</v>
      </c>
      <c r="S190" s="38">
        <v>0.1</v>
      </c>
      <c r="T190" s="38">
        <v>0.1</v>
      </c>
      <c r="U190" s="38">
        <v>0.1</v>
      </c>
      <c r="V190" s="38">
        <v>0.1</v>
      </c>
      <c r="W190" s="38">
        <v>0.1</v>
      </c>
      <c r="X190" s="38">
        <v>0.1</v>
      </c>
      <c r="Y190" s="38">
        <v>0.1</v>
      </c>
      <c r="Z190" s="38">
        <v>0.1</v>
      </c>
      <c r="AA190" s="38">
        <v>0.1</v>
      </c>
      <c r="AB190" s="38">
        <v>0.1</v>
      </c>
      <c r="AC190" s="38">
        <v>0.1</v>
      </c>
      <c r="AD190" s="38">
        <v>0.1</v>
      </c>
      <c r="AE190" s="11"/>
      <c r="AF190" s="11"/>
    </row>
    <row r="191" spans="1:32" s="12" customFormat="1" x14ac:dyDescent="0.2">
      <c r="A191" s="12" t="s">
        <v>84</v>
      </c>
      <c r="B191" s="60" t="s">
        <v>85</v>
      </c>
      <c r="C191" s="4" t="s">
        <v>186</v>
      </c>
      <c r="D191" s="10" t="s">
        <v>247</v>
      </c>
      <c r="E191" s="12" t="s">
        <v>238</v>
      </c>
      <c r="F191" s="49">
        <f t="shared" ref="F191" si="120">F190*F170</f>
        <v>5.0837900000000005</v>
      </c>
      <c r="G191" s="49">
        <f>G190*G170</f>
        <v>30.140640000000005</v>
      </c>
      <c r="H191" s="49">
        <f>H190*H170</f>
        <v>663.09408000000008</v>
      </c>
      <c r="I191" s="49"/>
      <c r="J191" s="49"/>
      <c r="K191" s="49"/>
      <c r="L191" s="49"/>
      <c r="M191" s="66"/>
      <c r="N191" s="49"/>
      <c r="O191" s="49"/>
      <c r="P191" s="49"/>
      <c r="Q191" s="49">
        <f t="shared" ref="Q191:AD191" si="121">Q190*Q170</f>
        <v>0</v>
      </c>
      <c r="R191" s="49">
        <f t="shared" si="121"/>
        <v>0</v>
      </c>
      <c r="S191" s="49">
        <f t="shared" si="121"/>
        <v>0</v>
      </c>
      <c r="T191" s="49">
        <f t="shared" si="121"/>
        <v>0</v>
      </c>
      <c r="U191" s="49">
        <f t="shared" si="121"/>
        <v>0</v>
      </c>
      <c r="V191" s="49">
        <f t="shared" si="121"/>
        <v>0</v>
      </c>
      <c r="W191" s="49">
        <f t="shared" si="121"/>
        <v>0</v>
      </c>
      <c r="X191" s="49">
        <f t="shared" si="121"/>
        <v>0</v>
      </c>
      <c r="Y191" s="49">
        <f t="shared" si="121"/>
        <v>0</v>
      </c>
      <c r="Z191" s="49">
        <f t="shared" si="121"/>
        <v>0</v>
      </c>
      <c r="AA191" s="49">
        <f t="shared" si="121"/>
        <v>0</v>
      </c>
      <c r="AB191" s="49">
        <f t="shared" si="121"/>
        <v>0</v>
      </c>
      <c r="AC191" s="49">
        <f t="shared" si="121"/>
        <v>0</v>
      </c>
      <c r="AD191" s="49">
        <f t="shared" si="121"/>
        <v>0</v>
      </c>
      <c r="AE191" s="1"/>
      <c r="AF191" s="1"/>
    </row>
    <row r="192" spans="1:32" x14ac:dyDescent="0.2">
      <c r="A192" s="13" t="s">
        <v>126</v>
      </c>
      <c r="B192" s="60" t="s">
        <v>85</v>
      </c>
      <c r="D192" s="10" t="s">
        <v>247</v>
      </c>
      <c r="E192" s="13" t="s">
        <v>25</v>
      </c>
      <c r="F192" s="38">
        <v>5</v>
      </c>
      <c r="G192" s="38">
        <v>5</v>
      </c>
      <c r="H192" s="38">
        <v>6</v>
      </c>
      <c r="I192" s="38"/>
      <c r="J192" s="38"/>
      <c r="K192" s="38"/>
      <c r="L192" s="38"/>
      <c r="M192" s="54"/>
      <c r="N192" s="38"/>
      <c r="O192" s="38"/>
      <c r="P192" s="38"/>
      <c r="Q192" s="38">
        <v>5</v>
      </c>
      <c r="R192" s="38">
        <v>5</v>
      </c>
      <c r="S192" s="38">
        <v>5</v>
      </c>
      <c r="T192" s="38">
        <v>5</v>
      </c>
      <c r="U192" s="38">
        <v>5</v>
      </c>
      <c r="V192" s="38">
        <v>5</v>
      </c>
      <c r="W192" s="38">
        <v>5</v>
      </c>
      <c r="X192" s="38">
        <v>5</v>
      </c>
      <c r="Y192" s="38">
        <v>5</v>
      </c>
      <c r="Z192" s="38">
        <v>5</v>
      </c>
      <c r="AA192" s="38">
        <v>5</v>
      </c>
      <c r="AB192" s="38">
        <v>5</v>
      </c>
      <c r="AC192" s="38">
        <v>5</v>
      </c>
      <c r="AD192" s="38">
        <v>5</v>
      </c>
      <c r="AE192" s="11"/>
      <c r="AF192" s="11"/>
    </row>
    <row r="193" spans="1:32" s="12" customFormat="1" x14ac:dyDescent="0.2">
      <c r="A193" s="12" t="s">
        <v>84</v>
      </c>
      <c r="B193" s="60" t="s">
        <v>85</v>
      </c>
      <c r="C193" s="4" t="s">
        <v>186</v>
      </c>
      <c r="D193" s="10" t="s">
        <v>247</v>
      </c>
      <c r="E193" s="12" t="s">
        <v>239</v>
      </c>
      <c r="F193" s="49">
        <f t="shared" ref="F193" si="122">F191/F192</f>
        <v>1.0167580000000001</v>
      </c>
      <c r="G193" s="49">
        <f>G191/G192</f>
        <v>6.0281280000000006</v>
      </c>
      <c r="H193" s="49">
        <f>H191/H192</f>
        <v>110.51568000000002</v>
      </c>
      <c r="I193" s="49"/>
      <c r="J193" s="49"/>
      <c r="K193" s="49"/>
      <c r="L193" s="49"/>
      <c r="M193" s="66"/>
      <c r="N193" s="49"/>
      <c r="O193" s="49"/>
      <c r="P193" s="49"/>
      <c r="Q193" s="49">
        <f t="shared" ref="Q193:AD193" si="123">Q191/Q192</f>
        <v>0</v>
      </c>
      <c r="R193" s="49">
        <f t="shared" si="123"/>
        <v>0</v>
      </c>
      <c r="S193" s="49">
        <f t="shared" si="123"/>
        <v>0</v>
      </c>
      <c r="T193" s="49">
        <f t="shared" si="123"/>
        <v>0</v>
      </c>
      <c r="U193" s="49">
        <f t="shared" si="123"/>
        <v>0</v>
      </c>
      <c r="V193" s="49">
        <f t="shared" si="123"/>
        <v>0</v>
      </c>
      <c r="W193" s="49">
        <f t="shared" si="123"/>
        <v>0</v>
      </c>
      <c r="X193" s="49">
        <f t="shared" si="123"/>
        <v>0</v>
      </c>
      <c r="Y193" s="49">
        <f t="shared" si="123"/>
        <v>0</v>
      </c>
      <c r="Z193" s="49">
        <f t="shared" si="123"/>
        <v>0</v>
      </c>
      <c r="AA193" s="49">
        <f t="shared" si="123"/>
        <v>0</v>
      </c>
      <c r="AB193" s="49">
        <f t="shared" si="123"/>
        <v>0</v>
      </c>
      <c r="AC193" s="49">
        <f t="shared" si="123"/>
        <v>0</v>
      </c>
      <c r="AD193" s="49">
        <f t="shared" si="123"/>
        <v>0</v>
      </c>
      <c r="AE193" s="1"/>
      <c r="AF193" s="1"/>
    </row>
    <row r="194" spans="1:32" s="12" customFormat="1" x14ac:dyDescent="0.2">
      <c r="A194" s="12" t="s">
        <v>84</v>
      </c>
      <c r="B194" s="60" t="s">
        <v>85</v>
      </c>
      <c r="C194" s="4" t="s">
        <v>186</v>
      </c>
      <c r="D194" s="10" t="s">
        <v>247</v>
      </c>
      <c r="E194" s="12" t="s">
        <v>240</v>
      </c>
      <c r="F194" s="49">
        <f t="shared" ref="F194" si="124">F191-F193</f>
        <v>4.0670320000000002</v>
      </c>
      <c r="G194" s="49">
        <f>G191-G193</f>
        <v>24.112512000000002</v>
      </c>
      <c r="H194" s="49">
        <f>H191-H193</f>
        <v>552.5784000000001</v>
      </c>
      <c r="I194" s="49"/>
      <c r="J194" s="49"/>
      <c r="K194" s="49"/>
      <c r="L194" s="49"/>
      <c r="M194" s="66"/>
      <c r="N194" s="49"/>
      <c r="O194" s="49"/>
      <c r="P194" s="49"/>
      <c r="Q194" s="49">
        <f t="shared" ref="Q194:AD194" si="125">Q191-Q193</f>
        <v>0</v>
      </c>
      <c r="R194" s="49">
        <f t="shared" si="125"/>
        <v>0</v>
      </c>
      <c r="S194" s="49">
        <f t="shared" si="125"/>
        <v>0</v>
      </c>
      <c r="T194" s="49">
        <f t="shared" si="125"/>
        <v>0</v>
      </c>
      <c r="U194" s="49">
        <f t="shared" si="125"/>
        <v>0</v>
      </c>
      <c r="V194" s="49">
        <f t="shared" si="125"/>
        <v>0</v>
      </c>
      <c r="W194" s="49">
        <f t="shared" si="125"/>
        <v>0</v>
      </c>
      <c r="X194" s="49">
        <f t="shared" si="125"/>
        <v>0</v>
      </c>
      <c r="Y194" s="49">
        <f t="shared" si="125"/>
        <v>0</v>
      </c>
      <c r="Z194" s="49">
        <f t="shared" si="125"/>
        <v>0</v>
      </c>
      <c r="AA194" s="49">
        <f t="shared" si="125"/>
        <v>0</v>
      </c>
      <c r="AB194" s="49">
        <f t="shared" si="125"/>
        <v>0</v>
      </c>
      <c r="AC194" s="49">
        <f t="shared" si="125"/>
        <v>0</v>
      </c>
      <c r="AD194" s="49">
        <f t="shared" si="125"/>
        <v>0</v>
      </c>
      <c r="AE194" s="1"/>
      <c r="AF194" s="1"/>
    </row>
    <row r="195" spans="1:32" s="12" customFormat="1" hidden="1" x14ac:dyDescent="0.2">
      <c r="C195" s="4"/>
      <c r="D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1"/>
      <c r="AF195" s="1"/>
    </row>
    <row r="196" spans="1:32" x14ac:dyDescent="0.2">
      <c r="A196" s="12" t="s">
        <v>84</v>
      </c>
      <c r="B196" s="60" t="s">
        <v>85</v>
      </c>
      <c r="C196" s="10" t="s">
        <v>186</v>
      </c>
      <c r="D196" s="10" t="s">
        <v>247</v>
      </c>
      <c r="E196" s="13" t="s">
        <v>244</v>
      </c>
      <c r="F196" s="36">
        <f t="shared" ref="F196" si="126">F191*F$61</f>
        <v>101.67580000000001</v>
      </c>
      <c r="G196" s="36">
        <f>G191*G$61</f>
        <v>602.81280000000015</v>
      </c>
      <c r="H196" s="36">
        <f>H191*H$61</f>
        <v>13261.881600000001</v>
      </c>
      <c r="I196" s="36"/>
      <c r="J196" s="36"/>
      <c r="K196" s="36"/>
      <c r="L196" s="36"/>
      <c r="M196" s="68"/>
      <c r="N196" s="36"/>
      <c r="O196" s="36"/>
      <c r="P196" s="36"/>
      <c r="Q196" s="36">
        <f t="shared" ref="Q196:AD196" si="127">Q191*Q$61</f>
        <v>0</v>
      </c>
      <c r="R196" s="36">
        <f t="shared" si="127"/>
        <v>0</v>
      </c>
      <c r="S196" s="36">
        <f t="shared" si="127"/>
        <v>0</v>
      </c>
      <c r="T196" s="36">
        <f t="shared" si="127"/>
        <v>0</v>
      </c>
      <c r="U196" s="36">
        <f t="shared" si="127"/>
        <v>0</v>
      </c>
      <c r="V196" s="36">
        <f t="shared" si="127"/>
        <v>0</v>
      </c>
      <c r="W196" s="36">
        <f t="shared" si="127"/>
        <v>0</v>
      </c>
      <c r="X196" s="36">
        <f t="shared" si="127"/>
        <v>0</v>
      </c>
      <c r="Y196" s="36">
        <f t="shared" si="127"/>
        <v>0</v>
      </c>
      <c r="Z196" s="36">
        <f t="shared" si="127"/>
        <v>0</v>
      </c>
      <c r="AA196" s="36">
        <f t="shared" si="127"/>
        <v>0</v>
      </c>
      <c r="AB196" s="36">
        <f t="shared" si="127"/>
        <v>0</v>
      </c>
      <c r="AC196" s="36">
        <f t="shared" si="127"/>
        <v>0</v>
      </c>
      <c r="AD196" s="36">
        <f t="shared" si="127"/>
        <v>0</v>
      </c>
      <c r="AE196" s="11"/>
      <c r="AF196" s="11"/>
    </row>
    <row r="197" spans="1:32" x14ac:dyDescent="0.2">
      <c r="A197" s="12" t="s">
        <v>84</v>
      </c>
      <c r="B197" s="60" t="s">
        <v>85</v>
      </c>
      <c r="C197" s="10" t="s">
        <v>186</v>
      </c>
      <c r="D197" s="10" t="s">
        <v>247</v>
      </c>
      <c r="E197" s="13" t="s">
        <v>245</v>
      </c>
      <c r="F197" s="36">
        <f t="shared" ref="F197" si="128">F193*F$61</f>
        <v>20.335160000000002</v>
      </c>
      <c r="G197" s="36">
        <f>G193*G$61</f>
        <v>120.56256000000002</v>
      </c>
      <c r="H197" s="36">
        <f>H193*H$61</f>
        <v>2210.3136000000004</v>
      </c>
      <c r="I197" s="36"/>
      <c r="J197" s="36"/>
      <c r="K197" s="36"/>
      <c r="L197" s="36"/>
      <c r="M197" s="68"/>
      <c r="N197" s="36"/>
      <c r="O197" s="36"/>
      <c r="P197" s="36"/>
      <c r="Q197" s="36">
        <f t="shared" ref="Q197:AD197" si="129">Q193*Q$61</f>
        <v>0</v>
      </c>
      <c r="R197" s="36">
        <f t="shared" si="129"/>
        <v>0</v>
      </c>
      <c r="S197" s="36">
        <f t="shared" si="129"/>
        <v>0</v>
      </c>
      <c r="T197" s="36">
        <f t="shared" si="129"/>
        <v>0</v>
      </c>
      <c r="U197" s="36">
        <f t="shared" si="129"/>
        <v>0</v>
      </c>
      <c r="V197" s="36">
        <f t="shared" si="129"/>
        <v>0</v>
      </c>
      <c r="W197" s="36">
        <f t="shared" si="129"/>
        <v>0</v>
      </c>
      <c r="X197" s="36">
        <f t="shared" si="129"/>
        <v>0</v>
      </c>
      <c r="Y197" s="36">
        <f t="shared" si="129"/>
        <v>0</v>
      </c>
      <c r="Z197" s="36">
        <f t="shared" si="129"/>
        <v>0</v>
      </c>
      <c r="AA197" s="36">
        <f t="shared" si="129"/>
        <v>0</v>
      </c>
      <c r="AB197" s="36">
        <f t="shared" si="129"/>
        <v>0</v>
      </c>
      <c r="AC197" s="36">
        <f t="shared" si="129"/>
        <v>0</v>
      </c>
      <c r="AD197" s="36">
        <f t="shared" si="129"/>
        <v>0</v>
      </c>
      <c r="AE197" s="11"/>
      <c r="AF197" s="11"/>
    </row>
    <row r="198" spans="1:32" x14ac:dyDescent="0.2">
      <c r="A198" s="12" t="s">
        <v>84</v>
      </c>
      <c r="B198" s="60" t="s">
        <v>85</v>
      </c>
      <c r="C198" s="10" t="s">
        <v>186</v>
      </c>
      <c r="D198" s="10" t="s">
        <v>247</v>
      </c>
      <c r="E198" s="13" t="s">
        <v>246</v>
      </c>
      <c r="F198" s="36">
        <f t="shared" ref="F198" si="130">F194*F$61</f>
        <v>81.340640000000008</v>
      </c>
      <c r="G198" s="36">
        <f>G194*G$61</f>
        <v>482.25024000000008</v>
      </c>
      <c r="H198" s="36">
        <f>H194*H$61</f>
        <v>11051.568000000003</v>
      </c>
      <c r="I198" s="36"/>
      <c r="J198" s="36"/>
      <c r="K198" s="36"/>
      <c r="L198" s="36"/>
      <c r="M198" s="68"/>
      <c r="N198" s="36"/>
      <c r="O198" s="36"/>
      <c r="P198" s="36"/>
      <c r="Q198" s="36">
        <f t="shared" ref="Q198:AD198" si="131">Q194*Q$61</f>
        <v>0</v>
      </c>
      <c r="R198" s="36">
        <f t="shared" si="131"/>
        <v>0</v>
      </c>
      <c r="S198" s="36">
        <f t="shared" si="131"/>
        <v>0</v>
      </c>
      <c r="T198" s="36">
        <f t="shared" si="131"/>
        <v>0</v>
      </c>
      <c r="U198" s="36">
        <f t="shared" si="131"/>
        <v>0</v>
      </c>
      <c r="V198" s="36">
        <f t="shared" si="131"/>
        <v>0</v>
      </c>
      <c r="W198" s="36">
        <f t="shared" si="131"/>
        <v>0</v>
      </c>
      <c r="X198" s="36">
        <f t="shared" si="131"/>
        <v>0</v>
      </c>
      <c r="Y198" s="36">
        <f t="shared" si="131"/>
        <v>0</v>
      </c>
      <c r="Z198" s="36">
        <f t="shared" si="131"/>
        <v>0</v>
      </c>
      <c r="AA198" s="36">
        <f t="shared" si="131"/>
        <v>0</v>
      </c>
      <c r="AB198" s="36">
        <f t="shared" si="131"/>
        <v>0</v>
      </c>
      <c r="AC198" s="36">
        <f t="shared" si="131"/>
        <v>0</v>
      </c>
      <c r="AD198" s="36">
        <f t="shared" si="131"/>
        <v>0</v>
      </c>
      <c r="AE198" s="11"/>
      <c r="AF198" s="11"/>
    </row>
    <row r="199" spans="1:32" hidden="1" x14ac:dyDescent="0.2">
      <c r="F199" s="10"/>
      <c r="K199" s="10"/>
      <c r="AC199" s="10"/>
      <c r="AD199" s="10"/>
      <c r="AE199" s="11"/>
      <c r="AF199" s="11"/>
    </row>
    <row r="200" spans="1:32" ht="26" x14ac:dyDescent="0.3">
      <c r="A200" s="10" t="s">
        <v>57</v>
      </c>
      <c r="B200" s="75" t="s">
        <v>127</v>
      </c>
      <c r="D200" s="60" t="s">
        <v>250</v>
      </c>
      <c r="E200" s="22" t="s">
        <v>251</v>
      </c>
      <c r="F200" s="104"/>
      <c r="G200" s="104"/>
      <c r="H200" s="104"/>
      <c r="I200" s="104"/>
      <c r="J200" s="104"/>
      <c r="K200" s="104"/>
      <c r="L200" s="104"/>
      <c r="M200" s="105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1"/>
      <c r="AF200" s="11"/>
    </row>
    <row r="201" spans="1:32" s="12" customFormat="1" hidden="1" x14ac:dyDescent="0.2"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"/>
      <c r="AF201" s="1"/>
    </row>
    <row r="202" spans="1:32" x14ac:dyDescent="0.2">
      <c r="A202" s="13" t="s">
        <v>126</v>
      </c>
      <c r="B202" s="60" t="s">
        <v>85</v>
      </c>
      <c r="C202" s="26"/>
      <c r="D202" s="60" t="s">
        <v>250</v>
      </c>
      <c r="E202" s="13" t="s">
        <v>23</v>
      </c>
      <c r="F202" s="38">
        <v>300</v>
      </c>
      <c r="G202" s="38">
        <v>300</v>
      </c>
      <c r="H202" s="38">
        <v>300</v>
      </c>
      <c r="I202" s="38"/>
      <c r="J202" s="38"/>
      <c r="K202" s="38"/>
      <c r="L202" s="38"/>
      <c r="M202" s="54"/>
      <c r="N202" s="38"/>
      <c r="O202" s="38"/>
      <c r="P202" s="38"/>
      <c r="Q202" s="38">
        <v>300</v>
      </c>
      <c r="R202" s="38">
        <v>300</v>
      </c>
      <c r="S202" s="38">
        <v>300</v>
      </c>
      <c r="T202" s="38">
        <v>300</v>
      </c>
      <c r="U202" s="38">
        <v>300</v>
      </c>
      <c r="V202" s="38">
        <v>300</v>
      </c>
      <c r="W202" s="38">
        <v>300</v>
      </c>
      <c r="X202" s="38">
        <v>300</v>
      </c>
      <c r="Y202" s="38">
        <v>300</v>
      </c>
      <c r="Z202" s="38">
        <v>300</v>
      </c>
      <c r="AA202" s="38">
        <v>300</v>
      </c>
      <c r="AB202" s="38">
        <v>300</v>
      </c>
      <c r="AC202" s="38">
        <v>300</v>
      </c>
      <c r="AD202" s="38">
        <v>300</v>
      </c>
      <c r="AE202" s="11"/>
      <c r="AF202" s="11"/>
    </row>
    <row r="203" spans="1:32" x14ac:dyDescent="0.2">
      <c r="A203" s="13" t="s">
        <v>126</v>
      </c>
      <c r="B203" s="60" t="s">
        <v>85</v>
      </c>
      <c r="D203" s="60" t="s">
        <v>250</v>
      </c>
      <c r="E203" s="13" t="s">
        <v>24</v>
      </c>
      <c r="F203" s="38">
        <v>20</v>
      </c>
      <c r="G203" s="38">
        <v>10</v>
      </c>
      <c r="H203" s="38">
        <v>10</v>
      </c>
      <c r="I203" s="38"/>
      <c r="J203" s="38"/>
      <c r="K203" s="38"/>
      <c r="L203" s="38"/>
      <c r="M203" s="54"/>
      <c r="N203" s="38"/>
      <c r="O203" s="38"/>
      <c r="P203" s="38"/>
      <c r="Q203" s="38">
        <v>20</v>
      </c>
      <c r="R203" s="38">
        <v>20</v>
      </c>
      <c r="S203" s="38">
        <v>20</v>
      </c>
      <c r="T203" s="38">
        <v>20</v>
      </c>
      <c r="U203" s="38">
        <v>20</v>
      </c>
      <c r="V203" s="38">
        <v>20</v>
      </c>
      <c r="W203" s="38">
        <v>20</v>
      </c>
      <c r="X203" s="38">
        <v>20</v>
      </c>
      <c r="Y203" s="38">
        <v>20</v>
      </c>
      <c r="Z203" s="38">
        <v>20</v>
      </c>
      <c r="AA203" s="38">
        <v>20</v>
      </c>
      <c r="AB203" s="38">
        <v>20</v>
      </c>
      <c r="AC203" s="38">
        <v>20</v>
      </c>
      <c r="AD203" s="38">
        <v>20</v>
      </c>
      <c r="AE203" s="11"/>
      <c r="AF203" s="11"/>
    </row>
    <row r="204" spans="1:32" x14ac:dyDescent="0.2">
      <c r="A204" s="13" t="s">
        <v>126</v>
      </c>
      <c r="B204" s="60" t="s">
        <v>127</v>
      </c>
      <c r="D204" s="60" t="s">
        <v>250</v>
      </c>
      <c r="E204" s="13" t="s">
        <v>30</v>
      </c>
      <c r="F204" s="104">
        <v>40</v>
      </c>
      <c r="G204" s="104">
        <v>48</v>
      </c>
      <c r="H204" s="104">
        <v>48</v>
      </c>
      <c r="I204" s="104"/>
      <c r="J204" s="104"/>
      <c r="K204" s="104"/>
      <c r="L204" s="104"/>
      <c r="M204" s="105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1"/>
      <c r="AF204" s="11"/>
    </row>
    <row r="205" spans="1:32" s="12" customFormat="1" x14ac:dyDescent="0.2">
      <c r="A205" s="12" t="s">
        <v>84</v>
      </c>
      <c r="B205" s="60" t="s">
        <v>127</v>
      </c>
      <c r="C205" s="4" t="s">
        <v>186</v>
      </c>
      <c r="D205" s="60" t="s">
        <v>250</v>
      </c>
      <c r="E205" s="12" t="s">
        <v>171</v>
      </c>
      <c r="F205" s="108">
        <f t="shared" ref="F205" si="132">F172/F204/F210</f>
        <v>9.9500624999999996</v>
      </c>
      <c r="G205" s="108">
        <f>G172/G204/G210</f>
        <v>7.9600499999999998</v>
      </c>
      <c r="H205" s="108">
        <f>H172/H204/H210</f>
        <v>31.840199999999999</v>
      </c>
      <c r="I205" s="108"/>
      <c r="J205" s="108"/>
      <c r="K205" s="108"/>
      <c r="L205" s="108"/>
      <c r="M205" s="109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"/>
      <c r="AF205" s="1"/>
    </row>
    <row r="206" spans="1:32" x14ac:dyDescent="0.2">
      <c r="A206" s="13" t="s">
        <v>126</v>
      </c>
      <c r="B206" s="60" t="s">
        <v>127</v>
      </c>
      <c r="D206" s="60" t="s">
        <v>250</v>
      </c>
      <c r="E206" s="13" t="s">
        <v>26</v>
      </c>
      <c r="F206" s="104">
        <v>2</v>
      </c>
      <c r="G206" s="104">
        <v>2</v>
      </c>
      <c r="H206" s="104">
        <v>2</v>
      </c>
      <c r="I206" s="104"/>
      <c r="J206" s="104"/>
      <c r="K206" s="104"/>
      <c r="L206" s="104"/>
      <c r="M206" s="105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1"/>
      <c r="AF206" s="11"/>
    </row>
    <row r="207" spans="1:32" x14ac:dyDescent="0.2">
      <c r="A207" s="12" t="s">
        <v>84</v>
      </c>
      <c r="B207" s="74" t="s">
        <v>85</v>
      </c>
      <c r="D207" s="60" t="s">
        <v>250</v>
      </c>
      <c r="E207" s="13" t="s">
        <v>252</v>
      </c>
      <c r="F207" s="45">
        <f t="shared" ref="F207" si="133">SQRT(F205/F203*1000)/PI()*2</f>
        <v>14.199662741172684</v>
      </c>
      <c r="G207" s="45">
        <f>SQRT(G205/G203*1000)/PI()*2</f>
        <v>17.961310507334268</v>
      </c>
      <c r="H207" s="45">
        <f>SQRT(H205/H203*1000)/PI()*2</f>
        <v>35.922621014668536</v>
      </c>
      <c r="I207" s="45"/>
      <c r="J207" s="45"/>
      <c r="K207" s="45"/>
      <c r="L207" s="45"/>
      <c r="M207" s="58"/>
      <c r="N207" s="45"/>
      <c r="O207" s="45"/>
      <c r="P207" s="45"/>
      <c r="Q207" s="45">
        <f t="shared" ref="Q207:AD207" si="134">SQRT(Q205/Q203*1000)/PI()*2</f>
        <v>0</v>
      </c>
      <c r="R207" s="45">
        <f t="shared" si="134"/>
        <v>0</v>
      </c>
      <c r="S207" s="45">
        <f t="shared" si="134"/>
        <v>0</v>
      </c>
      <c r="T207" s="45">
        <f t="shared" si="134"/>
        <v>0</v>
      </c>
      <c r="U207" s="45">
        <f t="shared" si="134"/>
        <v>0</v>
      </c>
      <c r="V207" s="45">
        <f t="shared" si="134"/>
        <v>0</v>
      </c>
      <c r="W207" s="45">
        <f t="shared" si="134"/>
        <v>0</v>
      </c>
      <c r="X207" s="45">
        <f t="shared" si="134"/>
        <v>0</v>
      </c>
      <c r="Y207" s="45">
        <f t="shared" si="134"/>
        <v>0</v>
      </c>
      <c r="Z207" s="45">
        <f t="shared" si="134"/>
        <v>0</v>
      </c>
      <c r="AA207" s="45">
        <f t="shared" si="134"/>
        <v>0</v>
      </c>
      <c r="AB207" s="45">
        <f t="shared" si="134"/>
        <v>0</v>
      </c>
      <c r="AC207" s="45">
        <f t="shared" si="134"/>
        <v>0</v>
      </c>
      <c r="AD207" s="45">
        <f t="shared" si="134"/>
        <v>0</v>
      </c>
      <c r="AE207" s="11"/>
      <c r="AF207" s="11"/>
    </row>
    <row r="208" spans="1:32" s="12" customFormat="1" x14ac:dyDescent="0.2">
      <c r="A208" s="12" t="s">
        <v>84</v>
      </c>
      <c r="B208" s="74" t="s">
        <v>243</v>
      </c>
      <c r="C208" s="4"/>
      <c r="D208" s="60" t="s">
        <v>250</v>
      </c>
      <c r="E208" s="12" t="s">
        <v>253</v>
      </c>
      <c r="F208" s="41">
        <f t="shared" ref="F208" si="135">F205*F204</f>
        <v>398.0025</v>
      </c>
      <c r="G208" s="41">
        <f>G205*G204</f>
        <v>382.08240000000001</v>
      </c>
      <c r="H208" s="41">
        <f>H205*H204</f>
        <v>1528.3296</v>
      </c>
      <c r="I208" s="41"/>
      <c r="J208" s="41"/>
      <c r="K208" s="41"/>
      <c r="L208" s="41"/>
      <c r="M208" s="62"/>
      <c r="N208" s="41"/>
      <c r="O208" s="41"/>
      <c r="P208" s="41"/>
      <c r="Q208" s="41">
        <f t="shared" ref="Q208:AD208" si="136">Q205*Q204</f>
        <v>0</v>
      </c>
      <c r="R208" s="41">
        <f t="shared" si="136"/>
        <v>0</v>
      </c>
      <c r="S208" s="41">
        <f t="shared" si="136"/>
        <v>0</v>
      </c>
      <c r="T208" s="41">
        <f t="shared" si="136"/>
        <v>0</v>
      </c>
      <c r="U208" s="41">
        <f t="shared" si="136"/>
        <v>0</v>
      </c>
      <c r="V208" s="41">
        <f t="shared" si="136"/>
        <v>0</v>
      </c>
      <c r="W208" s="41">
        <f t="shared" si="136"/>
        <v>0</v>
      </c>
      <c r="X208" s="41">
        <f t="shared" si="136"/>
        <v>0</v>
      </c>
      <c r="Y208" s="41">
        <f t="shared" si="136"/>
        <v>0</v>
      </c>
      <c r="Z208" s="41">
        <f t="shared" si="136"/>
        <v>0</v>
      </c>
      <c r="AA208" s="41">
        <f t="shared" si="136"/>
        <v>0</v>
      </c>
      <c r="AB208" s="41">
        <f t="shared" si="136"/>
        <v>0</v>
      </c>
      <c r="AC208" s="41">
        <f t="shared" si="136"/>
        <v>0</v>
      </c>
      <c r="AD208" s="41">
        <f t="shared" si="136"/>
        <v>0</v>
      </c>
      <c r="AE208" s="1"/>
      <c r="AF208" s="1"/>
    </row>
    <row r="209" spans="1:4095 4097:9215 9217:14335 14337:16384" s="23" customFormat="1" x14ac:dyDescent="0.2">
      <c r="A209" s="12" t="s">
        <v>84</v>
      </c>
      <c r="B209" s="74" t="s">
        <v>243</v>
      </c>
      <c r="C209" s="9"/>
      <c r="D209" s="60" t="s">
        <v>250</v>
      </c>
      <c r="E209" s="9" t="s">
        <v>174</v>
      </c>
      <c r="F209" s="44">
        <f t="shared" ref="F209" si="137">(F172/F210)/F208</f>
        <v>1</v>
      </c>
      <c r="G209" s="44">
        <f>(G172/G210)/G208</f>
        <v>1</v>
      </c>
      <c r="H209" s="44">
        <f>(H172/H210)/H208</f>
        <v>1</v>
      </c>
      <c r="I209" s="44"/>
      <c r="J209" s="44"/>
      <c r="K209" s="44"/>
      <c r="L209" s="44"/>
      <c r="M209" s="57"/>
      <c r="N209" s="44"/>
      <c r="O209" s="44"/>
      <c r="P209" s="44"/>
      <c r="Q209" s="44" t="e">
        <f t="shared" ref="Q209:AD209" si="138">(Q172/Q210)/Q208</f>
        <v>#DIV/0!</v>
      </c>
      <c r="R209" s="44" t="e">
        <f t="shared" si="138"/>
        <v>#DIV/0!</v>
      </c>
      <c r="S209" s="44" t="e">
        <f t="shared" si="138"/>
        <v>#DIV/0!</v>
      </c>
      <c r="T209" s="44" t="e">
        <f t="shared" si="138"/>
        <v>#DIV/0!</v>
      </c>
      <c r="U209" s="44" t="e">
        <f t="shared" si="138"/>
        <v>#DIV/0!</v>
      </c>
      <c r="V209" s="44" t="e">
        <f t="shared" si="138"/>
        <v>#DIV/0!</v>
      </c>
      <c r="W209" s="44" t="e">
        <f t="shared" si="138"/>
        <v>#DIV/0!</v>
      </c>
      <c r="X209" s="44" t="e">
        <f t="shared" si="138"/>
        <v>#DIV/0!</v>
      </c>
      <c r="Y209" s="44" t="e">
        <f t="shared" si="138"/>
        <v>#DIV/0!</v>
      </c>
      <c r="Z209" s="44" t="e">
        <f t="shared" si="138"/>
        <v>#DIV/0!</v>
      </c>
      <c r="AA209" s="44" t="e">
        <f t="shared" si="138"/>
        <v>#DIV/0!</v>
      </c>
      <c r="AB209" s="44" t="e">
        <f t="shared" si="138"/>
        <v>#DIV/0!</v>
      </c>
      <c r="AC209" s="44" t="e">
        <f t="shared" si="138"/>
        <v>#DIV/0!</v>
      </c>
      <c r="AD209" s="44" t="e">
        <f t="shared" si="138"/>
        <v>#DIV/0!</v>
      </c>
      <c r="AE209" s="9"/>
      <c r="AF209" s="9"/>
      <c r="AG209" s="9"/>
      <c r="AH209" s="9"/>
      <c r="AI209" s="9"/>
      <c r="AK209" s="9"/>
      <c r="AL209" s="9"/>
      <c r="AM209" s="9"/>
      <c r="AN209" s="9"/>
      <c r="AO209" s="9"/>
      <c r="AP209" s="9"/>
      <c r="AQ209" s="9"/>
      <c r="AR209" s="9"/>
      <c r="AS209" s="9"/>
      <c r="AU209" s="9"/>
      <c r="AV209" s="9"/>
      <c r="AW209" s="9"/>
      <c r="AX209" s="9"/>
      <c r="AY209" s="9"/>
      <c r="AZ209" s="9"/>
      <c r="BA209" s="9"/>
      <c r="BB209" s="9"/>
      <c r="BC209" s="9"/>
      <c r="BE209" s="9"/>
      <c r="BF209" s="9"/>
      <c r="BG209" s="9"/>
      <c r="BH209" s="9"/>
      <c r="BI209" s="9"/>
      <c r="BJ209" s="9"/>
      <c r="BK209" s="9"/>
      <c r="BL209" s="9"/>
      <c r="BM209" s="9"/>
      <c r="BO209" s="9"/>
      <c r="BP209" s="9"/>
      <c r="BQ209" s="9"/>
      <c r="BR209" s="9"/>
      <c r="BS209" s="9"/>
      <c r="BT209" s="9"/>
      <c r="BU209" s="9"/>
      <c r="BV209" s="9"/>
      <c r="BW209" s="9"/>
      <c r="BY209" s="9"/>
      <c r="BZ209" s="9"/>
      <c r="CA209" s="9"/>
      <c r="CB209" s="9"/>
      <c r="CC209" s="9"/>
      <c r="CD209" s="9"/>
      <c r="CE209" s="9"/>
      <c r="CF209" s="9"/>
      <c r="CG209" s="9"/>
      <c r="CI209" s="9"/>
      <c r="CJ209" s="9"/>
      <c r="CK209" s="9"/>
      <c r="CL209" s="9"/>
      <c r="CM209" s="9"/>
      <c r="CN209" s="9"/>
      <c r="CO209" s="9"/>
      <c r="CP209" s="9"/>
      <c r="CQ209" s="9"/>
      <c r="CS209" s="9"/>
      <c r="CT209" s="9"/>
      <c r="CU209" s="9"/>
      <c r="CV209" s="9"/>
      <c r="CW209" s="9"/>
      <c r="CX209" s="9"/>
      <c r="CY209" s="9"/>
      <c r="CZ209" s="9"/>
      <c r="DA209" s="9"/>
      <c r="DC209" s="9"/>
      <c r="DD209" s="9"/>
      <c r="DE209" s="9"/>
      <c r="DF209" s="9"/>
      <c r="DG209" s="9"/>
      <c r="DH209" s="9"/>
      <c r="DI209" s="9"/>
      <c r="DJ209" s="9"/>
      <c r="DK209" s="9"/>
      <c r="DM209" s="9"/>
      <c r="DN209" s="9"/>
      <c r="DO209" s="9"/>
      <c r="DP209" s="9"/>
      <c r="DQ209" s="9"/>
      <c r="DR209" s="9"/>
      <c r="DS209" s="9"/>
      <c r="DT209" s="9"/>
      <c r="DU209" s="9"/>
      <c r="DW209" s="9"/>
      <c r="DX209" s="9"/>
      <c r="DY209" s="9"/>
      <c r="DZ209" s="9"/>
      <c r="EA209" s="9"/>
      <c r="EB209" s="9"/>
      <c r="EC209" s="9"/>
      <c r="ED209" s="9"/>
      <c r="EE209" s="9"/>
      <c r="EG209" s="9"/>
      <c r="EH209" s="9"/>
      <c r="EI209" s="9"/>
      <c r="EJ209" s="9"/>
      <c r="EK209" s="9"/>
      <c r="EL209" s="9"/>
      <c r="EM209" s="9"/>
      <c r="EN209" s="9"/>
      <c r="EO209" s="9"/>
      <c r="EQ209" s="9"/>
      <c r="ER209" s="9"/>
      <c r="ES209" s="9"/>
      <c r="ET209" s="9"/>
      <c r="EU209" s="9"/>
      <c r="EV209" s="9"/>
      <c r="EW209" s="9"/>
      <c r="EX209" s="9"/>
      <c r="EY209" s="9"/>
      <c r="FA209" s="9"/>
      <c r="FB209" s="9"/>
      <c r="FC209" s="9"/>
      <c r="FD209" s="9"/>
      <c r="FE209" s="9"/>
      <c r="FF209" s="9"/>
      <c r="FG209" s="9"/>
      <c r="FH209" s="9"/>
      <c r="FI209" s="9"/>
      <c r="FK209" s="9"/>
      <c r="FL209" s="9"/>
      <c r="FM209" s="9"/>
      <c r="FN209" s="9"/>
      <c r="FO209" s="9"/>
      <c r="FP209" s="9"/>
      <c r="FQ209" s="9"/>
      <c r="FR209" s="9"/>
      <c r="FS209" s="9"/>
      <c r="FU209" s="9"/>
      <c r="FV209" s="9"/>
      <c r="FW209" s="9"/>
      <c r="FX209" s="9"/>
      <c r="FY209" s="9"/>
      <c r="FZ209" s="9"/>
      <c r="GA209" s="9"/>
      <c r="GB209" s="9"/>
      <c r="GC209" s="9"/>
      <c r="GE209" s="9"/>
      <c r="GF209" s="9"/>
      <c r="GG209" s="9"/>
      <c r="GH209" s="9"/>
      <c r="GI209" s="9"/>
      <c r="GJ209" s="9"/>
      <c r="GK209" s="9"/>
      <c r="GL209" s="9"/>
      <c r="GM209" s="9"/>
      <c r="GO209" s="9"/>
      <c r="GP209" s="9"/>
      <c r="GQ209" s="9"/>
      <c r="GR209" s="9"/>
      <c r="GS209" s="9"/>
      <c r="GT209" s="9"/>
      <c r="GU209" s="9"/>
      <c r="GV209" s="9"/>
      <c r="GW209" s="9"/>
      <c r="GY209" s="9"/>
      <c r="GZ209" s="9"/>
      <c r="HA209" s="9"/>
      <c r="HB209" s="9"/>
      <c r="HC209" s="9"/>
      <c r="HD209" s="9"/>
      <c r="HE209" s="9"/>
      <c r="HF209" s="9"/>
      <c r="HG209" s="9"/>
      <c r="HI209" s="9"/>
      <c r="HJ209" s="9"/>
      <c r="HK209" s="9"/>
      <c r="HL209" s="9"/>
      <c r="HM209" s="9"/>
      <c r="HN209" s="9"/>
      <c r="HO209" s="9"/>
      <c r="HP209" s="9"/>
      <c r="HQ209" s="9"/>
      <c r="HS209" s="9"/>
      <c r="HT209" s="9"/>
      <c r="HU209" s="9"/>
      <c r="HV209" s="9"/>
      <c r="HW209" s="9"/>
      <c r="HX209" s="9"/>
      <c r="HY209" s="9"/>
      <c r="HZ209" s="9"/>
      <c r="IA209" s="9"/>
      <c r="IC209" s="9"/>
      <c r="ID209" s="9"/>
      <c r="IE209" s="9"/>
      <c r="IF209" s="9"/>
      <c r="IG209" s="9"/>
      <c r="IH209" s="9"/>
      <c r="II209" s="9"/>
      <c r="IJ209" s="9"/>
      <c r="IK209" s="9"/>
      <c r="IM209" s="9"/>
      <c r="IN209" s="9"/>
      <c r="IO209" s="9"/>
      <c r="IP209" s="9"/>
      <c r="IQ209" s="9"/>
      <c r="IR209" s="9"/>
      <c r="IS209" s="9"/>
      <c r="IT209" s="9"/>
      <c r="IU209" s="9"/>
      <c r="IW209" s="9"/>
      <c r="IX209" s="9"/>
      <c r="IY209" s="9"/>
      <c r="IZ209" s="9"/>
      <c r="JA209" s="9"/>
      <c r="JB209" s="9"/>
      <c r="JC209" s="9"/>
      <c r="JD209" s="9"/>
      <c r="JE209" s="9"/>
      <c r="JG209" s="9"/>
      <c r="JH209" s="9"/>
      <c r="JI209" s="9"/>
      <c r="JJ209" s="9"/>
      <c r="JK209" s="9"/>
      <c r="JL209" s="9"/>
      <c r="JM209" s="9"/>
      <c r="JN209" s="9"/>
      <c r="JO209" s="9"/>
      <c r="JQ209" s="9"/>
      <c r="JR209" s="9"/>
      <c r="JS209" s="9"/>
      <c r="JT209" s="9"/>
      <c r="JU209" s="9"/>
      <c r="JV209" s="9"/>
      <c r="JW209" s="9"/>
      <c r="JX209" s="9"/>
      <c r="JY209" s="9"/>
      <c r="KA209" s="9"/>
      <c r="KB209" s="9"/>
      <c r="KC209" s="9"/>
      <c r="KD209" s="9"/>
      <c r="KE209" s="9"/>
      <c r="KF209" s="9"/>
      <c r="KG209" s="9"/>
      <c r="KH209" s="9"/>
      <c r="KI209" s="9"/>
      <c r="KK209" s="9"/>
      <c r="KL209" s="9"/>
      <c r="KM209" s="9"/>
      <c r="KN209" s="9"/>
      <c r="KO209" s="9"/>
      <c r="KP209" s="9"/>
      <c r="KQ209" s="9"/>
      <c r="KR209" s="9"/>
      <c r="KS209" s="9"/>
      <c r="KU209" s="9"/>
      <c r="KV209" s="9"/>
      <c r="KW209" s="9"/>
      <c r="KX209" s="9"/>
      <c r="KY209" s="9"/>
      <c r="KZ209" s="9"/>
      <c r="LA209" s="9"/>
      <c r="LB209" s="9"/>
      <c r="LC209" s="9"/>
      <c r="LE209" s="9"/>
      <c r="LF209" s="9"/>
      <c r="LG209" s="9"/>
      <c r="LH209" s="9"/>
      <c r="LI209" s="9"/>
      <c r="LJ209" s="9"/>
      <c r="LK209" s="9"/>
      <c r="LL209" s="9"/>
      <c r="LM209" s="9"/>
      <c r="LO209" s="9"/>
      <c r="LP209" s="9"/>
      <c r="LQ209" s="9"/>
      <c r="LR209" s="9"/>
      <c r="LS209" s="9"/>
      <c r="LT209" s="9"/>
      <c r="LU209" s="9"/>
      <c r="LV209" s="9"/>
      <c r="LW209" s="9"/>
      <c r="LY209" s="9"/>
      <c r="LZ209" s="9"/>
      <c r="MA209" s="9"/>
      <c r="MB209" s="9"/>
      <c r="MC209" s="9"/>
      <c r="MD209" s="9"/>
      <c r="ME209" s="9"/>
      <c r="MF209" s="9"/>
      <c r="MG209" s="9"/>
      <c r="MI209" s="9"/>
      <c r="MJ209" s="9"/>
      <c r="MK209" s="9"/>
      <c r="ML209" s="9"/>
      <c r="MM209" s="9"/>
      <c r="MN209" s="9"/>
      <c r="MO209" s="9"/>
      <c r="MP209" s="9"/>
      <c r="MQ209" s="9"/>
      <c r="MS209" s="9"/>
      <c r="MT209" s="9"/>
      <c r="MU209" s="9"/>
      <c r="MV209" s="9"/>
      <c r="MW209" s="9"/>
      <c r="MX209" s="9"/>
      <c r="MY209" s="9"/>
      <c r="MZ209" s="9"/>
      <c r="NA209" s="9"/>
      <c r="NC209" s="9"/>
      <c r="ND209" s="9"/>
      <c r="NE209" s="9"/>
      <c r="NF209" s="9"/>
      <c r="NG209" s="9"/>
      <c r="NH209" s="9"/>
      <c r="NI209" s="9"/>
      <c r="NJ209" s="9"/>
      <c r="NK209" s="9"/>
      <c r="NM209" s="9"/>
      <c r="NN209" s="9"/>
      <c r="NO209" s="9"/>
      <c r="NP209" s="9"/>
      <c r="NQ209" s="9"/>
      <c r="NR209" s="9"/>
      <c r="NS209" s="9"/>
      <c r="NT209" s="9"/>
      <c r="NU209" s="9"/>
      <c r="NW209" s="9"/>
      <c r="NX209" s="9"/>
      <c r="NY209" s="9"/>
      <c r="NZ209" s="9"/>
      <c r="OA209" s="9"/>
      <c r="OB209" s="9"/>
      <c r="OC209" s="9"/>
      <c r="OD209" s="9"/>
      <c r="OE209" s="9"/>
      <c r="OG209" s="9"/>
      <c r="OH209" s="9"/>
      <c r="OI209" s="9"/>
      <c r="OJ209" s="9"/>
      <c r="OK209" s="9"/>
      <c r="OL209" s="9"/>
      <c r="OM209" s="9"/>
      <c r="ON209" s="9"/>
      <c r="OO209" s="9"/>
      <c r="OQ209" s="9"/>
      <c r="OR209" s="9"/>
      <c r="OS209" s="9"/>
      <c r="OT209" s="9"/>
      <c r="OU209" s="9"/>
      <c r="OV209" s="9"/>
      <c r="OW209" s="9"/>
      <c r="OX209" s="9"/>
      <c r="OY209" s="9"/>
      <c r="PA209" s="9"/>
      <c r="PB209" s="9"/>
      <c r="PC209" s="9"/>
      <c r="PD209" s="9"/>
      <c r="PE209" s="9"/>
      <c r="PF209" s="9"/>
      <c r="PG209" s="9"/>
      <c r="PH209" s="9"/>
      <c r="PI209" s="9"/>
      <c r="PK209" s="9"/>
      <c r="PL209" s="9"/>
      <c r="PM209" s="9"/>
      <c r="PN209" s="9"/>
      <c r="PO209" s="9"/>
      <c r="PP209" s="9"/>
      <c r="PQ209" s="9"/>
      <c r="PR209" s="9"/>
      <c r="PS209" s="9"/>
      <c r="PU209" s="9"/>
      <c r="PV209" s="9"/>
      <c r="PW209" s="9"/>
      <c r="PX209" s="9"/>
      <c r="PY209" s="9"/>
      <c r="PZ209" s="9"/>
      <c r="QA209" s="9"/>
      <c r="QB209" s="9"/>
      <c r="QC209" s="9"/>
      <c r="QE209" s="9"/>
      <c r="QF209" s="9"/>
      <c r="QG209" s="9"/>
      <c r="QH209" s="9"/>
      <c r="QI209" s="9"/>
      <c r="QJ209" s="9"/>
      <c r="QK209" s="9"/>
      <c r="QL209" s="9"/>
      <c r="QM209" s="9"/>
      <c r="QO209" s="9"/>
      <c r="QP209" s="9"/>
      <c r="QQ209" s="9"/>
      <c r="QR209" s="9"/>
      <c r="QS209" s="9"/>
      <c r="QT209" s="9"/>
      <c r="QU209" s="9"/>
      <c r="QV209" s="9"/>
      <c r="QW209" s="9"/>
      <c r="QY209" s="9"/>
      <c r="QZ209" s="9"/>
      <c r="RA209" s="9"/>
      <c r="RB209" s="9"/>
      <c r="RC209" s="9"/>
      <c r="RD209" s="9"/>
      <c r="RE209" s="9"/>
      <c r="RF209" s="9"/>
      <c r="RG209" s="9"/>
      <c r="RI209" s="9"/>
      <c r="RJ209" s="9"/>
      <c r="RK209" s="9"/>
      <c r="RL209" s="9"/>
      <c r="RM209" s="9"/>
      <c r="RN209" s="9"/>
      <c r="RO209" s="9"/>
      <c r="RP209" s="9"/>
      <c r="RQ209" s="9"/>
      <c r="RS209" s="9"/>
      <c r="RT209" s="9"/>
      <c r="RU209" s="9"/>
      <c r="RV209" s="9"/>
      <c r="RW209" s="9"/>
      <c r="RX209" s="9"/>
      <c r="RY209" s="9"/>
      <c r="RZ209" s="9"/>
      <c r="SA209" s="9"/>
      <c r="SC209" s="9"/>
      <c r="SD209" s="9"/>
      <c r="SE209" s="9"/>
      <c r="SF209" s="9"/>
      <c r="SG209" s="9"/>
      <c r="SH209" s="9"/>
      <c r="SI209" s="9"/>
      <c r="SJ209" s="9"/>
      <c r="SK209" s="9"/>
      <c r="SM209" s="9"/>
      <c r="SN209" s="9"/>
      <c r="SO209" s="9"/>
      <c r="SP209" s="9"/>
      <c r="SQ209" s="9"/>
      <c r="SR209" s="9"/>
      <c r="SS209" s="9"/>
      <c r="ST209" s="9"/>
      <c r="SU209" s="9"/>
      <c r="SW209" s="9"/>
      <c r="SX209" s="9"/>
      <c r="SY209" s="9"/>
      <c r="SZ209" s="9"/>
      <c r="TA209" s="9"/>
      <c r="TB209" s="9"/>
      <c r="TC209" s="9"/>
      <c r="TD209" s="9"/>
      <c r="TE209" s="9"/>
      <c r="TG209" s="9"/>
      <c r="TH209" s="9"/>
      <c r="TI209" s="9"/>
      <c r="TJ209" s="9"/>
      <c r="TK209" s="9"/>
      <c r="TL209" s="9"/>
      <c r="TM209" s="9"/>
      <c r="TN209" s="9"/>
      <c r="TO209" s="9"/>
      <c r="TQ209" s="9"/>
      <c r="TR209" s="9"/>
      <c r="TS209" s="9"/>
      <c r="TT209" s="9"/>
      <c r="TU209" s="9"/>
      <c r="TV209" s="9"/>
      <c r="TW209" s="9"/>
      <c r="TX209" s="9"/>
      <c r="TY209" s="9"/>
      <c r="UA209" s="9"/>
      <c r="UB209" s="9"/>
      <c r="UC209" s="9"/>
      <c r="UD209" s="9"/>
      <c r="UE209" s="9"/>
      <c r="UF209" s="9"/>
      <c r="UG209" s="9"/>
      <c r="UH209" s="9"/>
      <c r="UI209" s="9"/>
      <c r="UK209" s="9"/>
      <c r="UL209" s="9"/>
      <c r="UM209" s="9"/>
      <c r="UN209" s="9"/>
      <c r="UO209" s="9"/>
      <c r="UP209" s="9"/>
      <c r="UQ209" s="9"/>
      <c r="UR209" s="9"/>
      <c r="US209" s="9"/>
      <c r="UU209" s="9"/>
      <c r="UV209" s="9"/>
      <c r="UW209" s="9"/>
      <c r="UX209" s="9"/>
      <c r="UY209" s="9"/>
      <c r="UZ209" s="9"/>
      <c r="VA209" s="9"/>
      <c r="VB209" s="9"/>
      <c r="VC209" s="9"/>
      <c r="VE209" s="9"/>
      <c r="VF209" s="9"/>
      <c r="VG209" s="9"/>
      <c r="VH209" s="9"/>
      <c r="VI209" s="9"/>
      <c r="VJ209" s="9"/>
      <c r="VK209" s="9"/>
      <c r="VL209" s="9"/>
      <c r="VM209" s="9"/>
      <c r="VO209" s="9"/>
      <c r="VP209" s="9"/>
      <c r="VQ209" s="9"/>
      <c r="VR209" s="9"/>
      <c r="VS209" s="9"/>
      <c r="VT209" s="9"/>
      <c r="VU209" s="9"/>
      <c r="VV209" s="9"/>
      <c r="VW209" s="9"/>
      <c r="VY209" s="9"/>
      <c r="VZ209" s="9"/>
      <c r="WA209" s="9"/>
      <c r="WB209" s="9"/>
      <c r="WC209" s="9"/>
      <c r="WD209" s="9"/>
      <c r="WE209" s="9"/>
      <c r="WF209" s="9"/>
      <c r="WG209" s="9"/>
      <c r="WI209" s="9"/>
      <c r="WJ209" s="9"/>
      <c r="WK209" s="9"/>
      <c r="WL209" s="9"/>
      <c r="WM209" s="9"/>
      <c r="WN209" s="9"/>
      <c r="WO209" s="9"/>
      <c r="WP209" s="9"/>
      <c r="WQ209" s="9"/>
      <c r="WS209" s="9"/>
      <c r="WT209" s="9"/>
      <c r="WU209" s="9"/>
      <c r="WV209" s="9"/>
      <c r="WW209" s="9"/>
      <c r="WX209" s="9"/>
      <c r="WY209" s="9"/>
      <c r="WZ209" s="9"/>
      <c r="XA209" s="9"/>
      <c r="XC209" s="9"/>
      <c r="XD209" s="9"/>
      <c r="XE209" s="9"/>
      <c r="XF209" s="9"/>
      <c r="XG209" s="9"/>
      <c r="XH209" s="9"/>
      <c r="XI209" s="9"/>
      <c r="XJ209" s="9"/>
      <c r="XK209" s="9"/>
      <c r="XM209" s="9"/>
      <c r="XN209" s="9"/>
      <c r="XO209" s="9"/>
      <c r="XP209" s="9"/>
      <c r="XQ209" s="9"/>
      <c r="XR209" s="9"/>
      <c r="XS209" s="9"/>
      <c r="XT209" s="9"/>
      <c r="XU209" s="9"/>
      <c r="XW209" s="9"/>
      <c r="XX209" s="9"/>
      <c r="XY209" s="9"/>
      <c r="XZ209" s="9"/>
      <c r="YA209" s="9"/>
      <c r="YB209" s="9"/>
      <c r="YC209" s="9"/>
      <c r="YD209" s="9"/>
      <c r="YE209" s="9"/>
      <c r="YG209" s="9"/>
      <c r="YH209" s="9"/>
      <c r="YI209" s="9"/>
      <c r="YJ209" s="9"/>
      <c r="YK209" s="9"/>
      <c r="YL209" s="9"/>
      <c r="YM209" s="9"/>
      <c r="YN209" s="9"/>
      <c r="YO209" s="9"/>
      <c r="YQ209" s="9"/>
      <c r="YR209" s="9"/>
      <c r="YS209" s="9"/>
      <c r="YT209" s="9"/>
      <c r="YU209" s="9"/>
      <c r="YV209" s="9"/>
      <c r="YW209" s="9"/>
      <c r="YX209" s="9"/>
      <c r="YY209" s="9"/>
      <c r="ZA209" s="9"/>
      <c r="ZB209" s="9"/>
      <c r="ZC209" s="9"/>
      <c r="ZD209" s="9"/>
      <c r="ZE209" s="9"/>
      <c r="ZF209" s="9"/>
      <c r="ZG209" s="9"/>
      <c r="ZH209" s="9"/>
      <c r="ZI209" s="9"/>
      <c r="ZK209" s="9"/>
      <c r="ZL209" s="9"/>
      <c r="ZM209" s="9"/>
      <c r="ZN209" s="9"/>
      <c r="ZO209" s="9"/>
      <c r="ZP209" s="9"/>
      <c r="ZQ209" s="9"/>
      <c r="ZR209" s="9"/>
      <c r="ZS209" s="9"/>
      <c r="ZU209" s="9"/>
      <c r="ZV209" s="9"/>
      <c r="ZW209" s="9"/>
      <c r="ZX209" s="9"/>
      <c r="ZY209" s="9"/>
      <c r="ZZ209" s="9"/>
      <c r="AAA209" s="9"/>
      <c r="AAB209" s="9"/>
      <c r="AAC209" s="9"/>
      <c r="AAE209" s="9"/>
      <c r="AAF209" s="9"/>
      <c r="AAG209" s="9"/>
      <c r="AAH209" s="9"/>
      <c r="AAI209" s="9"/>
      <c r="AAJ209" s="9"/>
      <c r="AAK209" s="9"/>
      <c r="AAL209" s="9"/>
      <c r="AAM209" s="9"/>
      <c r="AAO209" s="9"/>
      <c r="AAP209" s="9"/>
      <c r="AAQ209" s="9"/>
      <c r="AAR209" s="9"/>
      <c r="AAS209" s="9"/>
      <c r="AAT209" s="9"/>
      <c r="AAU209" s="9"/>
      <c r="AAV209" s="9"/>
      <c r="AAW209" s="9"/>
      <c r="AAY209" s="9"/>
      <c r="AAZ209" s="9"/>
      <c r="ABA209" s="9"/>
      <c r="ABB209" s="9"/>
      <c r="ABC209" s="9"/>
      <c r="ABD209" s="9"/>
      <c r="ABE209" s="9"/>
      <c r="ABF209" s="9"/>
      <c r="ABG209" s="9"/>
      <c r="ABI209" s="9"/>
      <c r="ABJ209" s="9"/>
      <c r="ABK209" s="9"/>
      <c r="ABL209" s="9"/>
      <c r="ABM209" s="9"/>
      <c r="ABN209" s="9"/>
      <c r="ABO209" s="9"/>
      <c r="ABP209" s="9"/>
      <c r="ABQ209" s="9"/>
      <c r="ABS209" s="9"/>
      <c r="ABT209" s="9"/>
      <c r="ABU209" s="9"/>
      <c r="ABV209" s="9"/>
      <c r="ABW209" s="9"/>
      <c r="ABX209" s="9"/>
      <c r="ABY209" s="9"/>
      <c r="ABZ209" s="9"/>
      <c r="ACA209" s="9"/>
      <c r="ACC209" s="9"/>
      <c r="ACD209" s="9"/>
      <c r="ACE209" s="9"/>
      <c r="ACF209" s="9"/>
      <c r="ACG209" s="9"/>
      <c r="ACH209" s="9"/>
      <c r="ACI209" s="9"/>
      <c r="ACJ209" s="9"/>
      <c r="ACK209" s="9"/>
      <c r="ACM209" s="9"/>
      <c r="ACN209" s="9"/>
      <c r="ACO209" s="9"/>
      <c r="ACP209" s="9"/>
      <c r="ACQ209" s="9"/>
      <c r="ACR209" s="9"/>
      <c r="ACS209" s="9"/>
      <c r="ACT209" s="9"/>
      <c r="ACU209" s="9"/>
      <c r="ACW209" s="9"/>
      <c r="ACX209" s="9"/>
      <c r="ACY209" s="9"/>
      <c r="ACZ209" s="9"/>
      <c r="ADA209" s="9"/>
      <c r="ADB209" s="9"/>
      <c r="ADC209" s="9"/>
      <c r="ADD209" s="9"/>
      <c r="ADE209" s="9"/>
      <c r="ADG209" s="9"/>
      <c r="ADH209" s="9"/>
      <c r="ADI209" s="9"/>
      <c r="ADJ209" s="9"/>
      <c r="ADK209" s="9"/>
      <c r="ADL209" s="9"/>
      <c r="ADM209" s="9"/>
      <c r="ADN209" s="9"/>
      <c r="ADO209" s="9"/>
      <c r="ADQ209" s="9"/>
      <c r="ADR209" s="9"/>
      <c r="ADS209" s="9"/>
      <c r="ADT209" s="9"/>
      <c r="ADU209" s="9"/>
      <c r="ADV209" s="9"/>
      <c r="ADW209" s="9"/>
      <c r="ADX209" s="9"/>
      <c r="ADY209" s="9"/>
      <c r="AEA209" s="9"/>
      <c r="AEB209" s="9"/>
      <c r="AEC209" s="9"/>
      <c r="AED209" s="9"/>
      <c r="AEE209" s="9"/>
      <c r="AEF209" s="9"/>
      <c r="AEG209" s="9"/>
      <c r="AEH209" s="9"/>
      <c r="AEI209" s="9"/>
      <c r="AEK209" s="9"/>
      <c r="AEL209" s="9"/>
      <c r="AEM209" s="9"/>
      <c r="AEN209" s="9"/>
      <c r="AEO209" s="9"/>
      <c r="AEP209" s="9"/>
      <c r="AEQ209" s="9"/>
      <c r="AER209" s="9"/>
      <c r="AES209" s="9"/>
      <c r="AEU209" s="9"/>
      <c r="AEV209" s="9"/>
      <c r="AEW209" s="9"/>
      <c r="AEX209" s="9"/>
      <c r="AEY209" s="9"/>
      <c r="AEZ209" s="9"/>
      <c r="AFA209" s="9"/>
      <c r="AFB209" s="9"/>
      <c r="AFC209" s="9"/>
      <c r="AFE209" s="9"/>
      <c r="AFF209" s="9"/>
      <c r="AFG209" s="9"/>
      <c r="AFH209" s="9"/>
      <c r="AFI209" s="9"/>
      <c r="AFJ209" s="9"/>
      <c r="AFK209" s="9"/>
      <c r="AFL209" s="9"/>
      <c r="AFM209" s="9"/>
      <c r="AFO209" s="9"/>
      <c r="AFP209" s="9"/>
      <c r="AFQ209" s="9"/>
      <c r="AFR209" s="9"/>
      <c r="AFS209" s="9"/>
      <c r="AFT209" s="9"/>
      <c r="AFU209" s="9"/>
      <c r="AFV209" s="9"/>
      <c r="AFW209" s="9"/>
      <c r="AFY209" s="9"/>
      <c r="AFZ209" s="9"/>
      <c r="AGA209" s="9"/>
      <c r="AGB209" s="9"/>
      <c r="AGC209" s="9"/>
      <c r="AGD209" s="9"/>
      <c r="AGE209" s="9"/>
      <c r="AGF209" s="9"/>
      <c r="AGG209" s="9"/>
      <c r="AGI209" s="9"/>
      <c r="AGJ209" s="9"/>
      <c r="AGK209" s="9"/>
      <c r="AGL209" s="9"/>
      <c r="AGM209" s="9"/>
      <c r="AGN209" s="9"/>
      <c r="AGO209" s="9"/>
      <c r="AGP209" s="9"/>
      <c r="AGQ209" s="9"/>
      <c r="AGS209" s="9"/>
      <c r="AGT209" s="9"/>
      <c r="AGU209" s="9"/>
      <c r="AGV209" s="9"/>
      <c r="AGW209" s="9"/>
      <c r="AGX209" s="9"/>
      <c r="AGY209" s="9"/>
      <c r="AGZ209" s="9"/>
      <c r="AHA209" s="9"/>
      <c r="AHC209" s="9"/>
      <c r="AHD209" s="9"/>
      <c r="AHE209" s="9"/>
      <c r="AHF209" s="9"/>
      <c r="AHG209" s="9"/>
      <c r="AHH209" s="9"/>
      <c r="AHI209" s="9"/>
      <c r="AHJ209" s="9"/>
      <c r="AHK209" s="9"/>
      <c r="AHM209" s="9"/>
      <c r="AHN209" s="9"/>
      <c r="AHO209" s="9"/>
      <c r="AHP209" s="9"/>
      <c r="AHQ209" s="9"/>
      <c r="AHR209" s="9"/>
      <c r="AHS209" s="9"/>
      <c r="AHT209" s="9"/>
      <c r="AHU209" s="9"/>
      <c r="AHW209" s="9"/>
      <c r="AHX209" s="9"/>
      <c r="AHY209" s="9"/>
      <c r="AHZ209" s="9"/>
      <c r="AIA209" s="9"/>
      <c r="AIB209" s="9"/>
      <c r="AIC209" s="9"/>
      <c r="AID209" s="9"/>
      <c r="AIE209" s="9"/>
      <c r="AIG209" s="9"/>
      <c r="AIH209" s="9"/>
      <c r="AII209" s="9"/>
      <c r="AIJ209" s="9"/>
      <c r="AIK209" s="9"/>
      <c r="AIL209" s="9"/>
      <c r="AIM209" s="9"/>
      <c r="AIN209" s="9"/>
      <c r="AIO209" s="9"/>
      <c r="AIQ209" s="9"/>
      <c r="AIR209" s="9"/>
      <c r="AIS209" s="9"/>
      <c r="AIT209" s="9"/>
      <c r="AIU209" s="9"/>
      <c r="AIV209" s="9"/>
      <c r="AIW209" s="9"/>
      <c r="AIX209" s="9"/>
      <c r="AIY209" s="9"/>
      <c r="AJA209" s="9"/>
      <c r="AJB209" s="9"/>
      <c r="AJC209" s="9"/>
      <c r="AJD209" s="9"/>
      <c r="AJE209" s="9"/>
      <c r="AJF209" s="9"/>
      <c r="AJG209" s="9"/>
      <c r="AJH209" s="9"/>
      <c r="AJI209" s="9"/>
      <c r="AJK209" s="9"/>
      <c r="AJL209" s="9"/>
      <c r="AJM209" s="9"/>
      <c r="AJN209" s="9"/>
      <c r="AJO209" s="9"/>
      <c r="AJP209" s="9"/>
      <c r="AJQ209" s="9"/>
      <c r="AJR209" s="9"/>
      <c r="AJS209" s="9"/>
      <c r="AJU209" s="9"/>
      <c r="AJV209" s="9"/>
      <c r="AJW209" s="9"/>
      <c r="AJX209" s="9"/>
      <c r="AJY209" s="9"/>
      <c r="AJZ209" s="9"/>
      <c r="AKA209" s="9"/>
      <c r="AKB209" s="9"/>
      <c r="AKC209" s="9"/>
      <c r="AKE209" s="9"/>
      <c r="AKF209" s="9"/>
      <c r="AKG209" s="9"/>
      <c r="AKH209" s="9"/>
      <c r="AKI209" s="9"/>
      <c r="AKJ209" s="9"/>
      <c r="AKK209" s="9"/>
      <c r="AKL209" s="9"/>
      <c r="AKM209" s="9"/>
      <c r="AKO209" s="9"/>
      <c r="AKP209" s="9"/>
      <c r="AKQ209" s="9"/>
      <c r="AKR209" s="9"/>
      <c r="AKS209" s="9"/>
      <c r="AKT209" s="9"/>
      <c r="AKU209" s="9"/>
      <c r="AKV209" s="9"/>
      <c r="AKW209" s="9"/>
      <c r="AKY209" s="9"/>
      <c r="AKZ209" s="9"/>
      <c r="ALA209" s="9"/>
      <c r="ALB209" s="9"/>
      <c r="ALC209" s="9"/>
      <c r="ALD209" s="9"/>
      <c r="ALE209" s="9"/>
      <c r="ALF209" s="9"/>
      <c r="ALG209" s="9"/>
      <c r="ALI209" s="9"/>
      <c r="ALJ209" s="9"/>
      <c r="ALK209" s="9"/>
      <c r="ALL209" s="9"/>
      <c r="ALM209" s="9"/>
      <c r="ALN209" s="9"/>
      <c r="ALO209" s="9"/>
      <c r="ALP209" s="9"/>
      <c r="ALQ209" s="9"/>
      <c r="ALS209" s="9"/>
      <c r="ALT209" s="9"/>
      <c r="ALU209" s="9"/>
      <c r="ALV209" s="9"/>
      <c r="ALW209" s="9"/>
      <c r="ALX209" s="9"/>
      <c r="ALY209" s="9"/>
      <c r="ALZ209" s="9"/>
      <c r="AMA209" s="9"/>
      <c r="AMC209" s="9"/>
      <c r="AMD209" s="9"/>
      <c r="AME209" s="9"/>
      <c r="AMF209" s="9"/>
      <c r="AMG209" s="9"/>
      <c r="AMH209" s="9"/>
      <c r="AMI209" s="9"/>
      <c r="AMJ209" s="9"/>
      <c r="AMK209" s="9"/>
      <c r="AMM209" s="9"/>
      <c r="AMN209" s="9"/>
      <c r="AMO209" s="9"/>
      <c r="AMP209" s="9"/>
      <c r="AMQ209" s="9"/>
      <c r="AMR209" s="9"/>
      <c r="AMS209" s="9"/>
      <c r="AMT209" s="9"/>
      <c r="AMU209" s="9"/>
      <c r="AMW209" s="9"/>
      <c r="AMX209" s="9"/>
      <c r="AMY209" s="9"/>
      <c r="AMZ209" s="9"/>
      <c r="ANA209" s="9"/>
      <c r="ANB209" s="9"/>
      <c r="ANC209" s="9"/>
      <c r="AND209" s="9"/>
      <c r="ANE209" s="9"/>
      <c r="ANG209" s="9"/>
      <c r="ANH209" s="9"/>
      <c r="ANI209" s="9"/>
      <c r="ANJ209" s="9"/>
      <c r="ANK209" s="9"/>
      <c r="ANL209" s="9"/>
      <c r="ANM209" s="9"/>
      <c r="ANN209" s="9"/>
      <c r="ANO209" s="9"/>
      <c r="ANQ209" s="9"/>
      <c r="ANR209" s="9"/>
      <c r="ANS209" s="9"/>
      <c r="ANT209" s="9"/>
      <c r="ANU209" s="9"/>
      <c r="ANV209" s="9"/>
      <c r="ANW209" s="9"/>
      <c r="ANX209" s="9"/>
      <c r="ANY209" s="9"/>
      <c r="AOA209" s="9"/>
      <c r="AOB209" s="9"/>
      <c r="AOC209" s="9"/>
      <c r="AOD209" s="9"/>
      <c r="AOE209" s="9"/>
      <c r="AOF209" s="9"/>
      <c r="AOG209" s="9"/>
      <c r="AOH209" s="9"/>
      <c r="AOI209" s="9"/>
      <c r="AOK209" s="9"/>
      <c r="AOL209" s="9"/>
      <c r="AOM209" s="9"/>
      <c r="AON209" s="9"/>
      <c r="AOO209" s="9"/>
      <c r="AOP209" s="9"/>
      <c r="AOQ209" s="9"/>
      <c r="AOR209" s="9"/>
      <c r="AOS209" s="9"/>
      <c r="AOU209" s="9"/>
      <c r="AOV209" s="9"/>
      <c r="AOW209" s="9"/>
      <c r="AOX209" s="9"/>
      <c r="AOY209" s="9"/>
      <c r="AOZ209" s="9"/>
      <c r="APA209" s="9"/>
      <c r="APB209" s="9"/>
      <c r="APC209" s="9"/>
      <c r="APE209" s="9"/>
      <c r="APF209" s="9"/>
      <c r="APG209" s="9"/>
      <c r="APH209" s="9"/>
      <c r="API209" s="9"/>
      <c r="APJ209" s="9"/>
      <c r="APK209" s="9"/>
      <c r="APL209" s="9"/>
      <c r="APM209" s="9"/>
      <c r="APO209" s="9"/>
      <c r="APP209" s="9"/>
      <c r="APQ209" s="9"/>
      <c r="APR209" s="9"/>
      <c r="APS209" s="9"/>
      <c r="APT209" s="9"/>
      <c r="APU209" s="9"/>
      <c r="APV209" s="9"/>
      <c r="APW209" s="9"/>
      <c r="APY209" s="9"/>
      <c r="APZ209" s="9"/>
      <c r="AQA209" s="9"/>
      <c r="AQB209" s="9"/>
      <c r="AQC209" s="9"/>
      <c r="AQD209" s="9"/>
      <c r="AQE209" s="9"/>
      <c r="AQF209" s="9"/>
      <c r="AQG209" s="9"/>
      <c r="AQI209" s="9"/>
      <c r="AQJ209" s="9"/>
      <c r="AQK209" s="9"/>
      <c r="AQL209" s="9"/>
      <c r="AQM209" s="9"/>
      <c r="AQN209" s="9"/>
      <c r="AQO209" s="9"/>
      <c r="AQP209" s="9"/>
      <c r="AQQ209" s="9"/>
      <c r="AQS209" s="9"/>
      <c r="AQT209" s="9"/>
      <c r="AQU209" s="9"/>
      <c r="AQV209" s="9"/>
      <c r="AQW209" s="9"/>
      <c r="AQX209" s="9"/>
      <c r="AQY209" s="9"/>
      <c r="AQZ209" s="9"/>
      <c r="ARA209" s="9"/>
      <c r="ARC209" s="9"/>
      <c r="ARD209" s="9"/>
      <c r="ARE209" s="9"/>
      <c r="ARF209" s="9"/>
      <c r="ARG209" s="9"/>
      <c r="ARH209" s="9"/>
      <c r="ARI209" s="9"/>
      <c r="ARJ209" s="9"/>
      <c r="ARK209" s="9"/>
      <c r="ARM209" s="9"/>
      <c r="ARN209" s="9"/>
      <c r="ARO209" s="9"/>
      <c r="ARP209" s="9"/>
      <c r="ARQ209" s="9"/>
      <c r="ARR209" s="9"/>
      <c r="ARS209" s="9"/>
      <c r="ART209" s="9"/>
      <c r="ARU209" s="9"/>
      <c r="ARW209" s="9"/>
      <c r="ARX209" s="9"/>
      <c r="ARY209" s="9"/>
      <c r="ARZ209" s="9"/>
      <c r="ASA209" s="9"/>
      <c r="ASB209" s="9"/>
      <c r="ASC209" s="9"/>
      <c r="ASD209" s="9"/>
      <c r="ASE209" s="9"/>
      <c r="ASG209" s="9"/>
      <c r="ASH209" s="9"/>
      <c r="ASI209" s="9"/>
      <c r="ASJ209" s="9"/>
      <c r="ASK209" s="9"/>
      <c r="ASL209" s="9"/>
      <c r="ASM209" s="9"/>
      <c r="ASN209" s="9"/>
      <c r="ASO209" s="9"/>
      <c r="ASQ209" s="9"/>
      <c r="ASR209" s="9"/>
      <c r="ASS209" s="9"/>
      <c r="AST209" s="9"/>
      <c r="ASU209" s="9"/>
      <c r="ASV209" s="9"/>
      <c r="ASW209" s="9"/>
      <c r="ASX209" s="9"/>
      <c r="ASY209" s="9"/>
      <c r="ATA209" s="9"/>
      <c r="ATB209" s="9"/>
      <c r="ATC209" s="9"/>
      <c r="ATD209" s="9"/>
      <c r="ATE209" s="9"/>
      <c r="ATF209" s="9"/>
      <c r="ATG209" s="9"/>
      <c r="ATH209" s="9"/>
      <c r="ATI209" s="9"/>
      <c r="ATK209" s="9"/>
      <c r="ATL209" s="9"/>
      <c r="ATM209" s="9"/>
      <c r="ATN209" s="9"/>
      <c r="ATO209" s="9"/>
      <c r="ATP209" s="9"/>
      <c r="ATQ209" s="9"/>
      <c r="ATR209" s="9"/>
      <c r="ATS209" s="9"/>
      <c r="ATU209" s="9"/>
      <c r="ATV209" s="9"/>
      <c r="ATW209" s="9"/>
      <c r="ATX209" s="9"/>
      <c r="ATY209" s="9"/>
      <c r="ATZ209" s="9"/>
      <c r="AUA209" s="9"/>
      <c r="AUB209" s="9"/>
      <c r="AUC209" s="9"/>
      <c r="AUE209" s="9"/>
      <c r="AUF209" s="9"/>
      <c r="AUG209" s="9"/>
      <c r="AUH209" s="9"/>
      <c r="AUI209" s="9"/>
      <c r="AUJ209" s="9"/>
      <c r="AUK209" s="9"/>
      <c r="AUL209" s="9"/>
      <c r="AUM209" s="9"/>
      <c r="AUO209" s="9"/>
      <c r="AUP209" s="9"/>
      <c r="AUQ209" s="9"/>
      <c r="AUR209" s="9"/>
      <c r="AUS209" s="9"/>
      <c r="AUT209" s="9"/>
      <c r="AUU209" s="9"/>
      <c r="AUV209" s="9"/>
      <c r="AUW209" s="9"/>
      <c r="AUY209" s="9"/>
      <c r="AUZ209" s="9"/>
      <c r="AVA209" s="9"/>
      <c r="AVB209" s="9"/>
      <c r="AVC209" s="9"/>
      <c r="AVD209" s="9"/>
      <c r="AVE209" s="9"/>
      <c r="AVF209" s="9"/>
      <c r="AVG209" s="9"/>
      <c r="AVI209" s="9"/>
      <c r="AVJ209" s="9"/>
      <c r="AVK209" s="9"/>
      <c r="AVL209" s="9"/>
      <c r="AVM209" s="9"/>
      <c r="AVN209" s="9"/>
      <c r="AVO209" s="9"/>
      <c r="AVP209" s="9"/>
      <c r="AVQ209" s="9"/>
      <c r="AVS209" s="9"/>
      <c r="AVT209" s="9"/>
      <c r="AVU209" s="9"/>
      <c r="AVV209" s="9"/>
      <c r="AVW209" s="9"/>
      <c r="AVX209" s="9"/>
      <c r="AVY209" s="9"/>
      <c r="AVZ209" s="9"/>
      <c r="AWA209" s="9"/>
      <c r="AWC209" s="9"/>
      <c r="AWD209" s="9"/>
      <c r="AWE209" s="9"/>
      <c r="AWF209" s="9"/>
      <c r="AWG209" s="9"/>
      <c r="AWH209" s="9"/>
      <c r="AWI209" s="9"/>
      <c r="AWJ209" s="9"/>
      <c r="AWK209" s="9"/>
      <c r="AWM209" s="9"/>
      <c r="AWN209" s="9"/>
      <c r="AWO209" s="9"/>
      <c r="AWP209" s="9"/>
      <c r="AWQ209" s="9"/>
      <c r="AWR209" s="9"/>
      <c r="AWS209" s="9"/>
      <c r="AWT209" s="9"/>
      <c r="AWU209" s="9"/>
      <c r="AWW209" s="9"/>
      <c r="AWX209" s="9"/>
      <c r="AWY209" s="9"/>
      <c r="AWZ209" s="9"/>
      <c r="AXA209" s="9"/>
      <c r="AXB209" s="9"/>
      <c r="AXC209" s="9"/>
      <c r="AXD209" s="9"/>
      <c r="AXE209" s="9"/>
      <c r="AXG209" s="9"/>
      <c r="AXH209" s="9"/>
      <c r="AXI209" s="9"/>
      <c r="AXJ209" s="9"/>
      <c r="AXK209" s="9"/>
      <c r="AXL209" s="9"/>
      <c r="AXM209" s="9"/>
      <c r="AXN209" s="9"/>
      <c r="AXO209" s="9"/>
      <c r="AXQ209" s="9"/>
      <c r="AXR209" s="9"/>
      <c r="AXS209" s="9"/>
      <c r="AXT209" s="9"/>
      <c r="AXU209" s="9"/>
      <c r="AXV209" s="9"/>
      <c r="AXW209" s="9"/>
      <c r="AXX209" s="9"/>
      <c r="AXY209" s="9"/>
      <c r="AYA209" s="9"/>
      <c r="AYB209" s="9"/>
      <c r="AYC209" s="9"/>
      <c r="AYD209" s="9"/>
      <c r="AYE209" s="9"/>
      <c r="AYF209" s="9"/>
      <c r="AYG209" s="9"/>
      <c r="AYH209" s="9"/>
      <c r="AYI209" s="9"/>
      <c r="AYK209" s="9"/>
      <c r="AYL209" s="9"/>
      <c r="AYM209" s="9"/>
      <c r="AYN209" s="9"/>
      <c r="AYO209" s="9"/>
      <c r="AYP209" s="9"/>
      <c r="AYQ209" s="9"/>
      <c r="AYR209" s="9"/>
      <c r="AYS209" s="9"/>
      <c r="AYU209" s="9"/>
      <c r="AYV209" s="9"/>
      <c r="AYW209" s="9"/>
      <c r="AYX209" s="9"/>
      <c r="AYY209" s="9"/>
      <c r="AYZ209" s="9"/>
      <c r="AZA209" s="9"/>
      <c r="AZB209" s="9"/>
      <c r="AZC209" s="9"/>
      <c r="AZE209" s="9"/>
      <c r="AZF209" s="9"/>
      <c r="AZG209" s="9"/>
      <c r="AZH209" s="9"/>
      <c r="AZI209" s="9"/>
      <c r="AZJ209" s="9"/>
      <c r="AZK209" s="9"/>
      <c r="AZL209" s="9"/>
      <c r="AZM209" s="9"/>
      <c r="AZO209" s="9"/>
      <c r="AZP209" s="9"/>
      <c r="AZQ209" s="9"/>
      <c r="AZR209" s="9"/>
      <c r="AZS209" s="9"/>
      <c r="AZT209" s="9"/>
      <c r="AZU209" s="9"/>
      <c r="AZV209" s="9"/>
      <c r="AZW209" s="9"/>
      <c r="AZY209" s="9"/>
      <c r="AZZ209" s="9"/>
      <c r="BAA209" s="9"/>
      <c r="BAB209" s="9"/>
      <c r="BAC209" s="9"/>
      <c r="BAD209" s="9"/>
      <c r="BAE209" s="9"/>
      <c r="BAF209" s="9"/>
      <c r="BAG209" s="9"/>
      <c r="BAI209" s="9"/>
      <c r="BAJ209" s="9"/>
      <c r="BAK209" s="9"/>
      <c r="BAL209" s="9"/>
      <c r="BAM209" s="9"/>
      <c r="BAN209" s="9"/>
      <c r="BAO209" s="9"/>
      <c r="BAP209" s="9"/>
      <c r="BAQ209" s="9"/>
      <c r="BAS209" s="9"/>
      <c r="BAT209" s="9"/>
      <c r="BAU209" s="9"/>
      <c r="BAV209" s="9"/>
      <c r="BAW209" s="9"/>
      <c r="BAX209" s="9"/>
      <c r="BAY209" s="9"/>
      <c r="BAZ209" s="9"/>
      <c r="BBA209" s="9"/>
      <c r="BBC209" s="9"/>
      <c r="BBD209" s="9"/>
      <c r="BBE209" s="9"/>
      <c r="BBF209" s="9"/>
      <c r="BBG209" s="9"/>
      <c r="BBH209" s="9"/>
      <c r="BBI209" s="9"/>
      <c r="BBJ209" s="9"/>
      <c r="BBK209" s="9"/>
      <c r="BBM209" s="9"/>
      <c r="BBN209" s="9"/>
      <c r="BBO209" s="9"/>
      <c r="BBP209" s="9"/>
      <c r="BBQ209" s="9"/>
      <c r="BBR209" s="9"/>
      <c r="BBS209" s="9"/>
      <c r="BBT209" s="9"/>
      <c r="BBU209" s="9"/>
      <c r="BBW209" s="9"/>
      <c r="BBX209" s="9"/>
      <c r="BBY209" s="9"/>
      <c r="BBZ209" s="9"/>
      <c r="BCA209" s="9"/>
      <c r="BCB209" s="9"/>
      <c r="BCC209" s="9"/>
      <c r="BCD209" s="9"/>
      <c r="BCE209" s="9"/>
      <c r="BCG209" s="9"/>
      <c r="BCH209" s="9"/>
      <c r="BCI209" s="9"/>
      <c r="BCJ209" s="9"/>
      <c r="BCK209" s="9"/>
      <c r="BCL209" s="9"/>
      <c r="BCM209" s="9"/>
      <c r="BCN209" s="9"/>
      <c r="BCO209" s="9"/>
      <c r="BCQ209" s="9"/>
      <c r="BCR209" s="9"/>
      <c r="BCS209" s="9"/>
      <c r="BCT209" s="9"/>
      <c r="BCU209" s="9"/>
      <c r="BCV209" s="9"/>
      <c r="BCW209" s="9"/>
      <c r="BCX209" s="9"/>
      <c r="BCY209" s="9"/>
      <c r="BDA209" s="9"/>
      <c r="BDB209" s="9"/>
      <c r="BDC209" s="9"/>
      <c r="BDD209" s="9"/>
      <c r="BDE209" s="9"/>
      <c r="BDF209" s="9"/>
      <c r="BDG209" s="9"/>
      <c r="BDH209" s="9"/>
      <c r="BDI209" s="9"/>
      <c r="BDK209" s="9"/>
      <c r="BDL209" s="9"/>
      <c r="BDM209" s="9"/>
      <c r="BDN209" s="9"/>
      <c r="BDO209" s="9"/>
      <c r="BDP209" s="9"/>
      <c r="BDQ209" s="9"/>
      <c r="BDR209" s="9"/>
      <c r="BDS209" s="9"/>
      <c r="BDU209" s="9"/>
      <c r="BDV209" s="9"/>
      <c r="BDW209" s="9"/>
      <c r="BDX209" s="9"/>
      <c r="BDY209" s="9"/>
      <c r="BDZ209" s="9"/>
      <c r="BEA209" s="9"/>
      <c r="BEB209" s="9"/>
      <c r="BEC209" s="9"/>
      <c r="BEE209" s="9"/>
      <c r="BEF209" s="9"/>
      <c r="BEG209" s="9"/>
      <c r="BEH209" s="9"/>
      <c r="BEI209" s="9"/>
      <c r="BEJ209" s="9"/>
      <c r="BEK209" s="9"/>
      <c r="BEL209" s="9"/>
      <c r="BEM209" s="9"/>
      <c r="BEO209" s="9"/>
      <c r="BEP209" s="9"/>
      <c r="BEQ209" s="9"/>
      <c r="BER209" s="9"/>
      <c r="BES209" s="9"/>
      <c r="BET209" s="9"/>
      <c r="BEU209" s="9"/>
      <c r="BEV209" s="9"/>
      <c r="BEW209" s="9"/>
      <c r="BEY209" s="9"/>
      <c r="BEZ209" s="9"/>
      <c r="BFA209" s="9"/>
      <c r="BFB209" s="9"/>
      <c r="BFC209" s="9"/>
      <c r="BFD209" s="9"/>
      <c r="BFE209" s="9"/>
      <c r="BFF209" s="9"/>
      <c r="BFG209" s="9"/>
      <c r="BFI209" s="9"/>
      <c r="BFJ209" s="9"/>
      <c r="BFK209" s="9"/>
      <c r="BFL209" s="9"/>
      <c r="BFM209" s="9"/>
      <c r="BFN209" s="9"/>
      <c r="BFO209" s="9"/>
      <c r="BFP209" s="9"/>
      <c r="BFQ209" s="9"/>
      <c r="BFS209" s="9"/>
      <c r="BFT209" s="9"/>
      <c r="BFU209" s="9"/>
      <c r="BFV209" s="9"/>
      <c r="BFW209" s="9"/>
      <c r="BFX209" s="9"/>
      <c r="BFY209" s="9"/>
      <c r="BFZ209" s="9"/>
      <c r="BGA209" s="9"/>
      <c r="BGC209" s="9"/>
      <c r="BGD209" s="9"/>
      <c r="BGE209" s="9"/>
      <c r="BGF209" s="9"/>
      <c r="BGG209" s="9"/>
      <c r="BGH209" s="9"/>
      <c r="BGI209" s="9"/>
      <c r="BGJ209" s="9"/>
      <c r="BGK209" s="9"/>
      <c r="BGM209" s="9"/>
      <c r="BGN209" s="9"/>
      <c r="BGO209" s="9"/>
      <c r="BGP209" s="9"/>
      <c r="BGQ209" s="9"/>
      <c r="BGR209" s="9"/>
      <c r="BGS209" s="9"/>
      <c r="BGT209" s="9"/>
      <c r="BGU209" s="9"/>
      <c r="BGW209" s="9"/>
      <c r="BGX209" s="9"/>
      <c r="BGY209" s="9"/>
      <c r="BGZ209" s="9"/>
      <c r="BHA209" s="9"/>
      <c r="BHB209" s="9"/>
      <c r="BHC209" s="9"/>
      <c r="BHD209" s="9"/>
      <c r="BHE209" s="9"/>
      <c r="BHG209" s="9"/>
      <c r="BHH209" s="9"/>
      <c r="BHI209" s="9"/>
      <c r="BHJ209" s="9"/>
      <c r="BHK209" s="9"/>
      <c r="BHL209" s="9"/>
      <c r="BHM209" s="9"/>
      <c r="BHN209" s="9"/>
      <c r="BHO209" s="9"/>
      <c r="BHQ209" s="9"/>
      <c r="BHR209" s="9"/>
      <c r="BHS209" s="9"/>
      <c r="BHT209" s="9"/>
      <c r="BHU209" s="9"/>
      <c r="BHV209" s="9"/>
      <c r="BHW209" s="9"/>
      <c r="BHX209" s="9"/>
      <c r="BHY209" s="9"/>
      <c r="BIA209" s="9"/>
      <c r="BIB209" s="9"/>
      <c r="BIC209" s="9"/>
      <c r="BID209" s="9"/>
      <c r="BIE209" s="9"/>
      <c r="BIF209" s="9"/>
      <c r="BIG209" s="9"/>
      <c r="BIH209" s="9"/>
      <c r="BII209" s="9"/>
      <c r="BIK209" s="9"/>
      <c r="BIL209" s="9"/>
      <c r="BIM209" s="9"/>
      <c r="BIN209" s="9"/>
      <c r="BIO209" s="9"/>
      <c r="BIP209" s="9"/>
      <c r="BIQ209" s="9"/>
      <c r="BIR209" s="9"/>
      <c r="BIS209" s="9"/>
      <c r="BIU209" s="9"/>
      <c r="BIV209" s="9"/>
      <c r="BIW209" s="9"/>
      <c r="BIX209" s="9"/>
      <c r="BIY209" s="9"/>
      <c r="BIZ209" s="9"/>
      <c r="BJA209" s="9"/>
      <c r="BJB209" s="9"/>
      <c r="BJC209" s="9"/>
      <c r="BJE209" s="9"/>
      <c r="BJF209" s="9"/>
      <c r="BJG209" s="9"/>
      <c r="BJH209" s="9"/>
      <c r="BJI209" s="9"/>
      <c r="BJJ209" s="9"/>
      <c r="BJK209" s="9"/>
      <c r="BJL209" s="9"/>
      <c r="BJM209" s="9"/>
      <c r="BJO209" s="9"/>
      <c r="BJP209" s="9"/>
      <c r="BJQ209" s="9"/>
      <c r="BJR209" s="9"/>
      <c r="BJS209" s="9"/>
      <c r="BJT209" s="9"/>
      <c r="BJU209" s="9"/>
      <c r="BJV209" s="9"/>
      <c r="BJW209" s="9"/>
      <c r="BJY209" s="9"/>
      <c r="BJZ209" s="9"/>
      <c r="BKA209" s="9"/>
      <c r="BKB209" s="9"/>
      <c r="BKC209" s="9"/>
      <c r="BKD209" s="9"/>
      <c r="BKE209" s="9"/>
      <c r="BKF209" s="9"/>
      <c r="BKG209" s="9"/>
      <c r="BKI209" s="9"/>
      <c r="BKJ209" s="9"/>
      <c r="BKK209" s="9"/>
      <c r="BKL209" s="9"/>
      <c r="BKM209" s="9"/>
      <c r="BKN209" s="9"/>
      <c r="BKO209" s="9"/>
      <c r="BKP209" s="9"/>
      <c r="BKQ209" s="9"/>
      <c r="BKS209" s="9"/>
      <c r="BKT209" s="9"/>
      <c r="BKU209" s="9"/>
      <c r="BKV209" s="9"/>
      <c r="BKW209" s="9"/>
      <c r="BKX209" s="9"/>
      <c r="BKY209" s="9"/>
      <c r="BKZ209" s="9"/>
      <c r="BLA209" s="9"/>
      <c r="BLC209" s="9"/>
      <c r="BLD209" s="9"/>
      <c r="BLE209" s="9"/>
      <c r="BLF209" s="9"/>
      <c r="BLG209" s="9"/>
      <c r="BLH209" s="9"/>
      <c r="BLI209" s="9"/>
      <c r="BLJ209" s="9"/>
      <c r="BLK209" s="9"/>
      <c r="BLM209" s="9"/>
      <c r="BLN209" s="9"/>
      <c r="BLO209" s="9"/>
      <c r="BLP209" s="9"/>
      <c r="BLQ209" s="9"/>
      <c r="BLR209" s="9"/>
      <c r="BLS209" s="9"/>
      <c r="BLT209" s="9"/>
      <c r="BLU209" s="9"/>
      <c r="BLW209" s="9"/>
      <c r="BLX209" s="9"/>
      <c r="BLY209" s="9"/>
      <c r="BLZ209" s="9"/>
      <c r="BMA209" s="9"/>
      <c r="BMB209" s="9"/>
      <c r="BMC209" s="9"/>
      <c r="BMD209" s="9"/>
      <c r="BME209" s="9"/>
      <c r="BMG209" s="9"/>
      <c r="BMH209" s="9"/>
      <c r="BMI209" s="9"/>
      <c r="BMJ209" s="9"/>
      <c r="BMK209" s="9"/>
      <c r="BML209" s="9"/>
      <c r="BMM209" s="9"/>
      <c r="BMN209" s="9"/>
      <c r="BMO209" s="9"/>
      <c r="BMQ209" s="9"/>
      <c r="BMR209" s="9"/>
      <c r="BMS209" s="9"/>
      <c r="BMT209" s="9"/>
      <c r="BMU209" s="9"/>
      <c r="BMV209" s="9"/>
      <c r="BMW209" s="9"/>
      <c r="BMX209" s="9"/>
      <c r="BMY209" s="9"/>
      <c r="BNA209" s="9"/>
      <c r="BNB209" s="9"/>
      <c r="BNC209" s="9"/>
      <c r="BND209" s="9"/>
      <c r="BNE209" s="9"/>
      <c r="BNF209" s="9"/>
      <c r="BNG209" s="9"/>
      <c r="BNH209" s="9"/>
      <c r="BNI209" s="9"/>
      <c r="BNK209" s="9"/>
      <c r="BNL209" s="9"/>
      <c r="BNM209" s="9"/>
      <c r="BNN209" s="9"/>
      <c r="BNO209" s="9"/>
      <c r="BNP209" s="9"/>
      <c r="BNQ209" s="9"/>
      <c r="BNR209" s="9"/>
      <c r="BNS209" s="9"/>
      <c r="BNU209" s="9"/>
      <c r="BNV209" s="9"/>
      <c r="BNW209" s="9"/>
      <c r="BNX209" s="9"/>
      <c r="BNY209" s="9"/>
      <c r="BNZ209" s="9"/>
      <c r="BOA209" s="9"/>
      <c r="BOB209" s="9"/>
      <c r="BOC209" s="9"/>
      <c r="BOE209" s="9"/>
      <c r="BOF209" s="9"/>
      <c r="BOG209" s="9"/>
      <c r="BOH209" s="9"/>
      <c r="BOI209" s="9"/>
      <c r="BOJ209" s="9"/>
      <c r="BOK209" s="9"/>
      <c r="BOL209" s="9"/>
      <c r="BOM209" s="9"/>
      <c r="BOO209" s="9"/>
      <c r="BOP209" s="9"/>
      <c r="BOQ209" s="9"/>
      <c r="BOR209" s="9"/>
      <c r="BOS209" s="9"/>
      <c r="BOT209" s="9"/>
      <c r="BOU209" s="9"/>
      <c r="BOV209" s="9"/>
      <c r="BOW209" s="9"/>
      <c r="BOY209" s="9"/>
      <c r="BOZ209" s="9"/>
      <c r="BPA209" s="9"/>
      <c r="BPB209" s="9"/>
      <c r="BPC209" s="9"/>
      <c r="BPD209" s="9"/>
      <c r="BPE209" s="9"/>
      <c r="BPF209" s="9"/>
      <c r="BPG209" s="9"/>
      <c r="BPI209" s="9"/>
      <c r="BPJ209" s="9"/>
      <c r="BPK209" s="9"/>
      <c r="BPL209" s="9"/>
      <c r="BPM209" s="9"/>
      <c r="BPN209" s="9"/>
      <c r="BPO209" s="9"/>
      <c r="BPP209" s="9"/>
      <c r="BPQ209" s="9"/>
      <c r="BPS209" s="9"/>
      <c r="BPT209" s="9"/>
      <c r="BPU209" s="9"/>
      <c r="BPV209" s="9"/>
      <c r="BPW209" s="9"/>
      <c r="BPX209" s="9"/>
      <c r="BPY209" s="9"/>
      <c r="BPZ209" s="9"/>
      <c r="BQA209" s="9"/>
      <c r="BQC209" s="9"/>
      <c r="BQD209" s="9"/>
      <c r="BQE209" s="9"/>
      <c r="BQF209" s="9"/>
      <c r="BQG209" s="9"/>
      <c r="BQH209" s="9"/>
      <c r="BQI209" s="9"/>
      <c r="BQJ209" s="9"/>
      <c r="BQK209" s="9"/>
      <c r="BQM209" s="9"/>
      <c r="BQN209" s="9"/>
      <c r="BQO209" s="9"/>
      <c r="BQP209" s="9"/>
      <c r="BQQ209" s="9"/>
      <c r="BQR209" s="9"/>
      <c r="BQS209" s="9"/>
      <c r="BQT209" s="9"/>
      <c r="BQU209" s="9"/>
      <c r="BQW209" s="9"/>
      <c r="BQX209" s="9"/>
      <c r="BQY209" s="9"/>
      <c r="BQZ209" s="9"/>
      <c r="BRA209" s="9"/>
      <c r="BRB209" s="9"/>
      <c r="BRC209" s="9"/>
      <c r="BRD209" s="9"/>
      <c r="BRE209" s="9"/>
      <c r="BRG209" s="9"/>
      <c r="BRH209" s="9"/>
      <c r="BRI209" s="9"/>
      <c r="BRJ209" s="9"/>
      <c r="BRK209" s="9"/>
      <c r="BRL209" s="9"/>
      <c r="BRM209" s="9"/>
      <c r="BRN209" s="9"/>
      <c r="BRO209" s="9"/>
      <c r="BRQ209" s="9"/>
      <c r="BRR209" s="9"/>
      <c r="BRS209" s="9"/>
      <c r="BRT209" s="9"/>
      <c r="BRU209" s="9"/>
      <c r="BRV209" s="9"/>
      <c r="BRW209" s="9"/>
      <c r="BRX209" s="9"/>
      <c r="BRY209" s="9"/>
      <c r="BSA209" s="9"/>
      <c r="BSB209" s="9"/>
      <c r="BSC209" s="9"/>
      <c r="BSD209" s="9"/>
      <c r="BSE209" s="9"/>
      <c r="BSF209" s="9"/>
      <c r="BSG209" s="9"/>
      <c r="BSH209" s="9"/>
      <c r="BSI209" s="9"/>
      <c r="BSK209" s="9"/>
      <c r="BSL209" s="9"/>
      <c r="BSM209" s="9"/>
      <c r="BSN209" s="9"/>
      <c r="BSO209" s="9"/>
      <c r="BSP209" s="9"/>
      <c r="BSQ209" s="9"/>
      <c r="BSR209" s="9"/>
      <c r="BSS209" s="9"/>
      <c r="BSU209" s="9"/>
      <c r="BSV209" s="9"/>
      <c r="BSW209" s="9"/>
      <c r="BSX209" s="9"/>
      <c r="BSY209" s="9"/>
      <c r="BSZ209" s="9"/>
      <c r="BTA209" s="9"/>
      <c r="BTB209" s="9"/>
      <c r="BTC209" s="9"/>
      <c r="BTE209" s="9"/>
      <c r="BTF209" s="9"/>
      <c r="BTG209" s="9"/>
      <c r="BTH209" s="9"/>
      <c r="BTI209" s="9"/>
      <c r="BTJ209" s="9"/>
      <c r="BTK209" s="9"/>
      <c r="BTL209" s="9"/>
      <c r="BTM209" s="9"/>
      <c r="BTO209" s="9"/>
      <c r="BTP209" s="9"/>
      <c r="BTQ209" s="9"/>
      <c r="BTR209" s="9"/>
      <c r="BTS209" s="9"/>
      <c r="BTT209" s="9"/>
      <c r="BTU209" s="9"/>
      <c r="BTV209" s="9"/>
      <c r="BTW209" s="9"/>
      <c r="BTY209" s="9"/>
      <c r="BTZ209" s="9"/>
      <c r="BUA209" s="9"/>
      <c r="BUB209" s="9"/>
      <c r="BUC209" s="9"/>
      <c r="BUD209" s="9"/>
      <c r="BUE209" s="9"/>
      <c r="BUF209" s="9"/>
      <c r="BUG209" s="9"/>
      <c r="BUI209" s="9"/>
      <c r="BUJ209" s="9"/>
      <c r="BUK209" s="9"/>
      <c r="BUL209" s="9"/>
      <c r="BUM209" s="9"/>
      <c r="BUN209" s="9"/>
      <c r="BUO209" s="9"/>
      <c r="BUP209" s="9"/>
      <c r="BUQ209" s="9"/>
      <c r="BUS209" s="9"/>
      <c r="BUT209" s="9"/>
      <c r="BUU209" s="9"/>
      <c r="BUV209" s="9"/>
      <c r="BUW209" s="9"/>
      <c r="BUX209" s="9"/>
      <c r="BUY209" s="9"/>
      <c r="BUZ209" s="9"/>
      <c r="BVA209" s="9"/>
      <c r="BVC209" s="9"/>
      <c r="BVD209" s="9"/>
      <c r="BVE209" s="9"/>
      <c r="BVF209" s="9"/>
      <c r="BVG209" s="9"/>
      <c r="BVH209" s="9"/>
      <c r="BVI209" s="9"/>
      <c r="BVJ209" s="9"/>
      <c r="BVK209" s="9"/>
      <c r="BVM209" s="9"/>
      <c r="BVN209" s="9"/>
      <c r="BVO209" s="9"/>
      <c r="BVP209" s="9"/>
      <c r="BVQ209" s="9"/>
      <c r="BVR209" s="9"/>
      <c r="BVS209" s="9"/>
      <c r="BVT209" s="9"/>
      <c r="BVU209" s="9"/>
      <c r="BVW209" s="9"/>
      <c r="BVX209" s="9"/>
      <c r="BVY209" s="9"/>
      <c r="BVZ209" s="9"/>
      <c r="BWA209" s="9"/>
      <c r="BWB209" s="9"/>
      <c r="BWC209" s="9"/>
      <c r="BWD209" s="9"/>
      <c r="BWE209" s="9"/>
      <c r="BWG209" s="9"/>
      <c r="BWH209" s="9"/>
      <c r="BWI209" s="9"/>
      <c r="BWJ209" s="9"/>
      <c r="BWK209" s="9"/>
      <c r="BWL209" s="9"/>
      <c r="BWM209" s="9"/>
      <c r="BWN209" s="9"/>
      <c r="BWO209" s="9"/>
      <c r="BWQ209" s="9"/>
      <c r="BWR209" s="9"/>
      <c r="BWS209" s="9"/>
      <c r="BWT209" s="9"/>
      <c r="BWU209" s="9"/>
      <c r="BWV209" s="9"/>
      <c r="BWW209" s="9"/>
      <c r="BWX209" s="9"/>
      <c r="BWY209" s="9"/>
      <c r="BXA209" s="9"/>
      <c r="BXB209" s="9"/>
      <c r="BXC209" s="9"/>
      <c r="BXD209" s="9"/>
      <c r="BXE209" s="9"/>
      <c r="BXF209" s="9"/>
      <c r="BXG209" s="9"/>
      <c r="BXH209" s="9"/>
      <c r="BXI209" s="9"/>
      <c r="BXK209" s="9"/>
      <c r="BXL209" s="9"/>
      <c r="BXM209" s="9"/>
      <c r="BXN209" s="9"/>
      <c r="BXO209" s="9"/>
      <c r="BXP209" s="9"/>
      <c r="BXQ209" s="9"/>
      <c r="BXR209" s="9"/>
      <c r="BXS209" s="9"/>
      <c r="BXU209" s="9"/>
      <c r="BXV209" s="9"/>
      <c r="BXW209" s="9"/>
      <c r="BXX209" s="9"/>
      <c r="BXY209" s="9"/>
      <c r="BXZ209" s="9"/>
      <c r="BYA209" s="9"/>
      <c r="BYB209" s="9"/>
      <c r="BYC209" s="9"/>
      <c r="BYE209" s="9"/>
      <c r="BYF209" s="9"/>
      <c r="BYG209" s="9"/>
      <c r="BYH209" s="9"/>
      <c r="BYI209" s="9"/>
      <c r="BYJ209" s="9"/>
      <c r="BYK209" s="9"/>
      <c r="BYL209" s="9"/>
      <c r="BYM209" s="9"/>
      <c r="BYO209" s="9"/>
      <c r="BYP209" s="9"/>
      <c r="BYQ209" s="9"/>
      <c r="BYR209" s="9"/>
      <c r="BYS209" s="9"/>
      <c r="BYT209" s="9"/>
      <c r="BYU209" s="9"/>
      <c r="BYV209" s="9"/>
      <c r="BYW209" s="9"/>
      <c r="BYY209" s="9"/>
      <c r="BYZ209" s="9"/>
      <c r="BZA209" s="9"/>
      <c r="BZB209" s="9"/>
      <c r="BZC209" s="9"/>
      <c r="BZD209" s="9"/>
      <c r="BZE209" s="9"/>
      <c r="BZF209" s="9"/>
      <c r="BZG209" s="9"/>
      <c r="BZI209" s="9"/>
      <c r="BZJ209" s="9"/>
      <c r="BZK209" s="9"/>
      <c r="BZL209" s="9"/>
      <c r="BZM209" s="9"/>
      <c r="BZN209" s="9"/>
      <c r="BZO209" s="9"/>
      <c r="BZP209" s="9"/>
      <c r="BZQ209" s="9"/>
      <c r="BZS209" s="9"/>
      <c r="BZT209" s="9"/>
      <c r="BZU209" s="9"/>
      <c r="BZV209" s="9"/>
      <c r="BZW209" s="9"/>
      <c r="BZX209" s="9"/>
      <c r="BZY209" s="9"/>
      <c r="BZZ209" s="9"/>
      <c r="CAA209" s="9"/>
      <c r="CAC209" s="9"/>
      <c r="CAD209" s="9"/>
      <c r="CAE209" s="9"/>
      <c r="CAF209" s="9"/>
      <c r="CAG209" s="9"/>
      <c r="CAH209" s="9"/>
      <c r="CAI209" s="9"/>
      <c r="CAJ209" s="9"/>
      <c r="CAK209" s="9"/>
      <c r="CAM209" s="9"/>
      <c r="CAN209" s="9"/>
      <c r="CAO209" s="9"/>
      <c r="CAP209" s="9"/>
      <c r="CAQ209" s="9"/>
      <c r="CAR209" s="9"/>
      <c r="CAS209" s="9"/>
      <c r="CAT209" s="9"/>
      <c r="CAU209" s="9"/>
      <c r="CAW209" s="9"/>
      <c r="CAX209" s="9"/>
      <c r="CAY209" s="9"/>
      <c r="CAZ209" s="9"/>
      <c r="CBA209" s="9"/>
      <c r="CBB209" s="9"/>
      <c r="CBC209" s="9"/>
      <c r="CBD209" s="9"/>
      <c r="CBE209" s="9"/>
      <c r="CBG209" s="9"/>
      <c r="CBH209" s="9"/>
      <c r="CBI209" s="9"/>
      <c r="CBJ209" s="9"/>
      <c r="CBK209" s="9"/>
      <c r="CBL209" s="9"/>
      <c r="CBM209" s="9"/>
      <c r="CBN209" s="9"/>
      <c r="CBO209" s="9"/>
      <c r="CBQ209" s="9"/>
      <c r="CBR209" s="9"/>
      <c r="CBS209" s="9"/>
      <c r="CBT209" s="9"/>
      <c r="CBU209" s="9"/>
      <c r="CBV209" s="9"/>
      <c r="CBW209" s="9"/>
      <c r="CBX209" s="9"/>
      <c r="CBY209" s="9"/>
      <c r="CCA209" s="9"/>
      <c r="CCB209" s="9"/>
      <c r="CCC209" s="9"/>
      <c r="CCD209" s="9"/>
      <c r="CCE209" s="9"/>
      <c r="CCF209" s="9"/>
      <c r="CCG209" s="9"/>
      <c r="CCH209" s="9"/>
      <c r="CCI209" s="9"/>
      <c r="CCK209" s="9"/>
      <c r="CCL209" s="9"/>
      <c r="CCM209" s="9"/>
      <c r="CCN209" s="9"/>
      <c r="CCO209" s="9"/>
      <c r="CCP209" s="9"/>
      <c r="CCQ209" s="9"/>
      <c r="CCR209" s="9"/>
      <c r="CCS209" s="9"/>
      <c r="CCU209" s="9"/>
      <c r="CCV209" s="9"/>
      <c r="CCW209" s="9"/>
      <c r="CCX209" s="9"/>
      <c r="CCY209" s="9"/>
      <c r="CCZ209" s="9"/>
      <c r="CDA209" s="9"/>
      <c r="CDB209" s="9"/>
      <c r="CDC209" s="9"/>
      <c r="CDE209" s="9"/>
      <c r="CDF209" s="9"/>
      <c r="CDG209" s="9"/>
      <c r="CDH209" s="9"/>
      <c r="CDI209" s="9"/>
      <c r="CDJ209" s="9"/>
      <c r="CDK209" s="9"/>
      <c r="CDL209" s="9"/>
      <c r="CDM209" s="9"/>
      <c r="CDO209" s="9"/>
      <c r="CDP209" s="9"/>
      <c r="CDQ209" s="9"/>
      <c r="CDR209" s="9"/>
      <c r="CDS209" s="9"/>
      <c r="CDT209" s="9"/>
      <c r="CDU209" s="9"/>
      <c r="CDV209" s="9"/>
      <c r="CDW209" s="9"/>
      <c r="CDY209" s="9"/>
      <c r="CDZ209" s="9"/>
      <c r="CEA209" s="9"/>
      <c r="CEB209" s="9"/>
      <c r="CEC209" s="9"/>
      <c r="CED209" s="9"/>
      <c r="CEE209" s="9"/>
      <c r="CEF209" s="9"/>
      <c r="CEG209" s="9"/>
      <c r="CEI209" s="9"/>
      <c r="CEJ209" s="9"/>
      <c r="CEK209" s="9"/>
      <c r="CEL209" s="9"/>
      <c r="CEM209" s="9"/>
      <c r="CEN209" s="9"/>
      <c r="CEO209" s="9"/>
      <c r="CEP209" s="9"/>
      <c r="CEQ209" s="9"/>
      <c r="CES209" s="9"/>
      <c r="CET209" s="9"/>
      <c r="CEU209" s="9"/>
      <c r="CEV209" s="9"/>
      <c r="CEW209" s="9"/>
      <c r="CEX209" s="9"/>
      <c r="CEY209" s="9"/>
      <c r="CEZ209" s="9"/>
      <c r="CFA209" s="9"/>
      <c r="CFC209" s="9"/>
      <c r="CFD209" s="9"/>
      <c r="CFE209" s="9"/>
      <c r="CFF209" s="9"/>
      <c r="CFG209" s="9"/>
      <c r="CFH209" s="9"/>
      <c r="CFI209" s="9"/>
      <c r="CFJ209" s="9"/>
      <c r="CFK209" s="9"/>
      <c r="CFM209" s="9"/>
      <c r="CFN209" s="9"/>
      <c r="CFO209" s="9"/>
      <c r="CFP209" s="9"/>
      <c r="CFQ209" s="9"/>
      <c r="CFR209" s="9"/>
      <c r="CFS209" s="9"/>
      <c r="CFT209" s="9"/>
      <c r="CFU209" s="9"/>
      <c r="CFW209" s="9"/>
      <c r="CFX209" s="9"/>
      <c r="CFY209" s="9"/>
      <c r="CFZ209" s="9"/>
      <c r="CGA209" s="9"/>
      <c r="CGB209" s="9"/>
      <c r="CGC209" s="9"/>
      <c r="CGD209" s="9"/>
      <c r="CGE209" s="9"/>
      <c r="CGG209" s="9"/>
      <c r="CGH209" s="9"/>
      <c r="CGI209" s="9"/>
      <c r="CGJ209" s="9"/>
      <c r="CGK209" s="9"/>
      <c r="CGL209" s="9"/>
      <c r="CGM209" s="9"/>
      <c r="CGN209" s="9"/>
      <c r="CGO209" s="9"/>
      <c r="CGQ209" s="9"/>
      <c r="CGR209" s="9"/>
      <c r="CGS209" s="9"/>
      <c r="CGT209" s="9"/>
      <c r="CGU209" s="9"/>
      <c r="CGV209" s="9"/>
      <c r="CGW209" s="9"/>
      <c r="CGX209" s="9"/>
      <c r="CGY209" s="9"/>
      <c r="CHA209" s="9"/>
      <c r="CHB209" s="9"/>
      <c r="CHC209" s="9"/>
      <c r="CHD209" s="9"/>
      <c r="CHE209" s="9"/>
      <c r="CHF209" s="9"/>
      <c r="CHG209" s="9"/>
      <c r="CHH209" s="9"/>
      <c r="CHI209" s="9"/>
      <c r="CHK209" s="9"/>
      <c r="CHL209" s="9"/>
      <c r="CHM209" s="9"/>
      <c r="CHN209" s="9"/>
      <c r="CHO209" s="9"/>
      <c r="CHP209" s="9"/>
      <c r="CHQ209" s="9"/>
      <c r="CHR209" s="9"/>
      <c r="CHS209" s="9"/>
      <c r="CHU209" s="9"/>
      <c r="CHV209" s="9"/>
      <c r="CHW209" s="9"/>
      <c r="CHX209" s="9"/>
      <c r="CHY209" s="9"/>
      <c r="CHZ209" s="9"/>
      <c r="CIA209" s="9"/>
      <c r="CIB209" s="9"/>
      <c r="CIC209" s="9"/>
      <c r="CIE209" s="9"/>
      <c r="CIF209" s="9"/>
      <c r="CIG209" s="9"/>
      <c r="CIH209" s="9"/>
      <c r="CII209" s="9"/>
      <c r="CIJ209" s="9"/>
      <c r="CIK209" s="9"/>
      <c r="CIL209" s="9"/>
      <c r="CIM209" s="9"/>
      <c r="CIO209" s="9"/>
      <c r="CIP209" s="9"/>
      <c r="CIQ209" s="9"/>
      <c r="CIR209" s="9"/>
      <c r="CIS209" s="9"/>
      <c r="CIT209" s="9"/>
      <c r="CIU209" s="9"/>
      <c r="CIV209" s="9"/>
      <c r="CIW209" s="9"/>
      <c r="CIY209" s="9"/>
      <c r="CIZ209" s="9"/>
      <c r="CJA209" s="9"/>
      <c r="CJB209" s="9"/>
      <c r="CJC209" s="9"/>
      <c r="CJD209" s="9"/>
      <c r="CJE209" s="9"/>
      <c r="CJF209" s="9"/>
      <c r="CJG209" s="9"/>
      <c r="CJI209" s="9"/>
      <c r="CJJ209" s="9"/>
      <c r="CJK209" s="9"/>
      <c r="CJL209" s="9"/>
      <c r="CJM209" s="9"/>
      <c r="CJN209" s="9"/>
      <c r="CJO209" s="9"/>
      <c r="CJP209" s="9"/>
      <c r="CJQ209" s="9"/>
      <c r="CJS209" s="9"/>
      <c r="CJT209" s="9"/>
      <c r="CJU209" s="9"/>
      <c r="CJV209" s="9"/>
      <c r="CJW209" s="9"/>
      <c r="CJX209" s="9"/>
      <c r="CJY209" s="9"/>
      <c r="CJZ209" s="9"/>
      <c r="CKA209" s="9"/>
      <c r="CKC209" s="9"/>
      <c r="CKD209" s="9"/>
      <c r="CKE209" s="9"/>
      <c r="CKF209" s="9"/>
      <c r="CKG209" s="9"/>
      <c r="CKH209" s="9"/>
      <c r="CKI209" s="9"/>
      <c r="CKJ209" s="9"/>
      <c r="CKK209" s="9"/>
      <c r="CKM209" s="9"/>
      <c r="CKN209" s="9"/>
      <c r="CKO209" s="9"/>
      <c r="CKP209" s="9"/>
      <c r="CKQ209" s="9"/>
      <c r="CKR209" s="9"/>
      <c r="CKS209" s="9"/>
      <c r="CKT209" s="9"/>
      <c r="CKU209" s="9"/>
      <c r="CKW209" s="9"/>
      <c r="CKX209" s="9"/>
      <c r="CKY209" s="9"/>
      <c r="CKZ209" s="9"/>
      <c r="CLA209" s="9"/>
      <c r="CLB209" s="9"/>
      <c r="CLC209" s="9"/>
      <c r="CLD209" s="9"/>
      <c r="CLE209" s="9"/>
      <c r="CLG209" s="9"/>
      <c r="CLH209" s="9"/>
      <c r="CLI209" s="9"/>
      <c r="CLJ209" s="9"/>
      <c r="CLK209" s="9"/>
      <c r="CLL209" s="9"/>
      <c r="CLM209" s="9"/>
      <c r="CLN209" s="9"/>
      <c r="CLO209" s="9"/>
      <c r="CLQ209" s="9"/>
      <c r="CLR209" s="9"/>
      <c r="CLS209" s="9"/>
      <c r="CLT209" s="9"/>
      <c r="CLU209" s="9"/>
      <c r="CLV209" s="9"/>
      <c r="CLW209" s="9"/>
      <c r="CLX209" s="9"/>
      <c r="CLY209" s="9"/>
      <c r="CMA209" s="9"/>
      <c r="CMB209" s="9"/>
      <c r="CMC209" s="9"/>
      <c r="CMD209" s="9"/>
      <c r="CME209" s="9"/>
      <c r="CMF209" s="9"/>
      <c r="CMG209" s="9"/>
      <c r="CMH209" s="9"/>
      <c r="CMI209" s="9"/>
      <c r="CMK209" s="9"/>
      <c r="CML209" s="9"/>
      <c r="CMM209" s="9"/>
      <c r="CMN209" s="9"/>
      <c r="CMO209" s="9"/>
      <c r="CMP209" s="9"/>
      <c r="CMQ209" s="9"/>
      <c r="CMR209" s="9"/>
      <c r="CMS209" s="9"/>
      <c r="CMU209" s="9"/>
      <c r="CMV209" s="9"/>
      <c r="CMW209" s="9"/>
      <c r="CMX209" s="9"/>
      <c r="CMY209" s="9"/>
      <c r="CMZ209" s="9"/>
      <c r="CNA209" s="9"/>
      <c r="CNB209" s="9"/>
      <c r="CNC209" s="9"/>
      <c r="CNE209" s="9"/>
      <c r="CNF209" s="9"/>
      <c r="CNG209" s="9"/>
      <c r="CNH209" s="9"/>
      <c r="CNI209" s="9"/>
      <c r="CNJ209" s="9"/>
      <c r="CNK209" s="9"/>
      <c r="CNL209" s="9"/>
      <c r="CNM209" s="9"/>
      <c r="CNO209" s="9"/>
      <c r="CNP209" s="9"/>
      <c r="CNQ209" s="9"/>
      <c r="CNR209" s="9"/>
      <c r="CNS209" s="9"/>
      <c r="CNT209" s="9"/>
      <c r="CNU209" s="9"/>
      <c r="CNV209" s="9"/>
      <c r="CNW209" s="9"/>
      <c r="CNY209" s="9"/>
      <c r="CNZ209" s="9"/>
      <c r="COA209" s="9"/>
      <c r="COB209" s="9"/>
      <c r="COC209" s="9"/>
      <c r="COD209" s="9"/>
      <c r="COE209" s="9"/>
      <c r="COF209" s="9"/>
      <c r="COG209" s="9"/>
      <c r="COI209" s="9"/>
      <c r="COJ209" s="9"/>
      <c r="COK209" s="9"/>
      <c r="COL209" s="9"/>
      <c r="COM209" s="9"/>
      <c r="CON209" s="9"/>
      <c r="COO209" s="9"/>
      <c r="COP209" s="9"/>
      <c r="COQ209" s="9"/>
      <c r="COS209" s="9"/>
      <c r="COT209" s="9"/>
      <c r="COU209" s="9"/>
      <c r="COV209" s="9"/>
      <c r="COW209" s="9"/>
      <c r="COX209" s="9"/>
      <c r="COY209" s="9"/>
      <c r="COZ209" s="9"/>
      <c r="CPA209" s="9"/>
      <c r="CPC209" s="9"/>
      <c r="CPD209" s="9"/>
      <c r="CPE209" s="9"/>
      <c r="CPF209" s="9"/>
      <c r="CPG209" s="9"/>
      <c r="CPH209" s="9"/>
      <c r="CPI209" s="9"/>
      <c r="CPJ209" s="9"/>
      <c r="CPK209" s="9"/>
      <c r="CPM209" s="9"/>
      <c r="CPN209" s="9"/>
      <c r="CPO209" s="9"/>
      <c r="CPP209" s="9"/>
      <c r="CPQ209" s="9"/>
      <c r="CPR209" s="9"/>
      <c r="CPS209" s="9"/>
      <c r="CPT209" s="9"/>
      <c r="CPU209" s="9"/>
      <c r="CPW209" s="9"/>
      <c r="CPX209" s="9"/>
      <c r="CPY209" s="9"/>
      <c r="CPZ209" s="9"/>
      <c r="CQA209" s="9"/>
      <c r="CQB209" s="9"/>
      <c r="CQC209" s="9"/>
      <c r="CQD209" s="9"/>
      <c r="CQE209" s="9"/>
      <c r="CQG209" s="9"/>
      <c r="CQH209" s="9"/>
      <c r="CQI209" s="9"/>
      <c r="CQJ209" s="9"/>
      <c r="CQK209" s="9"/>
      <c r="CQL209" s="9"/>
      <c r="CQM209" s="9"/>
      <c r="CQN209" s="9"/>
      <c r="CQO209" s="9"/>
      <c r="CQQ209" s="9"/>
      <c r="CQR209" s="9"/>
      <c r="CQS209" s="9"/>
      <c r="CQT209" s="9"/>
      <c r="CQU209" s="9"/>
      <c r="CQV209" s="9"/>
      <c r="CQW209" s="9"/>
      <c r="CQX209" s="9"/>
      <c r="CQY209" s="9"/>
      <c r="CRA209" s="9"/>
      <c r="CRB209" s="9"/>
      <c r="CRC209" s="9"/>
      <c r="CRD209" s="9"/>
      <c r="CRE209" s="9"/>
      <c r="CRF209" s="9"/>
      <c r="CRG209" s="9"/>
      <c r="CRH209" s="9"/>
      <c r="CRI209" s="9"/>
      <c r="CRK209" s="9"/>
      <c r="CRL209" s="9"/>
      <c r="CRM209" s="9"/>
      <c r="CRN209" s="9"/>
      <c r="CRO209" s="9"/>
      <c r="CRP209" s="9"/>
      <c r="CRQ209" s="9"/>
      <c r="CRR209" s="9"/>
      <c r="CRS209" s="9"/>
      <c r="CRU209" s="9"/>
      <c r="CRV209" s="9"/>
      <c r="CRW209" s="9"/>
      <c r="CRX209" s="9"/>
      <c r="CRY209" s="9"/>
      <c r="CRZ209" s="9"/>
      <c r="CSA209" s="9"/>
      <c r="CSB209" s="9"/>
      <c r="CSC209" s="9"/>
      <c r="CSE209" s="9"/>
      <c r="CSF209" s="9"/>
      <c r="CSG209" s="9"/>
      <c r="CSH209" s="9"/>
      <c r="CSI209" s="9"/>
      <c r="CSJ209" s="9"/>
      <c r="CSK209" s="9"/>
      <c r="CSL209" s="9"/>
      <c r="CSM209" s="9"/>
      <c r="CSO209" s="9"/>
      <c r="CSP209" s="9"/>
      <c r="CSQ209" s="9"/>
      <c r="CSR209" s="9"/>
      <c r="CSS209" s="9"/>
      <c r="CST209" s="9"/>
      <c r="CSU209" s="9"/>
      <c r="CSV209" s="9"/>
      <c r="CSW209" s="9"/>
      <c r="CSY209" s="9"/>
      <c r="CSZ209" s="9"/>
      <c r="CTA209" s="9"/>
      <c r="CTB209" s="9"/>
      <c r="CTC209" s="9"/>
      <c r="CTD209" s="9"/>
      <c r="CTE209" s="9"/>
      <c r="CTF209" s="9"/>
      <c r="CTG209" s="9"/>
      <c r="CTI209" s="9"/>
      <c r="CTJ209" s="9"/>
      <c r="CTK209" s="9"/>
      <c r="CTL209" s="9"/>
      <c r="CTM209" s="9"/>
      <c r="CTN209" s="9"/>
      <c r="CTO209" s="9"/>
      <c r="CTP209" s="9"/>
      <c r="CTQ209" s="9"/>
      <c r="CTS209" s="9"/>
      <c r="CTT209" s="9"/>
      <c r="CTU209" s="9"/>
      <c r="CTV209" s="9"/>
      <c r="CTW209" s="9"/>
      <c r="CTX209" s="9"/>
      <c r="CTY209" s="9"/>
      <c r="CTZ209" s="9"/>
      <c r="CUA209" s="9"/>
      <c r="CUC209" s="9"/>
      <c r="CUD209" s="9"/>
      <c r="CUE209" s="9"/>
      <c r="CUF209" s="9"/>
      <c r="CUG209" s="9"/>
      <c r="CUH209" s="9"/>
      <c r="CUI209" s="9"/>
      <c r="CUJ209" s="9"/>
      <c r="CUK209" s="9"/>
      <c r="CUM209" s="9"/>
      <c r="CUN209" s="9"/>
      <c r="CUO209" s="9"/>
      <c r="CUP209" s="9"/>
      <c r="CUQ209" s="9"/>
      <c r="CUR209" s="9"/>
      <c r="CUS209" s="9"/>
      <c r="CUT209" s="9"/>
      <c r="CUU209" s="9"/>
      <c r="CUW209" s="9"/>
      <c r="CUX209" s="9"/>
      <c r="CUY209" s="9"/>
      <c r="CUZ209" s="9"/>
      <c r="CVA209" s="9"/>
      <c r="CVB209" s="9"/>
      <c r="CVC209" s="9"/>
      <c r="CVD209" s="9"/>
      <c r="CVE209" s="9"/>
      <c r="CVG209" s="9"/>
      <c r="CVH209" s="9"/>
      <c r="CVI209" s="9"/>
      <c r="CVJ209" s="9"/>
      <c r="CVK209" s="9"/>
      <c r="CVL209" s="9"/>
      <c r="CVM209" s="9"/>
      <c r="CVN209" s="9"/>
      <c r="CVO209" s="9"/>
      <c r="CVQ209" s="9"/>
      <c r="CVR209" s="9"/>
      <c r="CVS209" s="9"/>
      <c r="CVT209" s="9"/>
      <c r="CVU209" s="9"/>
      <c r="CVV209" s="9"/>
      <c r="CVW209" s="9"/>
      <c r="CVX209" s="9"/>
      <c r="CVY209" s="9"/>
      <c r="CWA209" s="9"/>
      <c r="CWB209" s="9"/>
      <c r="CWC209" s="9"/>
      <c r="CWD209" s="9"/>
      <c r="CWE209" s="9"/>
      <c r="CWF209" s="9"/>
      <c r="CWG209" s="9"/>
      <c r="CWH209" s="9"/>
      <c r="CWI209" s="9"/>
      <c r="CWK209" s="9"/>
      <c r="CWL209" s="9"/>
      <c r="CWM209" s="9"/>
      <c r="CWN209" s="9"/>
      <c r="CWO209" s="9"/>
      <c r="CWP209" s="9"/>
      <c r="CWQ209" s="9"/>
      <c r="CWR209" s="9"/>
      <c r="CWS209" s="9"/>
      <c r="CWU209" s="9"/>
      <c r="CWV209" s="9"/>
      <c r="CWW209" s="9"/>
      <c r="CWX209" s="9"/>
      <c r="CWY209" s="9"/>
      <c r="CWZ209" s="9"/>
      <c r="CXA209" s="9"/>
      <c r="CXB209" s="9"/>
      <c r="CXC209" s="9"/>
      <c r="CXE209" s="9"/>
      <c r="CXF209" s="9"/>
      <c r="CXG209" s="9"/>
      <c r="CXH209" s="9"/>
      <c r="CXI209" s="9"/>
      <c r="CXJ209" s="9"/>
      <c r="CXK209" s="9"/>
      <c r="CXL209" s="9"/>
      <c r="CXM209" s="9"/>
      <c r="CXO209" s="9"/>
      <c r="CXP209" s="9"/>
      <c r="CXQ209" s="9"/>
      <c r="CXR209" s="9"/>
      <c r="CXS209" s="9"/>
      <c r="CXT209" s="9"/>
      <c r="CXU209" s="9"/>
      <c r="CXV209" s="9"/>
      <c r="CXW209" s="9"/>
      <c r="CXY209" s="9"/>
      <c r="CXZ209" s="9"/>
      <c r="CYA209" s="9"/>
      <c r="CYB209" s="9"/>
      <c r="CYC209" s="9"/>
      <c r="CYD209" s="9"/>
      <c r="CYE209" s="9"/>
      <c r="CYF209" s="9"/>
      <c r="CYG209" s="9"/>
      <c r="CYI209" s="9"/>
      <c r="CYJ209" s="9"/>
      <c r="CYK209" s="9"/>
      <c r="CYL209" s="9"/>
      <c r="CYM209" s="9"/>
      <c r="CYN209" s="9"/>
      <c r="CYO209" s="9"/>
      <c r="CYP209" s="9"/>
      <c r="CYQ209" s="9"/>
      <c r="CYS209" s="9"/>
      <c r="CYT209" s="9"/>
      <c r="CYU209" s="9"/>
      <c r="CYV209" s="9"/>
      <c r="CYW209" s="9"/>
      <c r="CYX209" s="9"/>
      <c r="CYY209" s="9"/>
      <c r="CYZ209" s="9"/>
      <c r="CZA209" s="9"/>
      <c r="CZC209" s="9"/>
      <c r="CZD209" s="9"/>
      <c r="CZE209" s="9"/>
      <c r="CZF209" s="9"/>
      <c r="CZG209" s="9"/>
      <c r="CZH209" s="9"/>
      <c r="CZI209" s="9"/>
      <c r="CZJ209" s="9"/>
      <c r="CZK209" s="9"/>
      <c r="CZM209" s="9"/>
      <c r="CZN209" s="9"/>
      <c r="CZO209" s="9"/>
      <c r="CZP209" s="9"/>
      <c r="CZQ209" s="9"/>
      <c r="CZR209" s="9"/>
      <c r="CZS209" s="9"/>
      <c r="CZT209" s="9"/>
      <c r="CZU209" s="9"/>
      <c r="CZW209" s="9"/>
      <c r="CZX209" s="9"/>
      <c r="CZY209" s="9"/>
      <c r="CZZ209" s="9"/>
      <c r="DAA209" s="9"/>
      <c r="DAB209" s="9"/>
      <c r="DAC209" s="9"/>
      <c r="DAD209" s="9"/>
      <c r="DAE209" s="9"/>
      <c r="DAG209" s="9"/>
      <c r="DAH209" s="9"/>
      <c r="DAI209" s="9"/>
      <c r="DAJ209" s="9"/>
      <c r="DAK209" s="9"/>
      <c r="DAL209" s="9"/>
      <c r="DAM209" s="9"/>
      <c r="DAN209" s="9"/>
      <c r="DAO209" s="9"/>
      <c r="DAQ209" s="9"/>
      <c r="DAR209" s="9"/>
      <c r="DAS209" s="9"/>
      <c r="DAT209" s="9"/>
      <c r="DAU209" s="9"/>
      <c r="DAV209" s="9"/>
      <c r="DAW209" s="9"/>
      <c r="DAX209" s="9"/>
      <c r="DAY209" s="9"/>
      <c r="DBA209" s="9"/>
      <c r="DBB209" s="9"/>
      <c r="DBC209" s="9"/>
      <c r="DBD209" s="9"/>
      <c r="DBE209" s="9"/>
      <c r="DBF209" s="9"/>
      <c r="DBG209" s="9"/>
      <c r="DBH209" s="9"/>
      <c r="DBI209" s="9"/>
      <c r="DBK209" s="9"/>
      <c r="DBL209" s="9"/>
      <c r="DBM209" s="9"/>
      <c r="DBN209" s="9"/>
      <c r="DBO209" s="9"/>
      <c r="DBP209" s="9"/>
      <c r="DBQ209" s="9"/>
      <c r="DBR209" s="9"/>
      <c r="DBS209" s="9"/>
      <c r="DBU209" s="9"/>
      <c r="DBV209" s="9"/>
      <c r="DBW209" s="9"/>
      <c r="DBX209" s="9"/>
      <c r="DBY209" s="9"/>
      <c r="DBZ209" s="9"/>
      <c r="DCA209" s="9"/>
      <c r="DCB209" s="9"/>
      <c r="DCC209" s="9"/>
      <c r="DCE209" s="9"/>
      <c r="DCF209" s="9"/>
      <c r="DCG209" s="9"/>
      <c r="DCH209" s="9"/>
      <c r="DCI209" s="9"/>
      <c r="DCJ209" s="9"/>
      <c r="DCK209" s="9"/>
      <c r="DCL209" s="9"/>
      <c r="DCM209" s="9"/>
      <c r="DCO209" s="9"/>
      <c r="DCP209" s="9"/>
      <c r="DCQ209" s="9"/>
      <c r="DCR209" s="9"/>
      <c r="DCS209" s="9"/>
      <c r="DCT209" s="9"/>
      <c r="DCU209" s="9"/>
      <c r="DCV209" s="9"/>
      <c r="DCW209" s="9"/>
      <c r="DCY209" s="9"/>
      <c r="DCZ209" s="9"/>
      <c r="DDA209" s="9"/>
      <c r="DDB209" s="9"/>
      <c r="DDC209" s="9"/>
      <c r="DDD209" s="9"/>
      <c r="DDE209" s="9"/>
      <c r="DDF209" s="9"/>
      <c r="DDG209" s="9"/>
      <c r="DDI209" s="9"/>
      <c r="DDJ209" s="9"/>
      <c r="DDK209" s="9"/>
      <c r="DDL209" s="9"/>
      <c r="DDM209" s="9"/>
      <c r="DDN209" s="9"/>
      <c r="DDO209" s="9"/>
      <c r="DDP209" s="9"/>
      <c r="DDQ209" s="9"/>
      <c r="DDS209" s="9"/>
      <c r="DDT209" s="9"/>
      <c r="DDU209" s="9"/>
      <c r="DDV209" s="9"/>
      <c r="DDW209" s="9"/>
      <c r="DDX209" s="9"/>
      <c r="DDY209" s="9"/>
      <c r="DDZ209" s="9"/>
      <c r="DEA209" s="9"/>
      <c r="DEC209" s="9"/>
      <c r="DED209" s="9"/>
      <c r="DEE209" s="9"/>
      <c r="DEF209" s="9"/>
      <c r="DEG209" s="9"/>
      <c r="DEH209" s="9"/>
      <c r="DEI209" s="9"/>
      <c r="DEJ209" s="9"/>
      <c r="DEK209" s="9"/>
      <c r="DEM209" s="9"/>
      <c r="DEN209" s="9"/>
      <c r="DEO209" s="9"/>
      <c r="DEP209" s="9"/>
      <c r="DEQ209" s="9"/>
      <c r="DER209" s="9"/>
      <c r="DES209" s="9"/>
      <c r="DET209" s="9"/>
      <c r="DEU209" s="9"/>
      <c r="DEW209" s="9"/>
      <c r="DEX209" s="9"/>
      <c r="DEY209" s="9"/>
      <c r="DEZ209" s="9"/>
      <c r="DFA209" s="9"/>
      <c r="DFB209" s="9"/>
      <c r="DFC209" s="9"/>
      <c r="DFD209" s="9"/>
      <c r="DFE209" s="9"/>
      <c r="DFG209" s="9"/>
      <c r="DFH209" s="9"/>
      <c r="DFI209" s="9"/>
      <c r="DFJ209" s="9"/>
      <c r="DFK209" s="9"/>
      <c r="DFL209" s="9"/>
      <c r="DFM209" s="9"/>
      <c r="DFN209" s="9"/>
      <c r="DFO209" s="9"/>
      <c r="DFQ209" s="9"/>
      <c r="DFR209" s="9"/>
      <c r="DFS209" s="9"/>
      <c r="DFT209" s="9"/>
      <c r="DFU209" s="9"/>
      <c r="DFV209" s="9"/>
      <c r="DFW209" s="9"/>
      <c r="DFX209" s="9"/>
      <c r="DFY209" s="9"/>
      <c r="DGA209" s="9"/>
      <c r="DGB209" s="9"/>
      <c r="DGC209" s="9"/>
      <c r="DGD209" s="9"/>
      <c r="DGE209" s="9"/>
      <c r="DGF209" s="9"/>
      <c r="DGG209" s="9"/>
      <c r="DGH209" s="9"/>
      <c r="DGI209" s="9"/>
      <c r="DGK209" s="9"/>
      <c r="DGL209" s="9"/>
      <c r="DGM209" s="9"/>
      <c r="DGN209" s="9"/>
      <c r="DGO209" s="9"/>
      <c r="DGP209" s="9"/>
      <c r="DGQ209" s="9"/>
      <c r="DGR209" s="9"/>
      <c r="DGS209" s="9"/>
      <c r="DGU209" s="9"/>
      <c r="DGV209" s="9"/>
      <c r="DGW209" s="9"/>
      <c r="DGX209" s="9"/>
      <c r="DGY209" s="9"/>
      <c r="DGZ209" s="9"/>
      <c r="DHA209" s="9"/>
      <c r="DHB209" s="9"/>
      <c r="DHC209" s="9"/>
      <c r="DHE209" s="9"/>
      <c r="DHF209" s="9"/>
      <c r="DHG209" s="9"/>
      <c r="DHH209" s="9"/>
      <c r="DHI209" s="9"/>
      <c r="DHJ209" s="9"/>
      <c r="DHK209" s="9"/>
      <c r="DHL209" s="9"/>
      <c r="DHM209" s="9"/>
      <c r="DHO209" s="9"/>
      <c r="DHP209" s="9"/>
      <c r="DHQ209" s="9"/>
      <c r="DHR209" s="9"/>
      <c r="DHS209" s="9"/>
      <c r="DHT209" s="9"/>
      <c r="DHU209" s="9"/>
      <c r="DHV209" s="9"/>
      <c r="DHW209" s="9"/>
      <c r="DHY209" s="9"/>
      <c r="DHZ209" s="9"/>
      <c r="DIA209" s="9"/>
      <c r="DIB209" s="9"/>
      <c r="DIC209" s="9"/>
      <c r="DID209" s="9"/>
      <c r="DIE209" s="9"/>
      <c r="DIF209" s="9"/>
      <c r="DIG209" s="9"/>
      <c r="DII209" s="9"/>
      <c r="DIJ209" s="9"/>
      <c r="DIK209" s="9"/>
      <c r="DIL209" s="9"/>
      <c r="DIM209" s="9"/>
      <c r="DIN209" s="9"/>
      <c r="DIO209" s="9"/>
      <c r="DIP209" s="9"/>
      <c r="DIQ209" s="9"/>
      <c r="DIS209" s="9"/>
      <c r="DIT209" s="9"/>
      <c r="DIU209" s="9"/>
      <c r="DIV209" s="9"/>
      <c r="DIW209" s="9"/>
      <c r="DIX209" s="9"/>
      <c r="DIY209" s="9"/>
      <c r="DIZ209" s="9"/>
      <c r="DJA209" s="9"/>
      <c r="DJC209" s="9"/>
      <c r="DJD209" s="9"/>
      <c r="DJE209" s="9"/>
      <c r="DJF209" s="9"/>
      <c r="DJG209" s="9"/>
      <c r="DJH209" s="9"/>
      <c r="DJI209" s="9"/>
      <c r="DJJ209" s="9"/>
      <c r="DJK209" s="9"/>
      <c r="DJM209" s="9"/>
      <c r="DJN209" s="9"/>
      <c r="DJO209" s="9"/>
      <c r="DJP209" s="9"/>
      <c r="DJQ209" s="9"/>
      <c r="DJR209" s="9"/>
      <c r="DJS209" s="9"/>
      <c r="DJT209" s="9"/>
      <c r="DJU209" s="9"/>
      <c r="DJW209" s="9"/>
      <c r="DJX209" s="9"/>
      <c r="DJY209" s="9"/>
      <c r="DJZ209" s="9"/>
      <c r="DKA209" s="9"/>
      <c r="DKB209" s="9"/>
      <c r="DKC209" s="9"/>
      <c r="DKD209" s="9"/>
      <c r="DKE209" s="9"/>
      <c r="DKG209" s="9"/>
      <c r="DKH209" s="9"/>
      <c r="DKI209" s="9"/>
      <c r="DKJ209" s="9"/>
      <c r="DKK209" s="9"/>
      <c r="DKL209" s="9"/>
      <c r="DKM209" s="9"/>
      <c r="DKN209" s="9"/>
      <c r="DKO209" s="9"/>
      <c r="DKQ209" s="9"/>
      <c r="DKR209" s="9"/>
      <c r="DKS209" s="9"/>
      <c r="DKT209" s="9"/>
      <c r="DKU209" s="9"/>
      <c r="DKV209" s="9"/>
      <c r="DKW209" s="9"/>
      <c r="DKX209" s="9"/>
      <c r="DKY209" s="9"/>
      <c r="DLA209" s="9"/>
      <c r="DLB209" s="9"/>
      <c r="DLC209" s="9"/>
      <c r="DLD209" s="9"/>
      <c r="DLE209" s="9"/>
      <c r="DLF209" s="9"/>
      <c r="DLG209" s="9"/>
      <c r="DLH209" s="9"/>
      <c r="DLI209" s="9"/>
      <c r="DLK209" s="9"/>
      <c r="DLL209" s="9"/>
      <c r="DLM209" s="9"/>
      <c r="DLN209" s="9"/>
      <c r="DLO209" s="9"/>
      <c r="DLP209" s="9"/>
      <c r="DLQ209" s="9"/>
      <c r="DLR209" s="9"/>
      <c r="DLS209" s="9"/>
      <c r="DLU209" s="9"/>
      <c r="DLV209" s="9"/>
      <c r="DLW209" s="9"/>
      <c r="DLX209" s="9"/>
      <c r="DLY209" s="9"/>
      <c r="DLZ209" s="9"/>
      <c r="DMA209" s="9"/>
      <c r="DMB209" s="9"/>
      <c r="DMC209" s="9"/>
      <c r="DME209" s="9"/>
      <c r="DMF209" s="9"/>
      <c r="DMG209" s="9"/>
      <c r="DMH209" s="9"/>
      <c r="DMI209" s="9"/>
      <c r="DMJ209" s="9"/>
      <c r="DMK209" s="9"/>
      <c r="DML209" s="9"/>
      <c r="DMM209" s="9"/>
      <c r="DMO209" s="9"/>
      <c r="DMP209" s="9"/>
      <c r="DMQ209" s="9"/>
      <c r="DMR209" s="9"/>
      <c r="DMS209" s="9"/>
      <c r="DMT209" s="9"/>
      <c r="DMU209" s="9"/>
      <c r="DMV209" s="9"/>
      <c r="DMW209" s="9"/>
      <c r="DMY209" s="9"/>
      <c r="DMZ209" s="9"/>
      <c r="DNA209" s="9"/>
      <c r="DNB209" s="9"/>
      <c r="DNC209" s="9"/>
      <c r="DND209" s="9"/>
      <c r="DNE209" s="9"/>
      <c r="DNF209" s="9"/>
      <c r="DNG209" s="9"/>
      <c r="DNI209" s="9"/>
      <c r="DNJ209" s="9"/>
      <c r="DNK209" s="9"/>
      <c r="DNL209" s="9"/>
      <c r="DNM209" s="9"/>
      <c r="DNN209" s="9"/>
      <c r="DNO209" s="9"/>
      <c r="DNP209" s="9"/>
      <c r="DNQ209" s="9"/>
      <c r="DNS209" s="9"/>
      <c r="DNT209" s="9"/>
      <c r="DNU209" s="9"/>
      <c r="DNV209" s="9"/>
      <c r="DNW209" s="9"/>
      <c r="DNX209" s="9"/>
      <c r="DNY209" s="9"/>
      <c r="DNZ209" s="9"/>
      <c r="DOA209" s="9"/>
      <c r="DOC209" s="9"/>
      <c r="DOD209" s="9"/>
      <c r="DOE209" s="9"/>
      <c r="DOF209" s="9"/>
      <c r="DOG209" s="9"/>
      <c r="DOH209" s="9"/>
      <c r="DOI209" s="9"/>
      <c r="DOJ209" s="9"/>
      <c r="DOK209" s="9"/>
      <c r="DOM209" s="9"/>
      <c r="DON209" s="9"/>
      <c r="DOO209" s="9"/>
      <c r="DOP209" s="9"/>
      <c r="DOQ209" s="9"/>
      <c r="DOR209" s="9"/>
      <c r="DOS209" s="9"/>
      <c r="DOT209" s="9"/>
      <c r="DOU209" s="9"/>
      <c r="DOW209" s="9"/>
      <c r="DOX209" s="9"/>
      <c r="DOY209" s="9"/>
      <c r="DOZ209" s="9"/>
      <c r="DPA209" s="9"/>
      <c r="DPB209" s="9"/>
      <c r="DPC209" s="9"/>
      <c r="DPD209" s="9"/>
      <c r="DPE209" s="9"/>
      <c r="DPG209" s="9"/>
      <c r="DPH209" s="9"/>
      <c r="DPI209" s="9"/>
      <c r="DPJ209" s="9"/>
      <c r="DPK209" s="9"/>
      <c r="DPL209" s="9"/>
      <c r="DPM209" s="9"/>
      <c r="DPN209" s="9"/>
      <c r="DPO209" s="9"/>
      <c r="DPQ209" s="9"/>
      <c r="DPR209" s="9"/>
      <c r="DPS209" s="9"/>
      <c r="DPT209" s="9"/>
      <c r="DPU209" s="9"/>
      <c r="DPV209" s="9"/>
      <c r="DPW209" s="9"/>
      <c r="DPX209" s="9"/>
      <c r="DPY209" s="9"/>
      <c r="DQA209" s="9"/>
      <c r="DQB209" s="9"/>
      <c r="DQC209" s="9"/>
      <c r="DQD209" s="9"/>
      <c r="DQE209" s="9"/>
      <c r="DQF209" s="9"/>
      <c r="DQG209" s="9"/>
      <c r="DQH209" s="9"/>
      <c r="DQI209" s="9"/>
      <c r="DQK209" s="9"/>
      <c r="DQL209" s="9"/>
      <c r="DQM209" s="9"/>
      <c r="DQN209" s="9"/>
      <c r="DQO209" s="9"/>
      <c r="DQP209" s="9"/>
      <c r="DQQ209" s="9"/>
      <c r="DQR209" s="9"/>
      <c r="DQS209" s="9"/>
      <c r="DQU209" s="9"/>
      <c r="DQV209" s="9"/>
      <c r="DQW209" s="9"/>
      <c r="DQX209" s="9"/>
      <c r="DQY209" s="9"/>
      <c r="DQZ209" s="9"/>
      <c r="DRA209" s="9"/>
      <c r="DRB209" s="9"/>
      <c r="DRC209" s="9"/>
      <c r="DRE209" s="9"/>
      <c r="DRF209" s="9"/>
      <c r="DRG209" s="9"/>
      <c r="DRH209" s="9"/>
      <c r="DRI209" s="9"/>
      <c r="DRJ209" s="9"/>
      <c r="DRK209" s="9"/>
      <c r="DRL209" s="9"/>
      <c r="DRM209" s="9"/>
      <c r="DRO209" s="9"/>
      <c r="DRP209" s="9"/>
      <c r="DRQ209" s="9"/>
      <c r="DRR209" s="9"/>
      <c r="DRS209" s="9"/>
      <c r="DRT209" s="9"/>
      <c r="DRU209" s="9"/>
      <c r="DRV209" s="9"/>
      <c r="DRW209" s="9"/>
      <c r="DRY209" s="9"/>
      <c r="DRZ209" s="9"/>
      <c r="DSA209" s="9"/>
      <c r="DSB209" s="9"/>
      <c r="DSC209" s="9"/>
      <c r="DSD209" s="9"/>
      <c r="DSE209" s="9"/>
      <c r="DSF209" s="9"/>
      <c r="DSG209" s="9"/>
      <c r="DSI209" s="9"/>
      <c r="DSJ209" s="9"/>
      <c r="DSK209" s="9"/>
      <c r="DSL209" s="9"/>
      <c r="DSM209" s="9"/>
      <c r="DSN209" s="9"/>
      <c r="DSO209" s="9"/>
      <c r="DSP209" s="9"/>
      <c r="DSQ209" s="9"/>
      <c r="DSS209" s="9"/>
      <c r="DST209" s="9"/>
      <c r="DSU209" s="9"/>
      <c r="DSV209" s="9"/>
      <c r="DSW209" s="9"/>
      <c r="DSX209" s="9"/>
      <c r="DSY209" s="9"/>
      <c r="DSZ209" s="9"/>
      <c r="DTA209" s="9"/>
      <c r="DTC209" s="9"/>
      <c r="DTD209" s="9"/>
      <c r="DTE209" s="9"/>
      <c r="DTF209" s="9"/>
      <c r="DTG209" s="9"/>
      <c r="DTH209" s="9"/>
      <c r="DTI209" s="9"/>
      <c r="DTJ209" s="9"/>
      <c r="DTK209" s="9"/>
      <c r="DTM209" s="9"/>
      <c r="DTN209" s="9"/>
      <c r="DTO209" s="9"/>
      <c r="DTP209" s="9"/>
      <c r="DTQ209" s="9"/>
      <c r="DTR209" s="9"/>
      <c r="DTS209" s="9"/>
      <c r="DTT209" s="9"/>
      <c r="DTU209" s="9"/>
      <c r="DTW209" s="9"/>
      <c r="DTX209" s="9"/>
      <c r="DTY209" s="9"/>
      <c r="DTZ209" s="9"/>
      <c r="DUA209" s="9"/>
      <c r="DUB209" s="9"/>
      <c r="DUC209" s="9"/>
      <c r="DUD209" s="9"/>
      <c r="DUE209" s="9"/>
      <c r="DUG209" s="9"/>
      <c r="DUH209" s="9"/>
      <c r="DUI209" s="9"/>
      <c r="DUJ209" s="9"/>
      <c r="DUK209" s="9"/>
      <c r="DUL209" s="9"/>
      <c r="DUM209" s="9"/>
      <c r="DUN209" s="9"/>
      <c r="DUO209" s="9"/>
      <c r="DUQ209" s="9"/>
      <c r="DUR209" s="9"/>
      <c r="DUS209" s="9"/>
      <c r="DUT209" s="9"/>
      <c r="DUU209" s="9"/>
      <c r="DUV209" s="9"/>
      <c r="DUW209" s="9"/>
      <c r="DUX209" s="9"/>
      <c r="DUY209" s="9"/>
      <c r="DVA209" s="9"/>
      <c r="DVB209" s="9"/>
      <c r="DVC209" s="9"/>
      <c r="DVD209" s="9"/>
      <c r="DVE209" s="9"/>
      <c r="DVF209" s="9"/>
      <c r="DVG209" s="9"/>
      <c r="DVH209" s="9"/>
      <c r="DVI209" s="9"/>
      <c r="DVK209" s="9"/>
      <c r="DVL209" s="9"/>
      <c r="DVM209" s="9"/>
      <c r="DVN209" s="9"/>
      <c r="DVO209" s="9"/>
      <c r="DVP209" s="9"/>
      <c r="DVQ209" s="9"/>
      <c r="DVR209" s="9"/>
      <c r="DVS209" s="9"/>
      <c r="DVU209" s="9"/>
      <c r="DVV209" s="9"/>
      <c r="DVW209" s="9"/>
      <c r="DVX209" s="9"/>
      <c r="DVY209" s="9"/>
      <c r="DVZ209" s="9"/>
      <c r="DWA209" s="9"/>
      <c r="DWB209" s="9"/>
      <c r="DWC209" s="9"/>
      <c r="DWE209" s="9"/>
      <c r="DWF209" s="9"/>
      <c r="DWG209" s="9"/>
      <c r="DWH209" s="9"/>
      <c r="DWI209" s="9"/>
      <c r="DWJ209" s="9"/>
      <c r="DWK209" s="9"/>
      <c r="DWL209" s="9"/>
      <c r="DWM209" s="9"/>
      <c r="DWO209" s="9"/>
      <c r="DWP209" s="9"/>
      <c r="DWQ209" s="9"/>
      <c r="DWR209" s="9"/>
      <c r="DWS209" s="9"/>
      <c r="DWT209" s="9"/>
      <c r="DWU209" s="9"/>
      <c r="DWV209" s="9"/>
      <c r="DWW209" s="9"/>
      <c r="DWY209" s="9"/>
      <c r="DWZ209" s="9"/>
      <c r="DXA209" s="9"/>
      <c r="DXB209" s="9"/>
      <c r="DXC209" s="9"/>
      <c r="DXD209" s="9"/>
      <c r="DXE209" s="9"/>
      <c r="DXF209" s="9"/>
      <c r="DXG209" s="9"/>
      <c r="DXI209" s="9"/>
      <c r="DXJ209" s="9"/>
      <c r="DXK209" s="9"/>
      <c r="DXL209" s="9"/>
      <c r="DXM209" s="9"/>
      <c r="DXN209" s="9"/>
      <c r="DXO209" s="9"/>
      <c r="DXP209" s="9"/>
      <c r="DXQ209" s="9"/>
      <c r="DXS209" s="9"/>
      <c r="DXT209" s="9"/>
      <c r="DXU209" s="9"/>
      <c r="DXV209" s="9"/>
      <c r="DXW209" s="9"/>
      <c r="DXX209" s="9"/>
      <c r="DXY209" s="9"/>
      <c r="DXZ209" s="9"/>
      <c r="DYA209" s="9"/>
      <c r="DYC209" s="9"/>
      <c r="DYD209" s="9"/>
      <c r="DYE209" s="9"/>
      <c r="DYF209" s="9"/>
      <c r="DYG209" s="9"/>
      <c r="DYH209" s="9"/>
      <c r="DYI209" s="9"/>
      <c r="DYJ209" s="9"/>
      <c r="DYK209" s="9"/>
      <c r="DYM209" s="9"/>
      <c r="DYN209" s="9"/>
      <c r="DYO209" s="9"/>
      <c r="DYP209" s="9"/>
      <c r="DYQ209" s="9"/>
      <c r="DYR209" s="9"/>
      <c r="DYS209" s="9"/>
      <c r="DYT209" s="9"/>
      <c r="DYU209" s="9"/>
      <c r="DYW209" s="9"/>
      <c r="DYX209" s="9"/>
      <c r="DYY209" s="9"/>
      <c r="DYZ209" s="9"/>
      <c r="DZA209" s="9"/>
      <c r="DZB209" s="9"/>
      <c r="DZC209" s="9"/>
      <c r="DZD209" s="9"/>
      <c r="DZE209" s="9"/>
      <c r="DZG209" s="9"/>
      <c r="DZH209" s="9"/>
      <c r="DZI209" s="9"/>
      <c r="DZJ209" s="9"/>
      <c r="DZK209" s="9"/>
      <c r="DZL209" s="9"/>
      <c r="DZM209" s="9"/>
      <c r="DZN209" s="9"/>
      <c r="DZO209" s="9"/>
      <c r="DZQ209" s="9"/>
      <c r="DZR209" s="9"/>
      <c r="DZS209" s="9"/>
      <c r="DZT209" s="9"/>
      <c r="DZU209" s="9"/>
      <c r="DZV209" s="9"/>
      <c r="DZW209" s="9"/>
      <c r="DZX209" s="9"/>
      <c r="DZY209" s="9"/>
      <c r="EAA209" s="9"/>
      <c r="EAB209" s="9"/>
      <c r="EAC209" s="9"/>
      <c r="EAD209" s="9"/>
      <c r="EAE209" s="9"/>
      <c r="EAF209" s="9"/>
      <c r="EAG209" s="9"/>
      <c r="EAH209" s="9"/>
      <c r="EAI209" s="9"/>
      <c r="EAK209" s="9"/>
      <c r="EAL209" s="9"/>
      <c r="EAM209" s="9"/>
      <c r="EAN209" s="9"/>
      <c r="EAO209" s="9"/>
      <c r="EAP209" s="9"/>
      <c r="EAQ209" s="9"/>
      <c r="EAR209" s="9"/>
      <c r="EAS209" s="9"/>
      <c r="EAU209" s="9"/>
      <c r="EAV209" s="9"/>
      <c r="EAW209" s="9"/>
      <c r="EAX209" s="9"/>
      <c r="EAY209" s="9"/>
      <c r="EAZ209" s="9"/>
      <c r="EBA209" s="9"/>
      <c r="EBB209" s="9"/>
      <c r="EBC209" s="9"/>
      <c r="EBE209" s="9"/>
      <c r="EBF209" s="9"/>
      <c r="EBG209" s="9"/>
      <c r="EBH209" s="9"/>
      <c r="EBI209" s="9"/>
      <c r="EBJ209" s="9"/>
      <c r="EBK209" s="9"/>
      <c r="EBL209" s="9"/>
      <c r="EBM209" s="9"/>
      <c r="EBO209" s="9"/>
      <c r="EBP209" s="9"/>
      <c r="EBQ209" s="9"/>
      <c r="EBR209" s="9"/>
      <c r="EBS209" s="9"/>
      <c r="EBT209" s="9"/>
      <c r="EBU209" s="9"/>
      <c r="EBV209" s="9"/>
      <c r="EBW209" s="9"/>
      <c r="EBY209" s="9"/>
      <c r="EBZ209" s="9"/>
      <c r="ECA209" s="9"/>
      <c r="ECB209" s="9"/>
      <c r="ECC209" s="9"/>
      <c r="ECD209" s="9"/>
      <c r="ECE209" s="9"/>
      <c r="ECF209" s="9"/>
      <c r="ECG209" s="9"/>
      <c r="ECI209" s="9"/>
      <c r="ECJ209" s="9"/>
      <c r="ECK209" s="9"/>
      <c r="ECL209" s="9"/>
      <c r="ECM209" s="9"/>
      <c r="ECN209" s="9"/>
      <c r="ECO209" s="9"/>
      <c r="ECP209" s="9"/>
      <c r="ECQ209" s="9"/>
      <c r="ECS209" s="9"/>
      <c r="ECT209" s="9"/>
      <c r="ECU209" s="9"/>
      <c r="ECV209" s="9"/>
      <c r="ECW209" s="9"/>
      <c r="ECX209" s="9"/>
      <c r="ECY209" s="9"/>
      <c r="ECZ209" s="9"/>
      <c r="EDA209" s="9"/>
      <c r="EDC209" s="9"/>
      <c r="EDD209" s="9"/>
      <c r="EDE209" s="9"/>
      <c r="EDF209" s="9"/>
      <c r="EDG209" s="9"/>
      <c r="EDH209" s="9"/>
      <c r="EDI209" s="9"/>
      <c r="EDJ209" s="9"/>
      <c r="EDK209" s="9"/>
      <c r="EDM209" s="9"/>
      <c r="EDN209" s="9"/>
      <c r="EDO209" s="9"/>
      <c r="EDP209" s="9"/>
      <c r="EDQ209" s="9"/>
      <c r="EDR209" s="9"/>
      <c r="EDS209" s="9"/>
      <c r="EDT209" s="9"/>
      <c r="EDU209" s="9"/>
      <c r="EDW209" s="9"/>
      <c r="EDX209" s="9"/>
      <c r="EDY209" s="9"/>
      <c r="EDZ209" s="9"/>
      <c r="EEA209" s="9"/>
      <c r="EEB209" s="9"/>
      <c r="EEC209" s="9"/>
      <c r="EED209" s="9"/>
      <c r="EEE209" s="9"/>
      <c r="EEG209" s="9"/>
      <c r="EEH209" s="9"/>
      <c r="EEI209" s="9"/>
      <c r="EEJ209" s="9"/>
      <c r="EEK209" s="9"/>
      <c r="EEL209" s="9"/>
      <c r="EEM209" s="9"/>
      <c r="EEN209" s="9"/>
      <c r="EEO209" s="9"/>
      <c r="EEQ209" s="9"/>
      <c r="EER209" s="9"/>
      <c r="EES209" s="9"/>
      <c r="EET209" s="9"/>
      <c r="EEU209" s="9"/>
      <c r="EEV209" s="9"/>
      <c r="EEW209" s="9"/>
      <c r="EEX209" s="9"/>
      <c r="EEY209" s="9"/>
      <c r="EFA209" s="9"/>
      <c r="EFB209" s="9"/>
      <c r="EFC209" s="9"/>
      <c r="EFD209" s="9"/>
      <c r="EFE209" s="9"/>
      <c r="EFF209" s="9"/>
      <c r="EFG209" s="9"/>
      <c r="EFH209" s="9"/>
      <c r="EFI209" s="9"/>
      <c r="EFK209" s="9"/>
      <c r="EFL209" s="9"/>
      <c r="EFM209" s="9"/>
      <c r="EFN209" s="9"/>
      <c r="EFO209" s="9"/>
      <c r="EFP209" s="9"/>
      <c r="EFQ209" s="9"/>
      <c r="EFR209" s="9"/>
      <c r="EFS209" s="9"/>
      <c r="EFU209" s="9"/>
      <c r="EFV209" s="9"/>
      <c r="EFW209" s="9"/>
      <c r="EFX209" s="9"/>
      <c r="EFY209" s="9"/>
      <c r="EFZ209" s="9"/>
      <c r="EGA209" s="9"/>
      <c r="EGB209" s="9"/>
      <c r="EGC209" s="9"/>
      <c r="EGE209" s="9"/>
      <c r="EGF209" s="9"/>
      <c r="EGG209" s="9"/>
      <c r="EGH209" s="9"/>
      <c r="EGI209" s="9"/>
      <c r="EGJ209" s="9"/>
      <c r="EGK209" s="9"/>
      <c r="EGL209" s="9"/>
      <c r="EGM209" s="9"/>
      <c r="EGO209" s="9"/>
      <c r="EGP209" s="9"/>
      <c r="EGQ209" s="9"/>
      <c r="EGR209" s="9"/>
      <c r="EGS209" s="9"/>
      <c r="EGT209" s="9"/>
      <c r="EGU209" s="9"/>
      <c r="EGV209" s="9"/>
      <c r="EGW209" s="9"/>
      <c r="EGY209" s="9"/>
      <c r="EGZ209" s="9"/>
      <c r="EHA209" s="9"/>
      <c r="EHB209" s="9"/>
      <c r="EHC209" s="9"/>
      <c r="EHD209" s="9"/>
      <c r="EHE209" s="9"/>
      <c r="EHF209" s="9"/>
      <c r="EHG209" s="9"/>
      <c r="EHI209" s="9"/>
      <c r="EHJ209" s="9"/>
      <c r="EHK209" s="9"/>
      <c r="EHL209" s="9"/>
      <c r="EHM209" s="9"/>
      <c r="EHN209" s="9"/>
      <c r="EHO209" s="9"/>
      <c r="EHP209" s="9"/>
      <c r="EHQ209" s="9"/>
      <c r="EHS209" s="9"/>
      <c r="EHT209" s="9"/>
      <c r="EHU209" s="9"/>
      <c r="EHV209" s="9"/>
      <c r="EHW209" s="9"/>
      <c r="EHX209" s="9"/>
      <c r="EHY209" s="9"/>
      <c r="EHZ209" s="9"/>
      <c r="EIA209" s="9"/>
      <c r="EIC209" s="9"/>
      <c r="EID209" s="9"/>
      <c r="EIE209" s="9"/>
      <c r="EIF209" s="9"/>
      <c r="EIG209" s="9"/>
      <c r="EIH209" s="9"/>
      <c r="EII209" s="9"/>
      <c r="EIJ209" s="9"/>
      <c r="EIK209" s="9"/>
      <c r="EIM209" s="9"/>
      <c r="EIN209" s="9"/>
      <c r="EIO209" s="9"/>
      <c r="EIP209" s="9"/>
      <c r="EIQ209" s="9"/>
      <c r="EIR209" s="9"/>
      <c r="EIS209" s="9"/>
      <c r="EIT209" s="9"/>
      <c r="EIU209" s="9"/>
      <c r="EIW209" s="9"/>
      <c r="EIX209" s="9"/>
      <c r="EIY209" s="9"/>
      <c r="EIZ209" s="9"/>
      <c r="EJA209" s="9"/>
      <c r="EJB209" s="9"/>
      <c r="EJC209" s="9"/>
      <c r="EJD209" s="9"/>
      <c r="EJE209" s="9"/>
      <c r="EJG209" s="9"/>
      <c r="EJH209" s="9"/>
      <c r="EJI209" s="9"/>
      <c r="EJJ209" s="9"/>
      <c r="EJK209" s="9"/>
      <c r="EJL209" s="9"/>
      <c r="EJM209" s="9"/>
      <c r="EJN209" s="9"/>
      <c r="EJO209" s="9"/>
      <c r="EJQ209" s="9"/>
      <c r="EJR209" s="9"/>
      <c r="EJS209" s="9"/>
      <c r="EJT209" s="9"/>
      <c r="EJU209" s="9"/>
      <c r="EJV209" s="9"/>
      <c r="EJW209" s="9"/>
      <c r="EJX209" s="9"/>
      <c r="EJY209" s="9"/>
      <c r="EKA209" s="9"/>
      <c r="EKB209" s="9"/>
      <c r="EKC209" s="9"/>
      <c r="EKD209" s="9"/>
      <c r="EKE209" s="9"/>
      <c r="EKF209" s="9"/>
      <c r="EKG209" s="9"/>
      <c r="EKH209" s="9"/>
      <c r="EKI209" s="9"/>
      <c r="EKK209" s="9"/>
      <c r="EKL209" s="9"/>
      <c r="EKM209" s="9"/>
      <c r="EKN209" s="9"/>
      <c r="EKO209" s="9"/>
      <c r="EKP209" s="9"/>
      <c r="EKQ209" s="9"/>
      <c r="EKR209" s="9"/>
      <c r="EKS209" s="9"/>
      <c r="EKU209" s="9"/>
      <c r="EKV209" s="9"/>
      <c r="EKW209" s="9"/>
      <c r="EKX209" s="9"/>
      <c r="EKY209" s="9"/>
      <c r="EKZ209" s="9"/>
      <c r="ELA209" s="9"/>
      <c r="ELB209" s="9"/>
      <c r="ELC209" s="9"/>
      <c r="ELE209" s="9"/>
      <c r="ELF209" s="9"/>
      <c r="ELG209" s="9"/>
      <c r="ELH209" s="9"/>
      <c r="ELI209" s="9"/>
      <c r="ELJ209" s="9"/>
      <c r="ELK209" s="9"/>
      <c r="ELL209" s="9"/>
      <c r="ELM209" s="9"/>
      <c r="ELO209" s="9"/>
      <c r="ELP209" s="9"/>
      <c r="ELQ209" s="9"/>
      <c r="ELR209" s="9"/>
      <c r="ELS209" s="9"/>
      <c r="ELT209" s="9"/>
      <c r="ELU209" s="9"/>
      <c r="ELV209" s="9"/>
      <c r="ELW209" s="9"/>
      <c r="ELY209" s="9"/>
      <c r="ELZ209" s="9"/>
      <c r="EMA209" s="9"/>
      <c r="EMB209" s="9"/>
      <c r="EMC209" s="9"/>
      <c r="EMD209" s="9"/>
      <c r="EME209" s="9"/>
      <c r="EMF209" s="9"/>
      <c r="EMG209" s="9"/>
      <c r="EMI209" s="9"/>
      <c r="EMJ209" s="9"/>
      <c r="EMK209" s="9"/>
      <c r="EML209" s="9"/>
      <c r="EMM209" s="9"/>
      <c r="EMN209" s="9"/>
      <c r="EMO209" s="9"/>
      <c r="EMP209" s="9"/>
      <c r="EMQ209" s="9"/>
      <c r="EMS209" s="9"/>
      <c r="EMT209" s="9"/>
      <c r="EMU209" s="9"/>
      <c r="EMV209" s="9"/>
      <c r="EMW209" s="9"/>
      <c r="EMX209" s="9"/>
      <c r="EMY209" s="9"/>
      <c r="EMZ209" s="9"/>
      <c r="ENA209" s="9"/>
      <c r="ENC209" s="9"/>
      <c r="END209" s="9"/>
      <c r="ENE209" s="9"/>
      <c r="ENF209" s="9"/>
      <c r="ENG209" s="9"/>
      <c r="ENH209" s="9"/>
      <c r="ENI209" s="9"/>
      <c r="ENJ209" s="9"/>
      <c r="ENK209" s="9"/>
      <c r="ENM209" s="9"/>
      <c r="ENN209" s="9"/>
      <c r="ENO209" s="9"/>
      <c r="ENP209" s="9"/>
      <c r="ENQ209" s="9"/>
      <c r="ENR209" s="9"/>
      <c r="ENS209" s="9"/>
      <c r="ENT209" s="9"/>
      <c r="ENU209" s="9"/>
      <c r="ENW209" s="9"/>
      <c r="ENX209" s="9"/>
      <c r="ENY209" s="9"/>
      <c r="ENZ209" s="9"/>
      <c r="EOA209" s="9"/>
      <c r="EOB209" s="9"/>
      <c r="EOC209" s="9"/>
      <c r="EOD209" s="9"/>
      <c r="EOE209" s="9"/>
      <c r="EOG209" s="9"/>
      <c r="EOH209" s="9"/>
      <c r="EOI209" s="9"/>
      <c r="EOJ209" s="9"/>
      <c r="EOK209" s="9"/>
      <c r="EOL209" s="9"/>
      <c r="EOM209" s="9"/>
      <c r="EON209" s="9"/>
      <c r="EOO209" s="9"/>
      <c r="EOQ209" s="9"/>
      <c r="EOR209" s="9"/>
      <c r="EOS209" s="9"/>
      <c r="EOT209" s="9"/>
      <c r="EOU209" s="9"/>
      <c r="EOV209" s="9"/>
      <c r="EOW209" s="9"/>
      <c r="EOX209" s="9"/>
      <c r="EOY209" s="9"/>
      <c r="EPA209" s="9"/>
      <c r="EPB209" s="9"/>
      <c r="EPC209" s="9"/>
      <c r="EPD209" s="9"/>
      <c r="EPE209" s="9"/>
      <c r="EPF209" s="9"/>
      <c r="EPG209" s="9"/>
      <c r="EPH209" s="9"/>
      <c r="EPI209" s="9"/>
      <c r="EPK209" s="9"/>
      <c r="EPL209" s="9"/>
      <c r="EPM209" s="9"/>
      <c r="EPN209" s="9"/>
      <c r="EPO209" s="9"/>
      <c r="EPP209" s="9"/>
      <c r="EPQ209" s="9"/>
      <c r="EPR209" s="9"/>
      <c r="EPS209" s="9"/>
      <c r="EPU209" s="9"/>
      <c r="EPV209" s="9"/>
      <c r="EPW209" s="9"/>
      <c r="EPX209" s="9"/>
      <c r="EPY209" s="9"/>
      <c r="EPZ209" s="9"/>
      <c r="EQA209" s="9"/>
      <c r="EQB209" s="9"/>
      <c r="EQC209" s="9"/>
      <c r="EQE209" s="9"/>
      <c r="EQF209" s="9"/>
      <c r="EQG209" s="9"/>
      <c r="EQH209" s="9"/>
      <c r="EQI209" s="9"/>
      <c r="EQJ209" s="9"/>
      <c r="EQK209" s="9"/>
      <c r="EQL209" s="9"/>
      <c r="EQM209" s="9"/>
      <c r="EQO209" s="9"/>
      <c r="EQP209" s="9"/>
      <c r="EQQ209" s="9"/>
      <c r="EQR209" s="9"/>
      <c r="EQS209" s="9"/>
      <c r="EQT209" s="9"/>
      <c r="EQU209" s="9"/>
      <c r="EQV209" s="9"/>
      <c r="EQW209" s="9"/>
      <c r="EQY209" s="9"/>
      <c r="EQZ209" s="9"/>
      <c r="ERA209" s="9"/>
      <c r="ERB209" s="9"/>
      <c r="ERC209" s="9"/>
      <c r="ERD209" s="9"/>
      <c r="ERE209" s="9"/>
      <c r="ERF209" s="9"/>
      <c r="ERG209" s="9"/>
      <c r="ERI209" s="9"/>
      <c r="ERJ209" s="9"/>
      <c r="ERK209" s="9"/>
      <c r="ERL209" s="9"/>
      <c r="ERM209" s="9"/>
      <c r="ERN209" s="9"/>
      <c r="ERO209" s="9"/>
      <c r="ERP209" s="9"/>
      <c r="ERQ209" s="9"/>
      <c r="ERS209" s="9"/>
      <c r="ERT209" s="9"/>
      <c r="ERU209" s="9"/>
      <c r="ERV209" s="9"/>
      <c r="ERW209" s="9"/>
      <c r="ERX209" s="9"/>
      <c r="ERY209" s="9"/>
      <c r="ERZ209" s="9"/>
      <c r="ESA209" s="9"/>
      <c r="ESC209" s="9"/>
      <c r="ESD209" s="9"/>
      <c r="ESE209" s="9"/>
      <c r="ESF209" s="9"/>
      <c r="ESG209" s="9"/>
      <c r="ESH209" s="9"/>
      <c r="ESI209" s="9"/>
      <c r="ESJ209" s="9"/>
      <c r="ESK209" s="9"/>
      <c r="ESM209" s="9"/>
      <c r="ESN209" s="9"/>
      <c r="ESO209" s="9"/>
      <c r="ESP209" s="9"/>
      <c r="ESQ209" s="9"/>
      <c r="ESR209" s="9"/>
      <c r="ESS209" s="9"/>
      <c r="EST209" s="9"/>
      <c r="ESU209" s="9"/>
      <c r="ESW209" s="9"/>
      <c r="ESX209" s="9"/>
      <c r="ESY209" s="9"/>
      <c r="ESZ209" s="9"/>
      <c r="ETA209" s="9"/>
      <c r="ETB209" s="9"/>
      <c r="ETC209" s="9"/>
      <c r="ETD209" s="9"/>
      <c r="ETE209" s="9"/>
      <c r="ETG209" s="9"/>
      <c r="ETH209" s="9"/>
      <c r="ETI209" s="9"/>
      <c r="ETJ209" s="9"/>
      <c r="ETK209" s="9"/>
      <c r="ETL209" s="9"/>
      <c r="ETM209" s="9"/>
      <c r="ETN209" s="9"/>
      <c r="ETO209" s="9"/>
      <c r="ETQ209" s="9"/>
      <c r="ETR209" s="9"/>
      <c r="ETS209" s="9"/>
      <c r="ETT209" s="9"/>
      <c r="ETU209" s="9"/>
      <c r="ETV209" s="9"/>
      <c r="ETW209" s="9"/>
      <c r="ETX209" s="9"/>
      <c r="ETY209" s="9"/>
      <c r="EUA209" s="9"/>
      <c r="EUB209" s="9"/>
      <c r="EUC209" s="9"/>
      <c r="EUD209" s="9"/>
      <c r="EUE209" s="9"/>
      <c r="EUF209" s="9"/>
      <c r="EUG209" s="9"/>
      <c r="EUH209" s="9"/>
      <c r="EUI209" s="9"/>
      <c r="EUK209" s="9"/>
      <c r="EUL209" s="9"/>
      <c r="EUM209" s="9"/>
      <c r="EUN209" s="9"/>
      <c r="EUO209" s="9"/>
      <c r="EUP209" s="9"/>
      <c r="EUQ209" s="9"/>
      <c r="EUR209" s="9"/>
      <c r="EUS209" s="9"/>
      <c r="EUU209" s="9"/>
      <c r="EUV209" s="9"/>
      <c r="EUW209" s="9"/>
      <c r="EUX209" s="9"/>
      <c r="EUY209" s="9"/>
      <c r="EUZ209" s="9"/>
      <c r="EVA209" s="9"/>
      <c r="EVB209" s="9"/>
      <c r="EVC209" s="9"/>
      <c r="EVE209" s="9"/>
      <c r="EVF209" s="9"/>
      <c r="EVG209" s="9"/>
      <c r="EVH209" s="9"/>
      <c r="EVI209" s="9"/>
      <c r="EVJ209" s="9"/>
      <c r="EVK209" s="9"/>
      <c r="EVL209" s="9"/>
      <c r="EVM209" s="9"/>
      <c r="EVO209" s="9"/>
      <c r="EVP209" s="9"/>
      <c r="EVQ209" s="9"/>
      <c r="EVR209" s="9"/>
      <c r="EVS209" s="9"/>
      <c r="EVT209" s="9"/>
      <c r="EVU209" s="9"/>
      <c r="EVV209" s="9"/>
      <c r="EVW209" s="9"/>
      <c r="EVY209" s="9"/>
      <c r="EVZ209" s="9"/>
      <c r="EWA209" s="9"/>
      <c r="EWB209" s="9"/>
      <c r="EWC209" s="9"/>
      <c r="EWD209" s="9"/>
      <c r="EWE209" s="9"/>
      <c r="EWF209" s="9"/>
      <c r="EWG209" s="9"/>
      <c r="EWI209" s="9"/>
      <c r="EWJ209" s="9"/>
      <c r="EWK209" s="9"/>
      <c r="EWL209" s="9"/>
      <c r="EWM209" s="9"/>
      <c r="EWN209" s="9"/>
      <c r="EWO209" s="9"/>
      <c r="EWP209" s="9"/>
      <c r="EWQ209" s="9"/>
      <c r="EWS209" s="9"/>
      <c r="EWT209" s="9"/>
      <c r="EWU209" s="9"/>
      <c r="EWV209" s="9"/>
      <c r="EWW209" s="9"/>
      <c r="EWX209" s="9"/>
      <c r="EWY209" s="9"/>
      <c r="EWZ209" s="9"/>
      <c r="EXA209" s="9"/>
      <c r="EXC209" s="9"/>
      <c r="EXD209" s="9"/>
      <c r="EXE209" s="9"/>
      <c r="EXF209" s="9"/>
      <c r="EXG209" s="9"/>
      <c r="EXH209" s="9"/>
      <c r="EXI209" s="9"/>
      <c r="EXJ209" s="9"/>
      <c r="EXK209" s="9"/>
      <c r="EXM209" s="9"/>
      <c r="EXN209" s="9"/>
      <c r="EXO209" s="9"/>
      <c r="EXP209" s="9"/>
      <c r="EXQ209" s="9"/>
      <c r="EXR209" s="9"/>
      <c r="EXS209" s="9"/>
      <c r="EXT209" s="9"/>
      <c r="EXU209" s="9"/>
      <c r="EXW209" s="9"/>
      <c r="EXX209" s="9"/>
      <c r="EXY209" s="9"/>
      <c r="EXZ209" s="9"/>
      <c r="EYA209" s="9"/>
      <c r="EYB209" s="9"/>
      <c r="EYC209" s="9"/>
      <c r="EYD209" s="9"/>
      <c r="EYE209" s="9"/>
      <c r="EYG209" s="9"/>
      <c r="EYH209" s="9"/>
      <c r="EYI209" s="9"/>
      <c r="EYJ209" s="9"/>
      <c r="EYK209" s="9"/>
      <c r="EYL209" s="9"/>
      <c r="EYM209" s="9"/>
      <c r="EYN209" s="9"/>
      <c r="EYO209" s="9"/>
      <c r="EYQ209" s="9"/>
      <c r="EYR209" s="9"/>
      <c r="EYS209" s="9"/>
      <c r="EYT209" s="9"/>
      <c r="EYU209" s="9"/>
      <c r="EYV209" s="9"/>
      <c r="EYW209" s="9"/>
      <c r="EYX209" s="9"/>
      <c r="EYY209" s="9"/>
      <c r="EZA209" s="9"/>
      <c r="EZB209" s="9"/>
      <c r="EZC209" s="9"/>
      <c r="EZD209" s="9"/>
      <c r="EZE209" s="9"/>
      <c r="EZF209" s="9"/>
      <c r="EZG209" s="9"/>
      <c r="EZH209" s="9"/>
      <c r="EZI209" s="9"/>
      <c r="EZK209" s="9"/>
      <c r="EZL209" s="9"/>
      <c r="EZM209" s="9"/>
      <c r="EZN209" s="9"/>
      <c r="EZO209" s="9"/>
      <c r="EZP209" s="9"/>
      <c r="EZQ209" s="9"/>
      <c r="EZR209" s="9"/>
      <c r="EZS209" s="9"/>
      <c r="EZU209" s="9"/>
      <c r="EZV209" s="9"/>
      <c r="EZW209" s="9"/>
      <c r="EZX209" s="9"/>
      <c r="EZY209" s="9"/>
      <c r="EZZ209" s="9"/>
      <c r="FAA209" s="9"/>
      <c r="FAB209" s="9"/>
      <c r="FAC209" s="9"/>
      <c r="FAE209" s="9"/>
      <c r="FAF209" s="9"/>
      <c r="FAG209" s="9"/>
      <c r="FAH209" s="9"/>
      <c r="FAI209" s="9"/>
      <c r="FAJ209" s="9"/>
      <c r="FAK209" s="9"/>
      <c r="FAL209" s="9"/>
      <c r="FAM209" s="9"/>
      <c r="FAO209" s="9"/>
      <c r="FAP209" s="9"/>
      <c r="FAQ209" s="9"/>
      <c r="FAR209" s="9"/>
      <c r="FAS209" s="9"/>
      <c r="FAT209" s="9"/>
      <c r="FAU209" s="9"/>
      <c r="FAV209" s="9"/>
      <c r="FAW209" s="9"/>
      <c r="FAY209" s="9"/>
      <c r="FAZ209" s="9"/>
      <c r="FBA209" s="9"/>
      <c r="FBB209" s="9"/>
      <c r="FBC209" s="9"/>
      <c r="FBD209" s="9"/>
      <c r="FBE209" s="9"/>
      <c r="FBF209" s="9"/>
      <c r="FBG209" s="9"/>
      <c r="FBI209" s="9"/>
      <c r="FBJ209" s="9"/>
      <c r="FBK209" s="9"/>
      <c r="FBL209" s="9"/>
      <c r="FBM209" s="9"/>
      <c r="FBN209" s="9"/>
      <c r="FBO209" s="9"/>
      <c r="FBP209" s="9"/>
      <c r="FBQ209" s="9"/>
      <c r="FBS209" s="9"/>
      <c r="FBT209" s="9"/>
      <c r="FBU209" s="9"/>
      <c r="FBV209" s="9"/>
      <c r="FBW209" s="9"/>
      <c r="FBX209" s="9"/>
      <c r="FBY209" s="9"/>
      <c r="FBZ209" s="9"/>
      <c r="FCA209" s="9"/>
      <c r="FCC209" s="9"/>
      <c r="FCD209" s="9"/>
      <c r="FCE209" s="9"/>
      <c r="FCF209" s="9"/>
      <c r="FCG209" s="9"/>
      <c r="FCH209" s="9"/>
      <c r="FCI209" s="9"/>
      <c r="FCJ209" s="9"/>
      <c r="FCK209" s="9"/>
      <c r="FCM209" s="9"/>
      <c r="FCN209" s="9"/>
      <c r="FCO209" s="9"/>
      <c r="FCP209" s="9"/>
      <c r="FCQ209" s="9"/>
      <c r="FCR209" s="9"/>
      <c r="FCS209" s="9"/>
      <c r="FCT209" s="9"/>
      <c r="FCU209" s="9"/>
      <c r="FCW209" s="9"/>
      <c r="FCX209" s="9"/>
      <c r="FCY209" s="9"/>
      <c r="FCZ209" s="9"/>
      <c r="FDA209" s="9"/>
      <c r="FDB209" s="9"/>
      <c r="FDC209" s="9"/>
      <c r="FDD209" s="9"/>
      <c r="FDE209" s="9"/>
      <c r="FDG209" s="9"/>
      <c r="FDH209" s="9"/>
      <c r="FDI209" s="9"/>
      <c r="FDJ209" s="9"/>
      <c r="FDK209" s="9"/>
      <c r="FDL209" s="9"/>
      <c r="FDM209" s="9"/>
      <c r="FDN209" s="9"/>
      <c r="FDO209" s="9"/>
      <c r="FDQ209" s="9"/>
      <c r="FDR209" s="9"/>
      <c r="FDS209" s="9"/>
      <c r="FDT209" s="9"/>
      <c r="FDU209" s="9"/>
      <c r="FDV209" s="9"/>
      <c r="FDW209" s="9"/>
      <c r="FDX209" s="9"/>
      <c r="FDY209" s="9"/>
      <c r="FEA209" s="9"/>
      <c r="FEB209" s="9"/>
      <c r="FEC209" s="9"/>
      <c r="FED209" s="9"/>
      <c r="FEE209" s="9"/>
      <c r="FEF209" s="9"/>
      <c r="FEG209" s="9"/>
      <c r="FEH209" s="9"/>
      <c r="FEI209" s="9"/>
      <c r="FEK209" s="9"/>
      <c r="FEL209" s="9"/>
      <c r="FEM209" s="9"/>
      <c r="FEN209" s="9"/>
      <c r="FEO209" s="9"/>
      <c r="FEP209" s="9"/>
      <c r="FEQ209" s="9"/>
      <c r="FER209" s="9"/>
      <c r="FES209" s="9"/>
      <c r="FEU209" s="9"/>
      <c r="FEV209" s="9"/>
      <c r="FEW209" s="9"/>
      <c r="FEX209" s="9"/>
      <c r="FEY209" s="9"/>
      <c r="FEZ209" s="9"/>
      <c r="FFA209" s="9"/>
      <c r="FFB209" s="9"/>
      <c r="FFC209" s="9"/>
      <c r="FFE209" s="9"/>
      <c r="FFF209" s="9"/>
      <c r="FFG209" s="9"/>
      <c r="FFH209" s="9"/>
      <c r="FFI209" s="9"/>
      <c r="FFJ209" s="9"/>
      <c r="FFK209" s="9"/>
      <c r="FFL209" s="9"/>
      <c r="FFM209" s="9"/>
      <c r="FFO209" s="9"/>
      <c r="FFP209" s="9"/>
      <c r="FFQ209" s="9"/>
      <c r="FFR209" s="9"/>
      <c r="FFS209" s="9"/>
      <c r="FFT209" s="9"/>
      <c r="FFU209" s="9"/>
      <c r="FFV209" s="9"/>
      <c r="FFW209" s="9"/>
      <c r="FFY209" s="9"/>
      <c r="FFZ209" s="9"/>
      <c r="FGA209" s="9"/>
      <c r="FGB209" s="9"/>
      <c r="FGC209" s="9"/>
      <c r="FGD209" s="9"/>
      <c r="FGE209" s="9"/>
      <c r="FGF209" s="9"/>
      <c r="FGG209" s="9"/>
      <c r="FGI209" s="9"/>
      <c r="FGJ209" s="9"/>
      <c r="FGK209" s="9"/>
      <c r="FGL209" s="9"/>
      <c r="FGM209" s="9"/>
      <c r="FGN209" s="9"/>
      <c r="FGO209" s="9"/>
      <c r="FGP209" s="9"/>
      <c r="FGQ209" s="9"/>
      <c r="FGS209" s="9"/>
      <c r="FGT209" s="9"/>
      <c r="FGU209" s="9"/>
      <c r="FGV209" s="9"/>
      <c r="FGW209" s="9"/>
      <c r="FGX209" s="9"/>
      <c r="FGY209" s="9"/>
      <c r="FGZ209" s="9"/>
      <c r="FHA209" s="9"/>
      <c r="FHC209" s="9"/>
      <c r="FHD209" s="9"/>
      <c r="FHE209" s="9"/>
      <c r="FHF209" s="9"/>
      <c r="FHG209" s="9"/>
      <c r="FHH209" s="9"/>
      <c r="FHI209" s="9"/>
      <c r="FHJ209" s="9"/>
      <c r="FHK209" s="9"/>
      <c r="FHM209" s="9"/>
      <c r="FHN209" s="9"/>
      <c r="FHO209" s="9"/>
      <c r="FHP209" s="9"/>
      <c r="FHQ209" s="9"/>
      <c r="FHR209" s="9"/>
      <c r="FHS209" s="9"/>
      <c r="FHT209" s="9"/>
      <c r="FHU209" s="9"/>
      <c r="FHW209" s="9"/>
      <c r="FHX209" s="9"/>
      <c r="FHY209" s="9"/>
      <c r="FHZ209" s="9"/>
      <c r="FIA209" s="9"/>
      <c r="FIB209" s="9"/>
      <c r="FIC209" s="9"/>
      <c r="FID209" s="9"/>
      <c r="FIE209" s="9"/>
      <c r="FIG209" s="9"/>
      <c r="FIH209" s="9"/>
      <c r="FII209" s="9"/>
      <c r="FIJ209" s="9"/>
      <c r="FIK209" s="9"/>
      <c r="FIL209" s="9"/>
      <c r="FIM209" s="9"/>
      <c r="FIN209" s="9"/>
      <c r="FIO209" s="9"/>
      <c r="FIQ209" s="9"/>
      <c r="FIR209" s="9"/>
      <c r="FIS209" s="9"/>
      <c r="FIT209" s="9"/>
      <c r="FIU209" s="9"/>
      <c r="FIV209" s="9"/>
      <c r="FIW209" s="9"/>
      <c r="FIX209" s="9"/>
      <c r="FIY209" s="9"/>
      <c r="FJA209" s="9"/>
      <c r="FJB209" s="9"/>
      <c r="FJC209" s="9"/>
      <c r="FJD209" s="9"/>
      <c r="FJE209" s="9"/>
      <c r="FJF209" s="9"/>
      <c r="FJG209" s="9"/>
      <c r="FJH209" s="9"/>
      <c r="FJI209" s="9"/>
      <c r="FJK209" s="9"/>
      <c r="FJL209" s="9"/>
      <c r="FJM209" s="9"/>
      <c r="FJN209" s="9"/>
      <c r="FJO209" s="9"/>
      <c r="FJP209" s="9"/>
      <c r="FJQ209" s="9"/>
      <c r="FJR209" s="9"/>
      <c r="FJS209" s="9"/>
      <c r="FJU209" s="9"/>
      <c r="FJV209" s="9"/>
      <c r="FJW209" s="9"/>
      <c r="FJX209" s="9"/>
      <c r="FJY209" s="9"/>
      <c r="FJZ209" s="9"/>
      <c r="FKA209" s="9"/>
      <c r="FKB209" s="9"/>
      <c r="FKC209" s="9"/>
      <c r="FKE209" s="9"/>
      <c r="FKF209" s="9"/>
      <c r="FKG209" s="9"/>
      <c r="FKH209" s="9"/>
      <c r="FKI209" s="9"/>
      <c r="FKJ209" s="9"/>
      <c r="FKK209" s="9"/>
      <c r="FKL209" s="9"/>
      <c r="FKM209" s="9"/>
      <c r="FKO209" s="9"/>
      <c r="FKP209" s="9"/>
      <c r="FKQ209" s="9"/>
      <c r="FKR209" s="9"/>
      <c r="FKS209" s="9"/>
      <c r="FKT209" s="9"/>
      <c r="FKU209" s="9"/>
      <c r="FKV209" s="9"/>
      <c r="FKW209" s="9"/>
      <c r="FKY209" s="9"/>
      <c r="FKZ209" s="9"/>
      <c r="FLA209" s="9"/>
      <c r="FLB209" s="9"/>
      <c r="FLC209" s="9"/>
      <c r="FLD209" s="9"/>
      <c r="FLE209" s="9"/>
      <c r="FLF209" s="9"/>
      <c r="FLG209" s="9"/>
      <c r="FLI209" s="9"/>
      <c r="FLJ209" s="9"/>
      <c r="FLK209" s="9"/>
      <c r="FLL209" s="9"/>
      <c r="FLM209" s="9"/>
      <c r="FLN209" s="9"/>
      <c r="FLO209" s="9"/>
      <c r="FLP209" s="9"/>
      <c r="FLQ209" s="9"/>
      <c r="FLS209" s="9"/>
      <c r="FLT209" s="9"/>
      <c r="FLU209" s="9"/>
      <c r="FLV209" s="9"/>
      <c r="FLW209" s="9"/>
      <c r="FLX209" s="9"/>
      <c r="FLY209" s="9"/>
      <c r="FLZ209" s="9"/>
      <c r="FMA209" s="9"/>
      <c r="FMC209" s="9"/>
      <c r="FMD209" s="9"/>
      <c r="FME209" s="9"/>
      <c r="FMF209" s="9"/>
      <c r="FMG209" s="9"/>
      <c r="FMH209" s="9"/>
      <c r="FMI209" s="9"/>
      <c r="FMJ209" s="9"/>
      <c r="FMK209" s="9"/>
      <c r="FMM209" s="9"/>
      <c r="FMN209" s="9"/>
      <c r="FMO209" s="9"/>
      <c r="FMP209" s="9"/>
      <c r="FMQ209" s="9"/>
      <c r="FMR209" s="9"/>
      <c r="FMS209" s="9"/>
      <c r="FMT209" s="9"/>
      <c r="FMU209" s="9"/>
      <c r="FMW209" s="9"/>
      <c r="FMX209" s="9"/>
      <c r="FMY209" s="9"/>
      <c r="FMZ209" s="9"/>
      <c r="FNA209" s="9"/>
      <c r="FNB209" s="9"/>
      <c r="FNC209" s="9"/>
      <c r="FND209" s="9"/>
      <c r="FNE209" s="9"/>
      <c r="FNG209" s="9"/>
      <c r="FNH209" s="9"/>
      <c r="FNI209" s="9"/>
      <c r="FNJ209" s="9"/>
      <c r="FNK209" s="9"/>
      <c r="FNL209" s="9"/>
      <c r="FNM209" s="9"/>
      <c r="FNN209" s="9"/>
      <c r="FNO209" s="9"/>
      <c r="FNQ209" s="9"/>
      <c r="FNR209" s="9"/>
      <c r="FNS209" s="9"/>
      <c r="FNT209" s="9"/>
      <c r="FNU209" s="9"/>
      <c r="FNV209" s="9"/>
      <c r="FNW209" s="9"/>
      <c r="FNX209" s="9"/>
      <c r="FNY209" s="9"/>
      <c r="FOA209" s="9"/>
      <c r="FOB209" s="9"/>
      <c r="FOC209" s="9"/>
      <c r="FOD209" s="9"/>
      <c r="FOE209" s="9"/>
      <c r="FOF209" s="9"/>
      <c r="FOG209" s="9"/>
      <c r="FOH209" s="9"/>
      <c r="FOI209" s="9"/>
      <c r="FOK209" s="9"/>
      <c r="FOL209" s="9"/>
      <c r="FOM209" s="9"/>
      <c r="FON209" s="9"/>
      <c r="FOO209" s="9"/>
      <c r="FOP209" s="9"/>
      <c r="FOQ209" s="9"/>
      <c r="FOR209" s="9"/>
      <c r="FOS209" s="9"/>
      <c r="FOU209" s="9"/>
      <c r="FOV209" s="9"/>
      <c r="FOW209" s="9"/>
      <c r="FOX209" s="9"/>
      <c r="FOY209" s="9"/>
      <c r="FOZ209" s="9"/>
      <c r="FPA209" s="9"/>
      <c r="FPB209" s="9"/>
      <c r="FPC209" s="9"/>
      <c r="FPE209" s="9"/>
      <c r="FPF209" s="9"/>
      <c r="FPG209" s="9"/>
      <c r="FPH209" s="9"/>
      <c r="FPI209" s="9"/>
      <c r="FPJ209" s="9"/>
      <c r="FPK209" s="9"/>
      <c r="FPL209" s="9"/>
      <c r="FPM209" s="9"/>
      <c r="FPO209" s="9"/>
      <c r="FPP209" s="9"/>
      <c r="FPQ209" s="9"/>
      <c r="FPR209" s="9"/>
      <c r="FPS209" s="9"/>
      <c r="FPT209" s="9"/>
      <c r="FPU209" s="9"/>
      <c r="FPV209" s="9"/>
      <c r="FPW209" s="9"/>
      <c r="FPY209" s="9"/>
      <c r="FPZ209" s="9"/>
      <c r="FQA209" s="9"/>
      <c r="FQB209" s="9"/>
      <c r="FQC209" s="9"/>
      <c r="FQD209" s="9"/>
      <c r="FQE209" s="9"/>
      <c r="FQF209" s="9"/>
      <c r="FQG209" s="9"/>
      <c r="FQI209" s="9"/>
      <c r="FQJ209" s="9"/>
      <c r="FQK209" s="9"/>
      <c r="FQL209" s="9"/>
      <c r="FQM209" s="9"/>
      <c r="FQN209" s="9"/>
      <c r="FQO209" s="9"/>
      <c r="FQP209" s="9"/>
      <c r="FQQ209" s="9"/>
      <c r="FQS209" s="9"/>
      <c r="FQT209" s="9"/>
      <c r="FQU209" s="9"/>
      <c r="FQV209" s="9"/>
      <c r="FQW209" s="9"/>
      <c r="FQX209" s="9"/>
      <c r="FQY209" s="9"/>
      <c r="FQZ209" s="9"/>
      <c r="FRA209" s="9"/>
      <c r="FRC209" s="9"/>
      <c r="FRD209" s="9"/>
      <c r="FRE209" s="9"/>
      <c r="FRF209" s="9"/>
      <c r="FRG209" s="9"/>
      <c r="FRH209" s="9"/>
      <c r="FRI209" s="9"/>
      <c r="FRJ209" s="9"/>
      <c r="FRK209" s="9"/>
      <c r="FRM209" s="9"/>
      <c r="FRN209" s="9"/>
      <c r="FRO209" s="9"/>
      <c r="FRP209" s="9"/>
      <c r="FRQ209" s="9"/>
      <c r="FRR209" s="9"/>
      <c r="FRS209" s="9"/>
      <c r="FRT209" s="9"/>
      <c r="FRU209" s="9"/>
      <c r="FRW209" s="9"/>
      <c r="FRX209" s="9"/>
      <c r="FRY209" s="9"/>
      <c r="FRZ209" s="9"/>
      <c r="FSA209" s="9"/>
      <c r="FSB209" s="9"/>
      <c r="FSC209" s="9"/>
      <c r="FSD209" s="9"/>
      <c r="FSE209" s="9"/>
      <c r="FSG209" s="9"/>
      <c r="FSH209" s="9"/>
      <c r="FSI209" s="9"/>
      <c r="FSJ209" s="9"/>
      <c r="FSK209" s="9"/>
      <c r="FSL209" s="9"/>
      <c r="FSM209" s="9"/>
      <c r="FSN209" s="9"/>
      <c r="FSO209" s="9"/>
      <c r="FSQ209" s="9"/>
      <c r="FSR209" s="9"/>
      <c r="FSS209" s="9"/>
      <c r="FST209" s="9"/>
      <c r="FSU209" s="9"/>
      <c r="FSV209" s="9"/>
      <c r="FSW209" s="9"/>
      <c r="FSX209" s="9"/>
      <c r="FSY209" s="9"/>
      <c r="FTA209" s="9"/>
      <c r="FTB209" s="9"/>
      <c r="FTC209" s="9"/>
      <c r="FTD209" s="9"/>
      <c r="FTE209" s="9"/>
      <c r="FTF209" s="9"/>
      <c r="FTG209" s="9"/>
      <c r="FTH209" s="9"/>
      <c r="FTI209" s="9"/>
      <c r="FTK209" s="9"/>
      <c r="FTL209" s="9"/>
      <c r="FTM209" s="9"/>
      <c r="FTN209" s="9"/>
      <c r="FTO209" s="9"/>
      <c r="FTP209" s="9"/>
      <c r="FTQ209" s="9"/>
      <c r="FTR209" s="9"/>
      <c r="FTS209" s="9"/>
      <c r="FTU209" s="9"/>
      <c r="FTV209" s="9"/>
      <c r="FTW209" s="9"/>
      <c r="FTX209" s="9"/>
      <c r="FTY209" s="9"/>
      <c r="FTZ209" s="9"/>
      <c r="FUA209" s="9"/>
      <c r="FUB209" s="9"/>
      <c r="FUC209" s="9"/>
      <c r="FUE209" s="9"/>
      <c r="FUF209" s="9"/>
      <c r="FUG209" s="9"/>
      <c r="FUH209" s="9"/>
      <c r="FUI209" s="9"/>
      <c r="FUJ209" s="9"/>
      <c r="FUK209" s="9"/>
      <c r="FUL209" s="9"/>
      <c r="FUM209" s="9"/>
      <c r="FUO209" s="9"/>
      <c r="FUP209" s="9"/>
      <c r="FUQ209" s="9"/>
      <c r="FUR209" s="9"/>
      <c r="FUS209" s="9"/>
      <c r="FUT209" s="9"/>
      <c r="FUU209" s="9"/>
      <c r="FUV209" s="9"/>
      <c r="FUW209" s="9"/>
      <c r="FUY209" s="9"/>
      <c r="FUZ209" s="9"/>
      <c r="FVA209" s="9"/>
      <c r="FVB209" s="9"/>
      <c r="FVC209" s="9"/>
      <c r="FVD209" s="9"/>
      <c r="FVE209" s="9"/>
      <c r="FVF209" s="9"/>
      <c r="FVG209" s="9"/>
      <c r="FVI209" s="9"/>
      <c r="FVJ209" s="9"/>
      <c r="FVK209" s="9"/>
      <c r="FVL209" s="9"/>
      <c r="FVM209" s="9"/>
      <c r="FVN209" s="9"/>
      <c r="FVO209" s="9"/>
      <c r="FVP209" s="9"/>
      <c r="FVQ209" s="9"/>
      <c r="FVS209" s="9"/>
      <c r="FVT209" s="9"/>
      <c r="FVU209" s="9"/>
      <c r="FVV209" s="9"/>
      <c r="FVW209" s="9"/>
      <c r="FVX209" s="9"/>
      <c r="FVY209" s="9"/>
      <c r="FVZ209" s="9"/>
      <c r="FWA209" s="9"/>
      <c r="FWC209" s="9"/>
      <c r="FWD209" s="9"/>
      <c r="FWE209" s="9"/>
      <c r="FWF209" s="9"/>
      <c r="FWG209" s="9"/>
      <c r="FWH209" s="9"/>
      <c r="FWI209" s="9"/>
      <c r="FWJ209" s="9"/>
      <c r="FWK209" s="9"/>
      <c r="FWM209" s="9"/>
      <c r="FWN209" s="9"/>
      <c r="FWO209" s="9"/>
      <c r="FWP209" s="9"/>
      <c r="FWQ209" s="9"/>
      <c r="FWR209" s="9"/>
      <c r="FWS209" s="9"/>
      <c r="FWT209" s="9"/>
      <c r="FWU209" s="9"/>
      <c r="FWW209" s="9"/>
      <c r="FWX209" s="9"/>
      <c r="FWY209" s="9"/>
      <c r="FWZ209" s="9"/>
      <c r="FXA209" s="9"/>
      <c r="FXB209" s="9"/>
      <c r="FXC209" s="9"/>
      <c r="FXD209" s="9"/>
      <c r="FXE209" s="9"/>
      <c r="FXG209" s="9"/>
      <c r="FXH209" s="9"/>
      <c r="FXI209" s="9"/>
      <c r="FXJ209" s="9"/>
      <c r="FXK209" s="9"/>
      <c r="FXL209" s="9"/>
      <c r="FXM209" s="9"/>
      <c r="FXN209" s="9"/>
      <c r="FXO209" s="9"/>
      <c r="FXQ209" s="9"/>
      <c r="FXR209" s="9"/>
      <c r="FXS209" s="9"/>
      <c r="FXT209" s="9"/>
      <c r="FXU209" s="9"/>
      <c r="FXV209" s="9"/>
      <c r="FXW209" s="9"/>
      <c r="FXX209" s="9"/>
      <c r="FXY209" s="9"/>
      <c r="FYA209" s="9"/>
      <c r="FYB209" s="9"/>
      <c r="FYC209" s="9"/>
      <c r="FYD209" s="9"/>
      <c r="FYE209" s="9"/>
      <c r="FYF209" s="9"/>
      <c r="FYG209" s="9"/>
      <c r="FYH209" s="9"/>
      <c r="FYI209" s="9"/>
      <c r="FYK209" s="9"/>
      <c r="FYL209" s="9"/>
      <c r="FYM209" s="9"/>
      <c r="FYN209" s="9"/>
      <c r="FYO209" s="9"/>
      <c r="FYP209" s="9"/>
      <c r="FYQ209" s="9"/>
      <c r="FYR209" s="9"/>
      <c r="FYS209" s="9"/>
      <c r="FYU209" s="9"/>
      <c r="FYV209" s="9"/>
      <c r="FYW209" s="9"/>
      <c r="FYX209" s="9"/>
      <c r="FYY209" s="9"/>
      <c r="FYZ209" s="9"/>
      <c r="FZA209" s="9"/>
      <c r="FZB209" s="9"/>
      <c r="FZC209" s="9"/>
      <c r="FZE209" s="9"/>
      <c r="FZF209" s="9"/>
      <c r="FZG209" s="9"/>
      <c r="FZH209" s="9"/>
      <c r="FZI209" s="9"/>
      <c r="FZJ209" s="9"/>
      <c r="FZK209" s="9"/>
      <c r="FZL209" s="9"/>
      <c r="FZM209" s="9"/>
      <c r="FZO209" s="9"/>
      <c r="FZP209" s="9"/>
      <c r="FZQ209" s="9"/>
      <c r="FZR209" s="9"/>
      <c r="FZS209" s="9"/>
      <c r="FZT209" s="9"/>
      <c r="FZU209" s="9"/>
      <c r="FZV209" s="9"/>
      <c r="FZW209" s="9"/>
      <c r="FZY209" s="9"/>
      <c r="FZZ209" s="9"/>
      <c r="GAA209" s="9"/>
      <c r="GAB209" s="9"/>
      <c r="GAC209" s="9"/>
      <c r="GAD209" s="9"/>
      <c r="GAE209" s="9"/>
      <c r="GAF209" s="9"/>
      <c r="GAG209" s="9"/>
      <c r="GAI209" s="9"/>
      <c r="GAJ209" s="9"/>
      <c r="GAK209" s="9"/>
      <c r="GAL209" s="9"/>
      <c r="GAM209" s="9"/>
      <c r="GAN209" s="9"/>
      <c r="GAO209" s="9"/>
      <c r="GAP209" s="9"/>
      <c r="GAQ209" s="9"/>
      <c r="GAS209" s="9"/>
      <c r="GAT209" s="9"/>
      <c r="GAU209" s="9"/>
      <c r="GAV209" s="9"/>
      <c r="GAW209" s="9"/>
      <c r="GAX209" s="9"/>
      <c r="GAY209" s="9"/>
      <c r="GAZ209" s="9"/>
      <c r="GBA209" s="9"/>
      <c r="GBC209" s="9"/>
      <c r="GBD209" s="9"/>
      <c r="GBE209" s="9"/>
      <c r="GBF209" s="9"/>
      <c r="GBG209" s="9"/>
      <c r="GBH209" s="9"/>
      <c r="GBI209" s="9"/>
      <c r="GBJ209" s="9"/>
      <c r="GBK209" s="9"/>
      <c r="GBM209" s="9"/>
      <c r="GBN209" s="9"/>
      <c r="GBO209" s="9"/>
      <c r="GBP209" s="9"/>
      <c r="GBQ209" s="9"/>
      <c r="GBR209" s="9"/>
      <c r="GBS209" s="9"/>
      <c r="GBT209" s="9"/>
      <c r="GBU209" s="9"/>
      <c r="GBW209" s="9"/>
      <c r="GBX209" s="9"/>
      <c r="GBY209" s="9"/>
      <c r="GBZ209" s="9"/>
      <c r="GCA209" s="9"/>
      <c r="GCB209" s="9"/>
      <c r="GCC209" s="9"/>
      <c r="GCD209" s="9"/>
      <c r="GCE209" s="9"/>
      <c r="GCG209" s="9"/>
      <c r="GCH209" s="9"/>
      <c r="GCI209" s="9"/>
      <c r="GCJ209" s="9"/>
      <c r="GCK209" s="9"/>
      <c r="GCL209" s="9"/>
      <c r="GCM209" s="9"/>
      <c r="GCN209" s="9"/>
      <c r="GCO209" s="9"/>
      <c r="GCQ209" s="9"/>
      <c r="GCR209" s="9"/>
      <c r="GCS209" s="9"/>
      <c r="GCT209" s="9"/>
      <c r="GCU209" s="9"/>
      <c r="GCV209" s="9"/>
      <c r="GCW209" s="9"/>
      <c r="GCX209" s="9"/>
      <c r="GCY209" s="9"/>
      <c r="GDA209" s="9"/>
      <c r="GDB209" s="9"/>
      <c r="GDC209" s="9"/>
      <c r="GDD209" s="9"/>
      <c r="GDE209" s="9"/>
      <c r="GDF209" s="9"/>
      <c r="GDG209" s="9"/>
      <c r="GDH209" s="9"/>
      <c r="GDI209" s="9"/>
      <c r="GDK209" s="9"/>
      <c r="GDL209" s="9"/>
      <c r="GDM209" s="9"/>
      <c r="GDN209" s="9"/>
      <c r="GDO209" s="9"/>
      <c r="GDP209" s="9"/>
      <c r="GDQ209" s="9"/>
      <c r="GDR209" s="9"/>
      <c r="GDS209" s="9"/>
      <c r="GDU209" s="9"/>
      <c r="GDV209" s="9"/>
      <c r="GDW209" s="9"/>
      <c r="GDX209" s="9"/>
      <c r="GDY209" s="9"/>
      <c r="GDZ209" s="9"/>
      <c r="GEA209" s="9"/>
      <c r="GEB209" s="9"/>
      <c r="GEC209" s="9"/>
      <c r="GEE209" s="9"/>
      <c r="GEF209" s="9"/>
      <c r="GEG209" s="9"/>
      <c r="GEH209" s="9"/>
      <c r="GEI209" s="9"/>
      <c r="GEJ209" s="9"/>
      <c r="GEK209" s="9"/>
      <c r="GEL209" s="9"/>
      <c r="GEM209" s="9"/>
      <c r="GEO209" s="9"/>
      <c r="GEP209" s="9"/>
      <c r="GEQ209" s="9"/>
      <c r="GER209" s="9"/>
      <c r="GES209" s="9"/>
      <c r="GET209" s="9"/>
      <c r="GEU209" s="9"/>
      <c r="GEV209" s="9"/>
      <c r="GEW209" s="9"/>
      <c r="GEY209" s="9"/>
      <c r="GEZ209" s="9"/>
      <c r="GFA209" s="9"/>
      <c r="GFB209" s="9"/>
      <c r="GFC209" s="9"/>
      <c r="GFD209" s="9"/>
      <c r="GFE209" s="9"/>
      <c r="GFF209" s="9"/>
      <c r="GFG209" s="9"/>
      <c r="GFI209" s="9"/>
      <c r="GFJ209" s="9"/>
      <c r="GFK209" s="9"/>
      <c r="GFL209" s="9"/>
      <c r="GFM209" s="9"/>
      <c r="GFN209" s="9"/>
      <c r="GFO209" s="9"/>
      <c r="GFP209" s="9"/>
      <c r="GFQ209" s="9"/>
      <c r="GFS209" s="9"/>
      <c r="GFT209" s="9"/>
      <c r="GFU209" s="9"/>
      <c r="GFV209" s="9"/>
      <c r="GFW209" s="9"/>
      <c r="GFX209" s="9"/>
      <c r="GFY209" s="9"/>
      <c r="GFZ209" s="9"/>
      <c r="GGA209" s="9"/>
      <c r="GGC209" s="9"/>
      <c r="GGD209" s="9"/>
      <c r="GGE209" s="9"/>
      <c r="GGF209" s="9"/>
      <c r="GGG209" s="9"/>
      <c r="GGH209" s="9"/>
      <c r="GGI209" s="9"/>
      <c r="GGJ209" s="9"/>
      <c r="GGK209" s="9"/>
      <c r="GGM209" s="9"/>
      <c r="GGN209" s="9"/>
      <c r="GGO209" s="9"/>
      <c r="GGP209" s="9"/>
      <c r="GGQ209" s="9"/>
      <c r="GGR209" s="9"/>
      <c r="GGS209" s="9"/>
      <c r="GGT209" s="9"/>
      <c r="GGU209" s="9"/>
      <c r="GGW209" s="9"/>
      <c r="GGX209" s="9"/>
      <c r="GGY209" s="9"/>
      <c r="GGZ209" s="9"/>
      <c r="GHA209" s="9"/>
      <c r="GHB209" s="9"/>
      <c r="GHC209" s="9"/>
      <c r="GHD209" s="9"/>
      <c r="GHE209" s="9"/>
      <c r="GHG209" s="9"/>
      <c r="GHH209" s="9"/>
      <c r="GHI209" s="9"/>
      <c r="GHJ209" s="9"/>
      <c r="GHK209" s="9"/>
      <c r="GHL209" s="9"/>
      <c r="GHM209" s="9"/>
      <c r="GHN209" s="9"/>
      <c r="GHO209" s="9"/>
      <c r="GHQ209" s="9"/>
      <c r="GHR209" s="9"/>
      <c r="GHS209" s="9"/>
      <c r="GHT209" s="9"/>
      <c r="GHU209" s="9"/>
      <c r="GHV209" s="9"/>
      <c r="GHW209" s="9"/>
      <c r="GHX209" s="9"/>
      <c r="GHY209" s="9"/>
      <c r="GIA209" s="9"/>
      <c r="GIB209" s="9"/>
      <c r="GIC209" s="9"/>
      <c r="GID209" s="9"/>
      <c r="GIE209" s="9"/>
      <c r="GIF209" s="9"/>
      <c r="GIG209" s="9"/>
      <c r="GIH209" s="9"/>
      <c r="GII209" s="9"/>
      <c r="GIK209" s="9"/>
      <c r="GIL209" s="9"/>
      <c r="GIM209" s="9"/>
      <c r="GIN209" s="9"/>
      <c r="GIO209" s="9"/>
      <c r="GIP209" s="9"/>
      <c r="GIQ209" s="9"/>
      <c r="GIR209" s="9"/>
      <c r="GIS209" s="9"/>
      <c r="GIU209" s="9"/>
      <c r="GIV209" s="9"/>
      <c r="GIW209" s="9"/>
      <c r="GIX209" s="9"/>
      <c r="GIY209" s="9"/>
      <c r="GIZ209" s="9"/>
      <c r="GJA209" s="9"/>
      <c r="GJB209" s="9"/>
      <c r="GJC209" s="9"/>
      <c r="GJE209" s="9"/>
      <c r="GJF209" s="9"/>
      <c r="GJG209" s="9"/>
      <c r="GJH209" s="9"/>
      <c r="GJI209" s="9"/>
      <c r="GJJ209" s="9"/>
      <c r="GJK209" s="9"/>
      <c r="GJL209" s="9"/>
      <c r="GJM209" s="9"/>
      <c r="GJO209" s="9"/>
      <c r="GJP209" s="9"/>
      <c r="GJQ209" s="9"/>
      <c r="GJR209" s="9"/>
      <c r="GJS209" s="9"/>
      <c r="GJT209" s="9"/>
      <c r="GJU209" s="9"/>
      <c r="GJV209" s="9"/>
      <c r="GJW209" s="9"/>
      <c r="GJY209" s="9"/>
      <c r="GJZ209" s="9"/>
      <c r="GKA209" s="9"/>
      <c r="GKB209" s="9"/>
      <c r="GKC209" s="9"/>
      <c r="GKD209" s="9"/>
      <c r="GKE209" s="9"/>
      <c r="GKF209" s="9"/>
      <c r="GKG209" s="9"/>
      <c r="GKI209" s="9"/>
      <c r="GKJ209" s="9"/>
      <c r="GKK209" s="9"/>
      <c r="GKL209" s="9"/>
      <c r="GKM209" s="9"/>
      <c r="GKN209" s="9"/>
      <c r="GKO209" s="9"/>
      <c r="GKP209" s="9"/>
      <c r="GKQ209" s="9"/>
      <c r="GKS209" s="9"/>
      <c r="GKT209" s="9"/>
      <c r="GKU209" s="9"/>
      <c r="GKV209" s="9"/>
      <c r="GKW209" s="9"/>
      <c r="GKX209" s="9"/>
      <c r="GKY209" s="9"/>
      <c r="GKZ209" s="9"/>
      <c r="GLA209" s="9"/>
      <c r="GLC209" s="9"/>
      <c r="GLD209" s="9"/>
      <c r="GLE209" s="9"/>
      <c r="GLF209" s="9"/>
      <c r="GLG209" s="9"/>
      <c r="GLH209" s="9"/>
      <c r="GLI209" s="9"/>
      <c r="GLJ209" s="9"/>
      <c r="GLK209" s="9"/>
      <c r="GLM209" s="9"/>
      <c r="GLN209" s="9"/>
      <c r="GLO209" s="9"/>
      <c r="GLP209" s="9"/>
      <c r="GLQ209" s="9"/>
      <c r="GLR209" s="9"/>
      <c r="GLS209" s="9"/>
      <c r="GLT209" s="9"/>
      <c r="GLU209" s="9"/>
      <c r="GLW209" s="9"/>
      <c r="GLX209" s="9"/>
      <c r="GLY209" s="9"/>
      <c r="GLZ209" s="9"/>
      <c r="GMA209" s="9"/>
      <c r="GMB209" s="9"/>
      <c r="GMC209" s="9"/>
      <c r="GMD209" s="9"/>
      <c r="GME209" s="9"/>
      <c r="GMG209" s="9"/>
      <c r="GMH209" s="9"/>
      <c r="GMI209" s="9"/>
      <c r="GMJ209" s="9"/>
      <c r="GMK209" s="9"/>
      <c r="GML209" s="9"/>
      <c r="GMM209" s="9"/>
      <c r="GMN209" s="9"/>
      <c r="GMO209" s="9"/>
      <c r="GMQ209" s="9"/>
      <c r="GMR209" s="9"/>
      <c r="GMS209" s="9"/>
      <c r="GMT209" s="9"/>
      <c r="GMU209" s="9"/>
      <c r="GMV209" s="9"/>
      <c r="GMW209" s="9"/>
      <c r="GMX209" s="9"/>
      <c r="GMY209" s="9"/>
      <c r="GNA209" s="9"/>
      <c r="GNB209" s="9"/>
      <c r="GNC209" s="9"/>
      <c r="GND209" s="9"/>
      <c r="GNE209" s="9"/>
      <c r="GNF209" s="9"/>
      <c r="GNG209" s="9"/>
      <c r="GNH209" s="9"/>
      <c r="GNI209" s="9"/>
      <c r="GNK209" s="9"/>
      <c r="GNL209" s="9"/>
      <c r="GNM209" s="9"/>
      <c r="GNN209" s="9"/>
      <c r="GNO209" s="9"/>
      <c r="GNP209" s="9"/>
      <c r="GNQ209" s="9"/>
      <c r="GNR209" s="9"/>
      <c r="GNS209" s="9"/>
      <c r="GNU209" s="9"/>
      <c r="GNV209" s="9"/>
      <c r="GNW209" s="9"/>
      <c r="GNX209" s="9"/>
      <c r="GNY209" s="9"/>
      <c r="GNZ209" s="9"/>
      <c r="GOA209" s="9"/>
      <c r="GOB209" s="9"/>
      <c r="GOC209" s="9"/>
      <c r="GOE209" s="9"/>
      <c r="GOF209" s="9"/>
      <c r="GOG209" s="9"/>
      <c r="GOH209" s="9"/>
      <c r="GOI209" s="9"/>
      <c r="GOJ209" s="9"/>
      <c r="GOK209" s="9"/>
      <c r="GOL209" s="9"/>
      <c r="GOM209" s="9"/>
      <c r="GOO209" s="9"/>
      <c r="GOP209" s="9"/>
      <c r="GOQ209" s="9"/>
      <c r="GOR209" s="9"/>
      <c r="GOS209" s="9"/>
      <c r="GOT209" s="9"/>
      <c r="GOU209" s="9"/>
      <c r="GOV209" s="9"/>
      <c r="GOW209" s="9"/>
      <c r="GOY209" s="9"/>
      <c r="GOZ209" s="9"/>
      <c r="GPA209" s="9"/>
      <c r="GPB209" s="9"/>
      <c r="GPC209" s="9"/>
      <c r="GPD209" s="9"/>
      <c r="GPE209" s="9"/>
      <c r="GPF209" s="9"/>
      <c r="GPG209" s="9"/>
      <c r="GPI209" s="9"/>
      <c r="GPJ209" s="9"/>
      <c r="GPK209" s="9"/>
      <c r="GPL209" s="9"/>
      <c r="GPM209" s="9"/>
      <c r="GPN209" s="9"/>
      <c r="GPO209" s="9"/>
      <c r="GPP209" s="9"/>
      <c r="GPQ209" s="9"/>
      <c r="GPS209" s="9"/>
      <c r="GPT209" s="9"/>
      <c r="GPU209" s="9"/>
      <c r="GPV209" s="9"/>
      <c r="GPW209" s="9"/>
      <c r="GPX209" s="9"/>
      <c r="GPY209" s="9"/>
      <c r="GPZ209" s="9"/>
      <c r="GQA209" s="9"/>
      <c r="GQC209" s="9"/>
      <c r="GQD209" s="9"/>
      <c r="GQE209" s="9"/>
      <c r="GQF209" s="9"/>
      <c r="GQG209" s="9"/>
      <c r="GQH209" s="9"/>
      <c r="GQI209" s="9"/>
      <c r="GQJ209" s="9"/>
      <c r="GQK209" s="9"/>
      <c r="GQM209" s="9"/>
      <c r="GQN209" s="9"/>
      <c r="GQO209" s="9"/>
      <c r="GQP209" s="9"/>
      <c r="GQQ209" s="9"/>
      <c r="GQR209" s="9"/>
      <c r="GQS209" s="9"/>
      <c r="GQT209" s="9"/>
      <c r="GQU209" s="9"/>
      <c r="GQW209" s="9"/>
      <c r="GQX209" s="9"/>
      <c r="GQY209" s="9"/>
      <c r="GQZ209" s="9"/>
      <c r="GRA209" s="9"/>
      <c r="GRB209" s="9"/>
      <c r="GRC209" s="9"/>
      <c r="GRD209" s="9"/>
      <c r="GRE209" s="9"/>
      <c r="GRG209" s="9"/>
      <c r="GRH209" s="9"/>
      <c r="GRI209" s="9"/>
      <c r="GRJ209" s="9"/>
      <c r="GRK209" s="9"/>
      <c r="GRL209" s="9"/>
      <c r="GRM209" s="9"/>
      <c r="GRN209" s="9"/>
      <c r="GRO209" s="9"/>
      <c r="GRQ209" s="9"/>
      <c r="GRR209" s="9"/>
      <c r="GRS209" s="9"/>
      <c r="GRT209" s="9"/>
      <c r="GRU209" s="9"/>
      <c r="GRV209" s="9"/>
      <c r="GRW209" s="9"/>
      <c r="GRX209" s="9"/>
      <c r="GRY209" s="9"/>
      <c r="GSA209" s="9"/>
      <c r="GSB209" s="9"/>
      <c r="GSC209" s="9"/>
      <c r="GSD209" s="9"/>
      <c r="GSE209" s="9"/>
      <c r="GSF209" s="9"/>
      <c r="GSG209" s="9"/>
      <c r="GSH209" s="9"/>
      <c r="GSI209" s="9"/>
      <c r="GSK209" s="9"/>
      <c r="GSL209" s="9"/>
      <c r="GSM209" s="9"/>
      <c r="GSN209" s="9"/>
      <c r="GSO209" s="9"/>
      <c r="GSP209" s="9"/>
      <c r="GSQ209" s="9"/>
      <c r="GSR209" s="9"/>
      <c r="GSS209" s="9"/>
      <c r="GSU209" s="9"/>
      <c r="GSV209" s="9"/>
      <c r="GSW209" s="9"/>
      <c r="GSX209" s="9"/>
      <c r="GSY209" s="9"/>
      <c r="GSZ209" s="9"/>
      <c r="GTA209" s="9"/>
      <c r="GTB209" s="9"/>
      <c r="GTC209" s="9"/>
      <c r="GTE209" s="9"/>
      <c r="GTF209" s="9"/>
      <c r="GTG209" s="9"/>
      <c r="GTH209" s="9"/>
      <c r="GTI209" s="9"/>
      <c r="GTJ209" s="9"/>
      <c r="GTK209" s="9"/>
      <c r="GTL209" s="9"/>
      <c r="GTM209" s="9"/>
      <c r="GTO209" s="9"/>
      <c r="GTP209" s="9"/>
      <c r="GTQ209" s="9"/>
      <c r="GTR209" s="9"/>
      <c r="GTS209" s="9"/>
      <c r="GTT209" s="9"/>
      <c r="GTU209" s="9"/>
      <c r="GTV209" s="9"/>
      <c r="GTW209" s="9"/>
      <c r="GTY209" s="9"/>
      <c r="GTZ209" s="9"/>
      <c r="GUA209" s="9"/>
      <c r="GUB209" s="9"/>
      <c r="GUC209" s="9"/>
      <c r="GUD209" s="9"/>
      <c r="GUE209" s="9"/>
      <c r="GUF209" s="9"/>
      <c r="GUG209" s="9"/>
      <c r="GUI209" s="9"/>
      <c r="GUJ209" s="9"/>
      <c r="GUK209" s="9"/>
      <c r="GUL209" s="9"/>
      <c r="GUM209" s="9"/>
      <c r="GUN209" s="9"/>
      <c r="GUO209" s="9"/>
      <c r="GUP209" s="9"/>
      <c r="GUQ209" s="9"/>
      <c r="GUS209" s="9"/>
      <c r="GUT209" s="9"/>
      <c r="GUU209" s="9"/>
      <c r="GUV209" s="9"/>
      <c r="GUW209" s="9"/>
      <c r="GUX209" s="9"/>
      <c r="GUY209" s="9"/>
      <c r="GUZ209" s="9"/>
      <c r="GVA209" s="9"/>
      <c r="GVC209" s="9"/>
      <c r="GVD209" s="9"/>
      <c r="GVE209" s="9"/>
      <c r="GVF209" s="9"/>
      <c r="GVG209" s="9"/>
      <c r="GVH209" s="9"/>
      <c r="GVI209" s="9"/>
      <c r="GVJ209" s="9"/>
      <c r="GVK209" s="9"/>
      <c r="GVM209" s="9"/>
      <c r="GVN209" s="9"/>
      <c r="GVO209" s="9"/>
      <c r="GVP209" s="9"/>
      <c r="GVQ209" s="9"/>
      <c r="GVR209" s="9"/>
      <c r="GVS209" s="9"/>
      <c r="GVT209" s="9"/>
      <c r="GVU209" s="9"/>
      <c r="GVW209" s="9"/>
      <c r="GVX209" s="9"/>
      <c r="GVY209" s="9"/>
      <c r="GVZ209" s="9"/>
      <c r="GWA209" s="9"/>
      <c r="GWB209" s="9"/>
      <c r="GWC209" s="9"/>
      <c r="GWD209" s="9"/>
      <c r="GWE209" s="9"/>
      <c r="GWG209" s="9"/>
      <c r="GWH209" s="9"/>
      <c r="GWI209" s="9"/>
      <c r="GWJ209" s="9"/>
      <c r="GWK209" s="9"/>
      <c r="GWL209" s="9"/>
      <c r="GWM209" s="9"/>
      <c r="GWN209" s="9"/>
      <c r="GWO209" s="9"/>
      <c r="GWQ209" s="9"/>
      <c r="GWR209" s="9"/>
      <c r="GWS209" s="9"/>
      <c r="GWT209" s="9"/>
      <c r="GWU209" s="9"/>
      <c r="GWV209" s="9"/>
      <c r="GWW209" s="9"/>
      <c r="GWX209" s="9"/>
      <c r="GWY209" s="9"/>
      <c r="GXA209" s="9"/>
      <c r="GXB209" s="9"/>
      <c r="GXC209" s="9"/>
      <c r="GXD209" s="9"/>
      <c r="GXE209" s="9"/>
      <c r="GXF209" s="9"/>
      <c r="GXG209" s="9"/>
      <c r="GXH209" s="9"/>
      <c r="GXI209" s="9"/>
      <c r="GXK209" s="9"/>
      <c r="GXL209" s="9"/>
      <c r="GXM209" s="9"/>
      <c r="GXN209" s="9"/>
      <c r="GXO209" s="9"/>
      <c r="GXP209" s="9"/>
      <c r="GXQ209" s="9"/>
      <c r="GXR209" s="9"/>
      <c r="GXS209" s="9"/>
      <c r="GXU209" s="9"/>
      <c r="GXV209" s="9"/>
      <c r="GXW209" s="9"/>
      <c r="GXX209" s="9"/>
      <c r="GXY209" s="9"/>
      <c r="GXZ209" s="9"/>
      <c r="GYA209" s="9"/>
      <c r="GYB209" s="9"/>
      <c r="GYC209" s="9"/>
      <c r="GYE209" s="9"/>
      <c r="GYF209" s="9"/>
      <c r="GYG209" s="9"/>
      <c r="GYH209" s="9"/>
      <c r="GYI209" s="9"/>
      <c r="GYJ209" s="9"/>
      <c r="GYK209" s="9"/>
      <c r="GYL209" s="9"/>
      <c r="GYM209" s="9"/>
      <c r="GYO209" s="9"/>
      <c r="GYP209" s="9"/>
      <c r="GYQ209" s="9"/>
      <c r="GYR209" s="9"/>
      <c r="GYS209" s="9"/>
      <c r="GYT209" s="9"/>
      <c r="GYU209" s="9"/>
      <c r="GYV209" s="9"/>
      <c r="GYW209" s="9"/>
      <c r="GYY209" s="9"/>
      <c r="GYZ209" s="9"/>
      <c r="GZA209" s="9"/>
      <c r="GZB209" s="9"/>
      <c r="GZC209" s="9"/>
      <c r="GZD209" s="9"/>
      <c r="GZE209" s="9"/>
      <c r="GZF209" s="9"/>
      <c r="GZG209" s="9"/>
      <c r="GZI209" s="9"/>
      <c r="GZJ209" s="9"/>
      <c r="GZK209" s="9"/>
      <c r="GZL209" s="9"/>
      <c r="GZM209" s="9"/>
      <c r="GZN209" s="9"/>
      <c r="GZO209" s="9"/>
      <c r="GZP209" s="9"/>
      <c r="GZQ209" s="9"/>
      <c r="GZS209" s="9"/>
      <c r="GZT209" s="9"/>
      <c r="GZU209" s="9"/>
      <c r="GZV209" s="9"/>
      <c r="GZW209" s="9"/>
      <c r="GZX209" s="9"/>
      <c r="GZY209" s="9"/>
      <c r="GZZ209" s="9"/>
      <c r="HAA209" s="9"/>
      <c r="HAC209" s="9"/>
      <c r="HAD209" s="9"/>
      <c r="HAE209" s="9"/>
      <c r="HAF209" s="9"/>
      <c r="HAG209" s="9"/>
      <c r="HAH209" s="9"/>
      <c r="HAI209" s="9"/>
      <c r="HAJ209" s="9"/>
      <c r="HAK209" s="9"/>
      <c r="HAM209" s="9"/>
      <c r="HAN209" s="9"/>
      <c r="HAO209" s="9"/>
      <c r="HAP209" s="9"/>
      <c r="HAQ209" s="9"/>
      <c r="HAR209" s="9"/>
      <c r="HAS209" s="9"/>
      <c r="HAT209" s="9"/>
      <c r="HAU209" s="9"/>
      <c r="HAW209" s="9"/>
      <c r="HAX209" s="9"/>
      <c r="HAY209" s="9"/>
      <c r="HAZ209" s="9"/>
      <c r="HBA209" s="9"/>
      <c r="HBB209" s="9"/>
      <c r="HBC209" s="9"/>
      <c r="HBD209" s="9"/>
      <c r="HBE209" s="9"/>
      <c r="HBG209" s="9"/>
      <c r="HBH209" s="9"/>
      <c r="HBI209" s="9"/>
      <c r="HBJ209" s="9"/>
      <c r="HBK209" s="9"/>
      <c r="HBL209" s="9"/>
      <c r="HBM209" s="9"/>
      <c r="HBN209" s="9"/>
      <c r="HBO209" s="9"/>
      <c r="HBQ209" s="9"/>
      <c r="HBR209" s="9"/>
      <c r="HBS209" s="9"/>
      <c r="HBT209" s="9"/>
      <c r="HBU209" s="9"/>
      <c r="HBV209" s="9"/>
      <c r="HBW209" s="9"/>
      <c r="HBX209" s="9"/>
      <c r="HBY209" s="9"/>
      <c r="HCA209" s="9"/>
      <c r="HCB209" s="9"/>
      <c r="HCC209" s="9"/>
      <c r="HCD209" s="9"/>
      <c r="HCE209" s="9"/>
      <c r="HCF209" s="9"/>
      <c r="HCG209" s="9"/>
      <c r="HCH209" s="9"/>
      <c r="HCI209" s="9"/>
      <c r="HCK209" s="9"/>
      <c r="HCL209" s="9"/>
      <c r="HCM209" s="9"/>
      <c r="HCN209" s="9"/>
      <c r="HCO209" s="9"/>
      <c r="HCP209" s="9"/>
      <c r="HCQ209" s="9"/>
      <c r="HCR209" s="9"/>
      <c r="HCS209" s="9"/>
      <c r="HCU209" s="9"/>
      <c r="HCV209" s="9"/>
      <c r="HCW209" s="9"/>
      <c r="HCX209" s="9"/>
      <c r="HCY209" s="9"/>
      <c r="HCZ209" s="9"/>
      <c r="HDA209" s="9"/>
      <c r="HDB209" s="9"/>
      <c r="HDC209" s="9"/>
      <c r="HDE209" s="9"/>
      <c r="HDF209" s="9"/>
      <c r="HDG209" s="9"/>
      <c r="HDH209" s="9"/>
      <c r="HDI209" s="9"/>
      <c r="HDJ209" s="9"/>
      <c r="HDK209" s="9"/>
      <c r="HDL209" s="9"/>
      <c r="HDM209" s="9"/>
      <c r="HDO209" s="9"/>
      <c r="HDP209" s="9"/>
      <c r="HDQ209" s="9"/>
      <c r="HDR209" s="9"/>
      <c r="HDS209" s="9"/>
      <c r="HDT209" s="9"/>
      <c r="HDU209" s="9"/>
      <c r="HDV209" s="9"/>
      <c r="HDW209" s="9"/>
      <c r="HDY209" s="9"/>
      <c r="HDZ209" s="9"/>
      <c r="HEA209" s="9"/>
      <c r="HEB209" s="9"/>
      <c r="HEC209" s="9"/>
      <c r="HED209" s="9"/>
      <c r="HEE209" s="9"/>
      <c r="HEF209" s="9"/>
      <c r="HEG209" s="9"/>
      <c r="HEI209" s="9"/>
      <c r="HEJ209" s="9"/>
      <c r="HEK209" s="9"/>
      <c r="HEL209" s="9"/>
      <c r="HEM209" s="9"/>
      <c r="HEN209" s="9"/>
      <c r="HEO209" s="9"/>
      <c r="HEP209" s="9"/>
      <c r="HEQ209" s="9"/>
      <c r="HES209" s="9"/>
      <c r="HET209" s="9"/>
      <c r="HEU209" s="9"/>
      <c r="HEV209" s="9"/>
      <c r="HEW209" s="9"/>
      <c r="HEX209" s="9"/>
      <c r="HEY209" s="9"/>
      <c r="HEZ209" s="9"/>
      <c r="HFA209" s="9"/>
      <c r="HFC209" s="9"/>
      <c r="HFD209" s="9"/>
      <c r="HFE209" s="9"/>
      <c r="HFF209" s="9"/>
      <c r="HFG209" s="9"/>
      <c r="HFH209" s="9"/>
      <c r="HFI209" s="9"/>
      <c r="HFJ209" s="9"/>
      <c r="HFK209" s="9"/>
      <c r="HFM209" s="9"/>
      <c r="HFN209" s="9"/>
      <c r="HFO209" s="9"/>
      <c r="HFP209" s="9"/>
      <c r="HFQ209" s="9"/>
      <c r="HFR209" s="9"/>
      <c r="HFS209" s="9"/>
      <c r="HFT209" s="9"/>
      <c r="HFU209" s="9"/>
      <c r="HFW209" s="9"/>
      <c r="HFX209" s="9"/>
      <c r="HFY209" s="9"/>
      <c r="HFZ209" s="9"/>
      <c r="HGA209" s="9"/>
      <c r="HGB209" s="9"/>
      <c r="HGC209" s="9"/>
      <c r="HGD209" s="9"/>
      <c r="HGE209" s="9"/>
      <c r="HGG209" s="9"/>
      <c r="HGH209" s="9"/>
      <c r="HGI209" s="9"/>
      <c r="HGJ209" s="9"/>
      <c r="HGK209" s="9"/>
      <c r="HGL209" s="9"/>
      <c r="HGM209" s="9"/>
      <c r="HGN209" s="9"/>
      <c r="HGO209" s="9"/>
      <c r="HGQ209" s="9"/>
      <c r="HGR209" s="9"/>
      <c r="HGS209" s="9"/>
      <c r="HGT209" s="9"/>
      <c r="HGU209" s="9"/>
      <c r="HGV209" s="9"/>
      <c r="HGW209" s="9"/>
      <c r="HGX209" s="9"/>
      <c r="HGY209" s="9"/>
      <c r="HHA209" s="9"/>
      <c r="HHB209" s="9"/>
      <c r="HHC209" s="9"/>
      <c r="HHD209" s="9"/>
      <c r="HHE209" s="9"/>
      <c r="HHF209" s="9"/>
      <c r="HHG209" s="9"/>
      <c r="HHH209" s="9"/>
      <c r="HHI209" s="9"/>
      <c r="HHK209" s="9"/>
      <c r="HHL209" s="9"/>
      <c r="HHM209" s="9"/>
      <c r="HHN209" s="9"/>
      <c r="HHO209" s="9"/>
      <c r="HHP209" s="9"/>
      <c r="HHQ209" s="9"/>
      <c r="HHR209" s="9"/>
      <c r="HHS209" s="9"/>
      <c r="HHU209" s="9"/>
      <c r="HHV209" s="9"/>
      <c r="HHW209" s="9"/>
      <c r="HHX209" s="9"/>
      <c r="HHY209" s="9"/>
      <c r="HHZ209" s="9"/>
      <c r="HIA209" s="9"/>
      <c r="HIB209" s="9"/>
      <c r="HIC209" s="9"/>
      <c r="HIE209" s="9"/>
      <c r="HIF209" s="9"/>
      <c r="HIG209" s="9"/>
      <c r="HIH209" s="9"/>
      <c r="HII209" s="9"/>
      <c r="HIJ209" s="9"/>
      <c r="HIK209" s="9"/>
      <c r="HIL209" s="9"/>
      <c r="HIM209" s="9"/>
      <c r="HIO209" s="9"/>
      <c r="HIP209" s="9"/>
      <c r="HIQ209" s="9"/>
      <c r="HIR209" s="9"/>
      <c r="HIS209" s="9"/>
      <c r="HIT209" s="9"/>
      <c r="HIU209" s="9"/>
      <c r="HIV209" s="9"/>
      <c r="HIW209" s="9"/>
      <c r="HIY209" s="9"/>
      <c r="HIZ209" s="9"/>
      <c r="HJA209" s="9"/>
      <c r="HJB209" s="9"/>
      <c r="HJC209" s="9"/>
      <c r="HJD209" s="9"/>
      <c r="HJE209" s="9"/>
      <c r="HJF209" s="9"/>
      <c r="HJG209" s="9"/>
      <c r="HJI209" s="9"/>
      <c r="HJJ209" s="9"/>
      <c r="HJK209" s="9"/>
      <c r="HJL209" s="9"/>
      <c r="HJM209" s="9"/>
      <c r="HJN209" s="9"/>
      <c r="HJO209" s="9"/>
      <c r="HJP209" s="9"/>
      <c r="HJQ209" s="9"/>
      <c r="HJS209" s="9"/>
      <c r="HJT209" s="9"/>
      <c r="HJU209" s="9"/>
      <c r="HJV209" s="9"/>
      <c r="HJW209" s="9"/>
      <c r="HJX209" s="9"/>
      <c r="HJY209" s="9"/>
      <c r="HJZ209" s="9"/>
      <c r="HKA209" s="9"/>
      <c r="HKC209" s="9"/>
      <c r="HKD209" s="9"/>
      <c r="HKE209" s="9"/>
      <c r="HKF209" s="9"/>
      <c r="HKG209" s="9"/>
      <c r="HKH209" s="9"/>
      <c r="HKI209" s="9"/>
      <c r="HKJ209" s="9"/>
      <c r="HKK209" s="9"/>
      <c r="HKM209" s="9"/>
      <c r="HKN209" s="9"/>
      <c r="HKO209" s="9"/>
      <c r="HKP209" s="9"/>
      <c r="HKQ209" s="9"/>
      <c r="HKR209" s="9"/>
      <c r="HKS209" s="9"/>
      <c r="HKT209" s="9"/>
      <c r="HKU209" s="9"/>
      <c r="HKW209" s="9"/>
      <c r="HKX209" s="9"/>
      <c r="HKY209" s="9"/>
      <c r="HKZ209" s="9"/>
      <c r="HLA209" s="9"/>
      <c r="HLB209" s="9"/>
      <c r="HLC209" s="9"/>
      <c r="HLD209" s="9"/>
      <c r="HLE209" s="9"/>
      <c r="HLG209" s="9"/>
      <c r="HLH209" s="9"/>
      <c r="HLI209" s="9"/>
      <c r="HLJ209" s="9"/>
      <c r="HLK209" s="9"/>
      <c r="HLL209" s="9"/>
      <c r="HLM209" s="9"/>
      <c r="HLN209" s="9"/>
      <c r="HLO209" s="9"/>
      <c r="HLQ209" s="9"/>
      <c r="HLR209" s="9"/>
      <c r="HLS209" s="9"/>
      <c r="HLT209" s="9"/>
      <c r="HLU209" s="9"/>
      <c r="HLV209" s="9"/>
      <c r="HLW209" s="9"/>
      <c r="HLX209" s="9"/>
      <c r="HLY209" s="9"/>
      <c r="HMA209" s="9"/>
      <c r="HMB209" s="9"/>
      <c r="HMC209" s="9"/>
      <c r="HMD209" s="9"/>
      <c r="HME209" s="9"/>
      <c r="HMF209" s="9"/>
      <c r="HMG209" s="9"/>
      <c r="HMH209" s="9"/>
      <c r="HMI209" s="9"/>
      <c r="HMK209" s="9"/>
      <c r="HML209" s="9"/>
      <c r="HMM209" s="9"/>
      <c r="HMN209" s="9"/>
      <c r="HMO209" s="9"/>
      <c r="HMP209" s="9"/>
      <c r="HMQ209" s="9"/>
      <c r="HMR209" s="9"/>
      <c r="HMS209" s="9"/>
      <c r="HMU209" s="9"/>
      <c r="HMV209" s="9"/>
      <c r="HMW209" s="9"/>
      <c r="HMX209" s="9"/>
      <c r="HMY209" s="9"/>
      <c r="HMZ209" s="9"/>
      <c r="HNA209" s="9"/>
      <c r="HNB209" s="9"/>
      <c r="HNC209" s="9"/>
      <c r="HNE209" s="9"/>
      <c r="HNF209" s="9"/>
      <c r="HNG209" s="9"/>
      <c r="HNH209" s="9"/>
      <c r="HNI209" s="9"/>
      <c r="HNJ209" s="9"/>
      <c r="HNK209" s="9"/>
      <c r="HNL209" s="9"/>
      <c r="HNM209" s="9"/>
      <c r="HNO209" s="9"/>
      <c r="HNP209" s="9"/>
      <c r="HNQ209" s="9"/>
      <c r="HNR209" s="9"/>
      <c r="HNS209" s="9"/>
      <c r="HNT209" s="9"/>
      <c r="HNU209" s="9"/>
      <c r="HNV209" s="9"/>
      <c r="HNW209" s="9"/>
      <c r="HNY209" s="9"/>
      <c r="HNZ209" s="9"/>
      <c r="HOA209" s="9"/>
      <c r="HOB209" s="9"/>
      <c r="HOC209" s="9"/>
      <c r="HOD209" s="9"/>
      <c r="HOE209" s="9"/>
      <c r="HOF209" s="9"/>
      <c r="HOG209" s="9"/>
      <c r="HOI209" s="9"/>
      <c r="HOJ209" s="9"/>
      <c r="HOK209" s="9"/>
      <c r="HOL209" s="9"/>
      <c r="HOM209" s="9"/>
      <c r="HON209" s="9"/>
      <c r="HOO209" s="9"/>
      <c r="HOP209" s="9"/>
      <c r="HOQ209" s="9"/>
      <c r="HOS209" s="9"/>
      <c r="HOT209" s="9"/>
      <c r="HOU209" s="9"/>
      <c r="HOV209" s="9"/>
      <c r="HOW209" s="9"/>
      <c r="HOX209" s="9"/>
      <c r="HOY209" s="9"/>
      <c r="HOZ209" s="9"/>
      <c r="HPA209" s="9"/>
      <c r="HPC209" s="9"/>
      <c r="HPD209" s="9"/>
      <c r="HPE209" s="9"/>
      <c r="HPF209" s="9"/>
      <c r="HPG209" s="9"/>
      <c r="HPH209" s="9"/>
      <c r="HPI209" s="9"/>
      <c r="HPJ209" s="9"/>
      <c r="HPK209" s="9"/>
      <c r="HPM209" s="9"/>
      <c r="HPN209" s="9"/>
      <c r="HPO209" s="9"/>
      <c r="HPP209" s="9"/>
      <c r="HPQ209" s="9"/>
      <c r="HPR209" s="9"/>
      <c r="HPS209" s="9"/>
      <c r="HPT209" s="9"/>
      <c r="HPU209" s="9"/>
      <c r="HPW209" s="9"/>
      <c r="HPX209" s="9"/>
      <c r="HPY209" s="9"/>
      <c r="HPZ209" s="9"/>
      <c r="HQA209" s="9"/>
      <c r="HQB209" s="9"/>
      <c r="HQC209" s="9"/>
      <c r="HQD209" s="9"/>
      <c r="HQE209" s="9"/>
      <c r="HQG209" s="9"/>
      <c r="HQH209" s="9"/>
      <c r="HQI209" s="9"/>
      <c r="HQJ209" s="9"/>
      <c r="HQK209" s="9"/>
      <c r="HQL209" s="9"/>
      <c r="HQM209" s="9"/>
      <c r="HQN209" s="9"/>
      <c r="HQO209" s="9"/>
      <c r="HQQ209" s="9"/>
      <c r="HQR209" s="9"/>
      <c r="HQS209" s="9"/>
      <c r="HQT209" s="9"/>
      <c r="HQU209" s="9"/>
      <c r="HQV209" s="9"/>
      <c r="HQW209" s="9"/>
      <c r="HQX209" s="9"/>
      <c r="HQY209" s="9"/>
      <c r="HRA209" s="9"/>
      <c r="HRB209" s="9"/>
      <c r="HRC209" s="9"/>
      <c r="HRD209" s="9"/>
      <c r="HRE209" s="9"/>
      <c r="HRF209" s="9"/>
      <c r="HRG209" s="9"/>
      <c r="HRH209" s="9"/>
      <c r="HRI209" s="9"/>
      <c r="HRK209" s="9"/>
      <c r="HRL209" s="9"/>
      <c r="HRM209" s="9"/>
      <c r="HRN209" s="9"/>
      <c r="HRO209" s="9"/>
      <c r="HRP209" s="9"/>
      <c r="HRQ209" s="9"/>
      <c r="HRR209" s="9"/>
      <c r="HRS209" s="9"/>
      <c r="HRU209" s="9"/>
      <c r="HRV209" s="9"/>
      <c r="HRW209" s="9"/>
      <c r="HRX209" s="9"/>
      <c r="HRY209" s="9"/>
      <c r="HRZ209" s="9"/>
      <c r="HSA209" s="9"/>
      <c r="HSB209" s="9"/>
      <c r="HSC209" s="9"/>
      <c r="HSE209" s="9"/>
      <c r="HSF209" s="9"/>
      <c r="HSG209" s="9"/>
      <c r="HSH209" s="9"/>
      <c r="HSI209" s="9"/>
      <c r="HSJ209" s="9"/>
      <c r="HSK209" s="9"/>
      <c r="HSL209" s="9"/>
      <c r="HSM209" s="9"/>
      <c r="HSO209" s="9"/>
      <c r="HSP209" s="9"/>
      <c r="HSQ209" s="9"/>
      <c r="HSR209" s="9"/>
      <c r="HSS209" s="9"/>
      <c r="HST209" s="9"/>
      <c r="HSU209" s="9"/>
      <c r="HSV209" s="9"/>
      <c r="HSW209" s="9"/>
      <c r="HSY209" s="9"/>
      <c r="HSZ209" s="9"/>
      <c r="HTA209" s="9"/>
      <c r="HTB209" s="9"/>
      <c r="HTC209" s="9"/>
      <c r="HTD209" s="9"/>
      <c r="HTE209" s="9"/>
      <c r="HTF209" s="9"/>
      <c r="HTG209" s="9"/>
      <c r="HTI209" s="9"/>
      <c r="HTJ209" s="9"/>
      <c r="HTK209" s="9"/>
      <c r="HTL209" s="9"/>
      <c r="HTM209" s="9"/>
      <c r="HTN209" s="9"/>
      <c r="HTO209" s="9"/>
      <c r="HTP209" s="9"/>
      <c r="HTQ209" s="9"/>
      <c r="HTS209" s="9"/>
      <c r="HTT209" s="9"/>
      <c r="HTU209" s="9"/>
      <c r="HTV209" s="9"/>
      <c r="HTW209" s="9"/>
      <c r="HTX209" s="9"/>
      <c r="HTY209" s="9"/>
      <c r="HTZ209" s="9"/>
      <c r="HUA209" s="9"/>
      <c r="HUC209" s="9"/>
      <c r="HUD209" s="9"/>
      <c r="HUE209" s="9"/>
      <c r="HUF209" s="9"/>
      <c r="HUG209" s="9"/>
      <c r="HUH209" s="9"/>
      <c r="HUI209" s="9"/>
      <c r="HUJ209" s="9"/>
      <c r="HUK209" s="9"/>
      <c r="HUM209" s="9"/>
      <c r="HUN209" s="9"/>
      <c r="HUO209" s="9"/>
      <c r="HUP209" s="9"/>
      <c r="HUQ209" s="9"/>
      <c r="HUR209" s="9"/>
      <c r="HUS209" s="9"/>
      <c r="HUT209" s="9"/>
      <c r="HUU209" s="9"/>
      <c r="HUW209" s="9"/>
      <c r="HUX209" s="9"/>
      <c r="HUY209" s="9"/>
      <c r="HUZ209" s="9"/>
      <c r="HVA209" s="9"/>
      <c r="HVB209" s="9"/>
      <c r="HVC209" s="9"/>
      <c r="HVD209" s="9"/>
      <c r="HVE209" s="9"/>
      <c r="HVG209" s="9"/>
      <c r="HVH209" s="9"/>
      <c r="HVI209" s="9"/>
      <c r="HVJ209" s="9"/>
      <c r="HVK209" s="9"/>
      <c r="HVL209" s="9"/>
      <c r="HVM209" s="9"/>
      <c r="HVN209" s="9"/>
      <c r="HVO209" s="9"/>
      <c r="HVQ209" s="9"/>
      <c r="HVR209" s="9"/>
      <c r="HVS209" s="9"/>
      <c r="HVT209" s="9"/>
      <c r="HVU209" s="9"/>
      <c r="HVV209" s="9"/>
      <c r="HVW209" s="9"/>
      <c r="HVX209" s="9"/>
      <c r="HVY209" s="9"/>
      <c r="HWA209" s="9"/>
      <c r="HWB209" s="9"/>
      <c r="HWC209" s="9"/>
      <c r="HWD209" s="9"/>
      <c r="HWE209" s="9"/>
      <c r="HWF209" s="9"/>
      <c r="HWG209" s="9"/>
      <c r="HWH209" s="9"/>
      <c r="HWI209" s="9"/>
      <c r="HWK209" s="9"/>
      <c r="HWL209" s="9"/>
      <c r="HWM209" s="9"/>
      <c r="HWN209" s="9"/>
      <c r="HWO209" s="9"/>
      <c r="HWP209" s="9"/>
      <c r="HWQ209" s="9"/>
      <c r="HWR209" s="9"/>
      <c r="HWS209" s="9"/>
      <c r="HWU209" s="9"/>
      <c r="HWV209" s="9"/>
      <c r="HWW209" s="9"/>
      <c r="HWX209" s="9"/>
      <c r="HWY209" s="9"/>
      <c r="HWZ209" s="9"/>
      <c r="HXA209" s="9"/>
      <c r="HXB209" s="9"/>
      <c r="HXC209" s="9"/>
      <c r="HXE209" s="9"/>
      <c r="HXF209" s="9"/>
      <c r="HXG209" s="9"/>
      <c r="HXH209" s="9"/>
      <c r="HXI209" s="9"/>
      <c r="HXJ209" s="9"/>
      <c r="HXK209" s="9"/>
      <c r="HXL209" s="9"/>
      <c r="HXM209" s="9"/>
      <c r="HXO209" s="9"/>
      <c r="HXP209" s="9"/>
      <c r="HXQ209" s="9"/>
      <c r="HXR209" s="9"/>
      <c r="HXS209" s="9"/>
      <c r="HXT209" s="9"/>
      <c r="HXU209" s="9"/>
      <c r="HXV209" s="9"/>
      <c r="HXW209" s="9"/>
      <c r="HXY209" s="9"/>
      <c r="HXZ209" s="9"/>
      <c r="HYA209" s="9"/>
      <c r="HYB209" s="9"/>
      <c r="HYC209" s="9"/>
      <c r="HYD209" s="9"/>
      <c r="HYE209" s="9"/>
      <c r="HYF209" s="9"/>
      <c r="HYG209" s="9"/>
      <c r="HYI209" s="9"/>
      <c r="HYJ209" s="9"/>
      <c r="HYK209" s="9"/>
      <c r="HYL209" s="9"/>
      <c r="HYM209" s="9"/>
      <c r="HYN209" s="9"/>
      <c r="HYO209" s="9"/>
      <c r="HYP209" s="9"/>
      <c r="HYQ209" s="9"/>
      <c r="HYS209" s="9"/>
      <c r="HYT209" s="9"/>
      <c r="HYU209" s="9"/>
      <c r="HYV209" s="9"/>
      <c r="HYW209" s="9"/>
      <c r="HYX209" s="9"/>
      <c r="HYY209" s="9"/>
      <c r="HYZ209" s="9"/>
      <c r="HZA209" s="9"/>
      <c r="HZC209" s="9"/>
      <c r="HZD209" s="9"/>
      <c r="HZE209" s="9"/>
      <c r="HZF209" s="9"/>
      <c r="HZG209" s="9"/>
      <c r="HZH209" s="9"/>
      <c r="HZI209" s="9"/>
      <c r="HZJ209" s="9"/>
      <c r="HZK209" s="9"/>
      <c r="HZM209" s="9"/>
      <c r="HZN209" s="9"/>
      <c r="HZO209" s="9"/>
      <c r="HZP209" s="9"/>
      <c r="HZQ209" s="9"/>
      <c r="HZR209" s="9"/>
      <c r="HZS209" s="9"/>
      <c r="HZT209" s="9"/>
      <c r="HZU209" s="9"/>
      <c r="HZW209" s="9"/>
      <c r="HZX209" s="9"/>
      <c r="HZY209" s="9"/>
      <c r="HZZ209" s="9"/>
      <c r="IAA209" s="9"/>
      <c r="IAB209" s="9"/>
      <c r="IAC209" s="9"/>
      <c r="IAD209" s="9"/>
      <c r="IAE209" s="9"/>
      <c r="IAG209" s="9"/>
      <c r="IAH209" s="9"/>
      <c r="IAI209" s="9"/>
      <c r="IAJ209" s="9"/>
      <c r="IAK209" s="9"/>
      <c r="IAL209" s="9"/>
      <c r="IAM209" s="9"/>
      <c r="IAN209" s="9"/>
      <c r="IAO209" s="9"/>
      <c r="IAQ209" s="9"/>
      <c r="IAR209" s="9"/>
      <c r="IAS209" s="9"/>
      <c r="IAT209" s="9"/>
      <c r="IAU209" s="9"/>
      <c r="IAV209" s="9"/>
      <c r="IAW209" s="9"/>
      <c r="IAX209" s="9"/>
      <c r="IAY209" s="9"/>
      <c r="IBA209" s="9"/>
      <c r="IBB209" s="9"/>
      <c r="IBC209" s="9"/>
      <c r="IBD209" s="9"/>
      <c r="IBE209" s="9"/>
      <c r="IBF209" s="9"/>
      <c r="IBG209" s="9"/>
      <c r="IBH209" s="9"/>
      <c r="IBI209" s="9"/>
      <c r="IBK209" s="9"/>
      <c r="IBL209" s="9"/>
      <c r="IBM209" s="9"/>
      <c r="IBN209" s="9"/>
      <c r="IBO209" s="9"/>
      <c r="IBP209" s="9"/>
      <c r="IBQ209" s="9"/>
      <c r="IBR209" s="9"/>
      <c r="IBS209" s="9"/>
      <c r="IBU209" s="9"/>
      <c r="IBV209" s="9"/>
      <c r="IBW209" s="9"/>
      <c r="IBX209" s="9"/>
      <c r="IBY209" s="9"/>
      <c r="IBZ209" s="9"/>
      <c r="ICA209" s="9"/>
      <c r="ICB209" s="9"/>
      <c r="ICC209" s="9"/>
      <c r="ICE209" s="9"/>
      <c r="ICF209" s="9"/>
      <c r="ICG209" s="9"/>
      <c r="ICH209" s="9"/>
      <c r="ICI209" s="9"/>
      <c r="ICJ209" s="9"/>
      <c r="ICK209" s="9"/>
      <c r="ICL209" s="9"/>
      <c r="ICM209" s="9"/>
      <c r="ICO209" s="9"/>
      <c r="ICP209" s="9"/>
      <c r="ICQ209" s="9"/>
      <c r="ICR209" s="9"/>
      <c r="ICS209" s="9"/>
      <c r="ICT209" s="9"/>
      <c r="ICU209" s="9"/>
      <c r="ICV209" s="9"/>
      <c r="ICW209" s="9"/>
      <c r="ICY209" s="9"/>
      <c r="ICZ209" s="9"/>
      <c r="IDA209" s="9"/>
      <c r="IDB209" s="9"/>
      <c r="IDC209" s="9"/>
      <c r="IDD209" s="9"/>
      <c r="IDE209" s="9"/>
      <c r="IDF209" s="9"/>
      <c r="IDG209" s="9"/>
      <c r="IDI209" s="9"/>
      <c r="IDJ209" s="9"/>
      <c r="IDK209" s="9"/>
      <c r="IDL209" s="9"/>
      <c r="IDM209" s="9"/>
      <c r="IDN209" s="9"/>
      <c r="IDO209" s="9"/>
      <c r="IDP209" s="9"/>
      <c r="IDQ209" s="9"/>
      <c r="IDS209" s="9"/>
      <c r="IDT209" s="9"/>
      <c r="IDU209" s="9"/>
      <c r="IDV209" s="9"/>
      <c r="IDW209" s="9"/>
      <c r="IDX209" s="9"/>
      <c r="IDY209" s="9"/>
      <c r="IDZ209" s="9"/>
      <c r="IEA209" s="9"/>
      <c r="IEC209" s="9"/>
      <c r="IED209" s="9"/>
      <c r="IEE209" s="9"/>
      <c r="IEF209" s="9"/>
      <c r="IEG209" s="9"/>
      <c r="IEH209" s="9"/>
      <c r="IEI209" s="9"/>
      <c r="IEJ209" s="9"/>
      <c r="IEK209" s="9"/>
      <c r="IEM209" s="9"/>
      <c r="IEN209" s="9"/>
      <c r="IEO209" s="9"/>
      <c r="IEP209" s="9"/>
      <c r="IEQ209" s="9"/>
      <c r="IER209" s="9"/>
      <c r="IES209" s="9"/>
      <c r="IET209" s="9"/>
      <c r="IEU209" s="9"/>
      <c r="IEW209" s="9"/>
      <c r="IEX209" s="9"/>
      <c r="IEY209" s="9"/>
      <c r="IEZ209" s="9"/>
      <c r="IFA209" s="9"/>
      <c r="IFB209" s="9"/>
      <c r="IFC209" s="9"/>
      <c r="IFD209" s="9"/>
      <c r="IFE209" s="9"/>
      <c r="IFG209" s="9"/>
      <c r="IFH209" s="9"/>
      <c r="IFI209" s="9"/>
      <c r="IFJ209" s="9"/>
      <c r="IFK209" s="9"/>
      <c r="IFL209" s="9"/>
      <c r="IFM209" s="9"/>
      <c r="IFN209" s="9"/>
      <c r="IFO209" s="9"/>
      <c r="IFQ209" s="9"/>
      <c r="IFR209" s="9"/>
      <c r="IFS209" s="9"/>
      <c r="IFT209" s="9"/>
      <c r="IFU209" s="9"/>
      <c r="IFV209" s="9"/>
      <c r="IFW209" s="9"/>
      <c r="IFX209" s="9"/>
      <c r="IFY209" s="9"/>
      <c r="IGA209" s="9"/>
      <c r="IGB209" s="9"/>
      <c r="IGC209" s="9"/>
      <c r="IGD209" s="9"/>
      <c r="IGE209" s="9"/>
      <c r="IGF209" s="9"/>
      <c r="IGG209" s="9"/>
      <c r="IGH209" s="9"/>
      <c r="IGI209" s="9"/>
      <c r="IGK209" s="9"/>
      <c r="IGL209" s="9"/>
      <c r="IGM209" s="9"/>
      <c r="IGN209" s="9"/>
      <c r="IGO209" s="9"/>
      <c r="IGP209" s="9"/>
      <c r="IGQ209" s="9"/>
      <c r="IGR209" s="9"/>
      <c r="IGS209" s="9"/>
      <c r="IGU209" s="9"/>
      <c r="IGV209" s="9"/>
      <c r="IGW209" s="9"/>
      <c r="IGX209" s="9"/>
      <c r="IGY209" s="9"/>
      <c r="IGZ209" s="9"/>
      <c r="IHA209" s="9"/>
      <c r="IHB209" s="9"/>
      <c r="IHC209" s="9"/>
      <c r="IHE209" s="9"/>
      <c r="IHF209" s="9"/>
      <c r="IHG209" s="9"/>
      <c r="IHH209" s="9"/>
      <c r="IHI209" s="9"/>
      <c r="IHJ209" s="9"/>
      <c r="IHK209" s="9"/>
      <c r="IHL209" s="9"/>
      <c r="IHM209" s="9"/>
      <c r="IHO209" s="9"/>
      <c r="IHP209" s="9"/>
      <c r="IHQ209" s="9"/>
      <c r="IHR209" s="9"/>
      <c r="IHS209" s="9"/>
      <c r="IHT209" s="9"/>
      <c r="IHU209" s="9"/>
      <c r="IHV209" s="9"/>
      <c r="IHW209" s="9"/>
      <c r="IHY209" s="9"/>
      <c r="IHZ209" s="9"/>
      <c r="IIA209" s="9"/>
      <c r="IIB209" s="9"/>
      <c r="IIC209" s="9"/>
      <c r="IID209" s="9"/>
      <c r="IIE209" s="9"/>
      <c r="IIF209" s="9"/>
      <c r="IIG209" s="9"/>
      <c r="III209" s="9"/>
      <c r="IIJ209" s="9"/>
      <c r="IIK209" s="9"/>
      <c r="IIL209" s="9"/>
      <c r="IIM209" s="9"/>
      <c r="IIN209" s="9"/>
      <c r="IIO209" s="9"/>
      <c r="IIP209" s="9"/>
      <c r="IIQ209" s="9"/>
      <c r="IIS209" s="9"/>
      <c r="IIT209" s="9"/>
      <c r="IIU209" s="9"/>
      <c r="IIV209" s="9"/>
      <c r="IIW209" s="9"/>
      <c r="IIX209" s="9"/>
      <c r="IIY209" s="9"/>
      <c r="IIZ209" s="9"/>
      <c r="IJA209" s="9"/>
      <c r="IJC209" s="9"/>
      <c r="IJD209" s="9"/>
      <c r="IJE209" s="9"/>
      <c r="IJF209" s="9"/>
      <c r="IJG209" s="9"/>
      <c r="IJH209" s="9"/>
      <c r="IJI209" s="9"/>
      <c r="IJJ209" s="9"/>
      <c r="IJK209" s="9"/>
      <c r="IJM209" s="9"/>
      <c r="IJN209" s="9"/>
      <c r="IJO209" s="9"/>
      <c r="IJP209" s="9"/>
      <c r="IJQ209" s="9"/>
      <c r="IJR209" s="9"/>
      <c r="IJS209" s="9"/>
      <c r="IJT209" s="9"/>
      <c r="IJU209" s="9"/>
      <c r="IJW209" s="9"/>
      <c r="IJX209" s="9"/>
      <c r="IJY209" s="9"/>
      <c r="IJZ209" s="9"/>
      <c r="IKA209" s="9"/>
      <c r="IKB209" s="9"/>
      <c r="IKC209" s="9"/>
      <c r="IKD209" s="9"/>
      <c r="IKE209" s="9"/>
      <c r="IKG209" s="9"/>
      <c r="IKH209" s="9"/>
      <c r="IKI209" s="9"/>
      <c r="IKJ209" s="9"/>
      <c r="IKK209" s="9"/>
      <c r="IKL209" s="9"/>
      <c r="IKM209" s="9"/>
      <c r="IKN209" s="9"/>
      <c r="IKO209" s="9"/>
      <c r="IKQ209" s="9"/>
      <c r="IKR209" s="9"/>
      <c r="IKS209" s="9"/>
      <c r="IKT209" s="9"/>
      <c r="IKU209" s="9"/>
      <c r="IKV209" s="9"/>
      <c r="IKW209" s="9"/>
      <c r="IKX209" s="9"/>
      <c r="IKY209" s="9"/>
      <c r="ILA209" s="9"/>
      <c r="ILB209" s="9"/>
      <c r="ILC209" s="9"/>
      <c r="ILD209" s="9"/>
      <c r="ILE209" s="9"/>
      <c r="ILF209" s="9"/>
      <c r="ILG209" s="9"/>
      <c r="ILH209" s="9"/>
      <c r="ILI209" s="9"/>
      <c r="ILK209" s="9"/>
      <c r="ILL209" s="9"/>
      <c r="ILM209" s="9"/>
      <c r="ILN209" s="9"/>
      <c r="ILO209" s="9"/>
      <c r="ILP209" s="9"/>
      <c r="ILQ209" s="9"/>
      <c r="ILR209" s="9"/>
      <c r="ILS209" s="9"/>
      <c r="ILU209" s="9"/>
      <c r="ILV209" s="9"/>
      <c r="ILW209" s="9"/>
      <c r="ILX209" s="9"/>
      <c r="ILY209" s="9"/>
      <c r="ILZ209" s="9"/>
      <c r="IMA209" s="9"/>
      <c r="IMB209" s="9"/>
      <c r="IMC209" s="9"/>
      <c r="IME209" s="9"/>
      <c r="IMF209" s="9"/>
      <c r="IMG209" s="9"/>
      <c r="IMH209" s="9"/>
      <c r="IMI209" s="9"/>
      <c r="IMJ209" s="9"/>
      <c r="IMK209" s="9"/>
      <c r="IML209" s="9"/>
      <c r="IMM209" s="9"/>
      <c r="IMO209" s="9"/>
      <c r="IMP209" s="9"/>
      <c r="IMQ209" s="9"/>
      <c r="IMR209" s="9"/>
      <c r="IMS209" s="9"/>
      <c r="IMT209" s="9"/>
      <c r="IMU209" s="9"/>
      <c r="IMV209" s="9"/>
      <c r="IMW209" s="9"/>
      <c r="IMY209" s="9"/>
      <c r="IMZ209" s="9"/>
      <c r="INA209" s="9"/>
      <c r="INB209" s="9"/>
      <c r="INC209" s="9"/>
      <c r="IND209" s="9"/>
      <c r="INE209" s="9"/>
      <c r="INF209" s="9"/>
      <c r="ING209" s="9"/>
      <c r="INI209" s="9"/>
      <c r="INJ209" s="9"/>
      <c r="INK209" s="9"/>
      <c r="INL209" s="9"/>
      <c r="INM209" s="9"/>
      <c r="INN209" s="9"/>
      <c r="INO209" s="9"/>
      <c r="INP209" s="9"/>
      <c r="INQ209" s="9"/>
      <c r="INS209" s="9"/>
      <c r="INT209" s="9"/>
      <c r="INU209" s="9"/>
      <c r="INV209" s="9"/>
      <c r="INW209" s="9"/>
      <c r="INX209" s="9"/>
      <c r="INY209" s="9"/>
      <c r="INZ209" s="9"/>
      <c r="IOA209" s="9"/>
      <c r="IOC209" s="9"/>
      <c r="IOD209" s="9"/>
      <c r="IOE209" s="9"/>
      <c r="IOF209" s="9"/>
      <c r="IOG209" s="9"/>
      <c r="IOH209" s="9"/>
      <c r="IOI209" s="9"/>
      <c r="IOJ209" s="9"/>
      <c r="IOK209" s="9"/>
      <c r="IOM209" s="9"/>
      <c r="ION209" s="9"/>
      <c r="IOO209" s="9"/>
      <c r="IOP209" s="9"/>
      <c r="IOQ209" s="9"/>
      <c r="IOR209" s="9"/>
      <c r="IOS209" s="9"/>
      <c r="IOT209" s="9"/>
      <c r="IOU209" s="9"/>
      <c r="IOW209" s="9"/>
      <c r="IOX209" s="9"/>
      <c r="IOY209" s="9"/>
      <c r="IOZ209" s="9"/>
      <c r="IPA209" s="9"/>
      <c r="IPB209" s="9"/>
      <c r="IPC209" s="9"/>
      <c r="IPD209" s="9"/>
      <c r="IPE209" s="9"/>
      <c r="IPG209" s="9"/>
      <c r="IPH209" s="9"/>
      <c r="IPI209" s="9"/>
      <c r="IPJ209" s="9"/>
      <c r="IPK209" s="9"/>
      <c r="IPL209" s="9"/>
      <c r="IPM209" s="9"/>
      <c r="IPN209" s="9"/>
      <c r="IPO209" s="9"/>
      <c r="IPQ209" s="9"/>
      <c r="IPR209" s="9"/>
      <c r="IPS209" s="9"/>
      <c r="IPT209" s="9"/>
      <c r="IPU209" s="9"/>
      <c r="IPV209" s="9"/>
      <c r="IPW209" s="9"/>
      <c r="IPX209" s="9"/>
      <c r="IPY209" s="9"/>
      <c r="IQA209" s="9"/>
      <c r="IQB209" s="9"/>
      <c r="IQC209" s="9"/>
      <c r="IQD209" s="9"/>
      <c r="IQE209" s="9"/>
      <c r="IQF209" s="9"/>
      <c r="IQG209" s="9"/>
      <c r="IQH209" s="9"/>
      <c r="IQI209" s="9"/>
      <c r="IQK209" s="9"/>
      <c r="IQL209" s="9"/>
      <c r="IQM209" s="9"/>
      <c r="IQN209" s="9"/>
      <c r="IQO209" s="9"/>
      <c r="IQP209" s="9"/>
      <c r="IQQ209" s="9"/>
      <c r="IQR209" s="9"/>
      <c r="IQS209" s="9"/>
      <c r="IQU209" s="9"/>
      <c r="IQV209" s="9"/>
      <c r="IQW209" s="9"/>
      <c r="IQX209" s="9"/>
      <c r="IQY209" s="9"/>
      <c r="IQZ209" s="9"/>
      <c r="IRA209" s="9"/>
      <c r="IRB209" s="9"/>
      <c r="IRC209" s="9"/>
      <c r="IRE209" s="9"/>
      <c r="IRF209" s="9"/>
      <c r="IRG209" s="9"/>
      <c r="IRH209" s="9"/>
      <c r="IRI209" s="9"/>
      <c r="IRJ209" s="9"/>
      <c r="IRK209" s="9"/>
      <c r="IRL209" s="9"/>
      <c r="IRM209" s="9"/>
      <c r="IRO209" s="9"/>
      <c r="IRP209" s="9"/>
      <c r="IRQ209" s="9"/>
      <c r="IRR209" s="9"/>
      <c r="IRS209" s="9"/>
      <c r="IRT209" s="9"/>
      <c r="IRU209" s="9"/>
      <c r="IRV209" s="9"/>
      <c r="IRW209" s="9"/>
      <c r="IRY209" s="9"/>
      <c r="IRZ209" s="9"/>
      <c r="ISA209" s="9"/>
      <c r="ISB209" s="9"/>
      <c r="ISC209" s="9"/>
      <c r="ISD209" s="9"/>
      <c r="ISE209" s="9"/>
      <c r="ISF209" s="9"/>
      <c r="ISG209" s="9"/>
      <c r="ISI209" s="9"/>
      <c r="ISJ209" s="9"/>
      <c r="ISK209" s="9"/>
      <c r="ISL209" s="9"/>
      <c r="ISM209" s="9"/>
      <c r="ISN209" s="9"/>
      <c r="ISO209" s="9"/>
      <c r="ISP209" s="9"/>
      <c r="ISQ209" s="9"/>
      <c r="ISS209" s="9"/>
      <c r="IST209" s="9"/>
      <c r="ISU209" s="9"/>
      <c r="ISV209" s="9"/>
      <c r="ISW209" s="9"/>
      <c r="ISX209" s="9"/>
      <c r="ISY209" s="9"/>
      <c r="ISZ209" s="9"/>
      <c r="ITA209" s="9"/>
      <c r="ITC209" s="9"/>
      <c r="ITD209" s="9"/>
      <c r="ITE209" s="9"/>
      <c r="ITF209" s="9"/>
      <c r="ITG209" s="9"/>
      <c r="ITH209" s="9"/>
      <c r="ITI209" s="9"/>
      <c r="ITJ209" s="9"/>
      <c r="ITK209" s="9"/>
      <c r="ITM209" s="9"/>
      <c r="ITN209" s="9"/>
      <c r="ITO209" s="9"/>
      <c r="ITP209" s="9"/>
      <c r="ITQ209" s="9"/>
      <c r="ITR209" s="9"/>
      <c r="ITS209" s="9"/>
      <c r="ITT209" s="9"/>
      <c r="ITU209" s="9"/>
      <c r="ITW209" s="9"/>
      <c r="ITX209" s="9"/>
      <c r="ITY209" s="9"/>
      <c r="ITZ209" s="9"/>
      <c r="IUA209" s="9"/>
      <c r="IUB209" s="9"/>
      <c r="IUC209" s="9"/>
      <c r="IUD209" s="9"/>
      <c r="IUE209" s="9"/>
      <c r="IUG209" s="9"/>
      <c r="IUH209" s="9"/>
      <c r="IUI209" s="9"/>
      <c r="IUJ209" s="9"/>
      <c r="IUK209" s="9"/>
      <c r="IUL209" s="9"/>
      <c r="IUM209" s="9"/>
      <c r="IUN209" s="9"/>
      <c r="IUO209" s="9"/>
      <c r="IUQ209" s="9"/>
      <c r="IUR209" s="9"/>
      <c r="IUS209" s="9"/>
      <c r="IUT209" s="9"/>
      <c r="IUU209" s="9"/>
      <c r="IUV209" s="9"/>
      <c r="IUW209" s="9"/>
      <c r="IUX209" s="9"/>
      <c r="IUY209" s="9"/>
      <c r="IVA209" s="9"/>
      <c r="IVB209" s="9"/>
      <c r="IVC209" s="9"/>
      <c r="IVD209" s="9"/>
      <c r="IVE209" s="9"/>
      <c r="IVF209" s="9"/>
      <c r="IVG209" s="9"/>
      <c r="IVH209" s="9"/>
      <c r="IVI209" s="9"/>
      <c r="IVK209" s="9"/>
      <c r="IVL209" s="9"/>
      <c r="IVM209" s="9"/>
      <c r="IVN209" s="9"/>
      <c r="IVO209" s="9"/>
      <c r="IVP209" s="9"/>
      <c r="IVQ209" s="9"/>
      <c r="IVR209" s="9"/>
      <c r="IVS209" s="9"/>
      <c r="IVU209" s="9"/>
      <c r="IVV209" s="9"/>
      <c r="IVW209" s="9"/>
      <c r="IVX209" s="9"/>
      <c r="IVY209" s="9"/>
      <c r="IVZ209" s="9"/>
      <c r="IWA209" s="9"/>
      <c r="IWB209" s="9"/>
      <c r="IWC209" s="9"/>
      <c r="IWE209" s="9"/>
      <c r="IWF209" s="9"/>
      <c r="IWG209" s="9"/>
      <c r="IWH209" s="9"/>
      <c r="IWI209" s="9"/>
      <c r="IWJ209" s="9"/>
      <c r="IWK209" s="9"/>
      <c r="IWL209" s="9"/>
      <c r="IWM209" s="9"/>
      <c r="IWO209" s="9"/>
      <c r="IWP209" s="9"/>
      <c r="IWQ209" s="9"/>
      <c r="IWR209" s="9"/>
      <c r="IWS209" s="9"/>
      <c r="IWT209" s="9"/>
      <c r="IWU209" s="9"/>
      <c r="IWV209" s="9"/>
      <c r="IWW209" s="9"/>
      <c r="IWY209" s="9"/>
      <c r="IWZ209" s="9"/>
      <c r="IXA209" s="9"/>
      <c r="IXB209" s="9"/>
      <c r="IXC209" s="9"/>
      <c r="IXD209" s="9"/>
      <c r="IXE209" s="9"/>
      <c r="IXF209" s="9"/>
      <c r="IXG209" s="9"/>
      <c r="IXI209" s="9"/>
      <c r="IXJ209" s="9"/>
      <c r="IXK209" s="9"/>
      <c r="IXL209" s="9"/>
      <c r="IXM209" s="9"/>
      <c r="IXN209" s="9"/>
      <c r="IXO209" s="9"/>
      <c r="IXP209" s="9"/>
      <c r="IXQ209" s="9"/>
      <c r="IXS209" s="9"/>
      <c r="IXT209" s="9"/>
      <c r="IXU209" s="9"/>
      <c r="IXV209" s="9"/>
      <c r="IXW209" s="9"/>
      <c r="IXX209" s="9"/>
      <c r="IXY209" s="9"/>
      <c r="IXZ209" s="9"/>
      <c r="IYA209" s="9"/>
      <c r="IYC209" s="9"/>
      <c r="IYD209" s="9"/>
      <c r="IYE209" s="9"/>
      <c r="IYF209" s="9"/>
      <c r="IYG209" s="9"/>
      <c r="IYH209" s="9"/>
      <c r="IYI209" s="9"/>
      <c r="IYJ209" s="9"/>
      <c r="IYK209" s="9"/>
      <c r="IYM209" s="9"/>
      <c r="IYN209" s="9"/>
      <c r="IYO209" s="9"/>
      <c r="IYP209" s="9"/>
      <c r="IYQ209" s="9"/>
      <c r="IYR209" s="9"/>
      <c r="IYS209" s="9"/>
      <c r="IYT209" s="9"/>
      <c r="IYU209" s="9"/>
      <c r="IYW209" s="9"/>
      <c r="IYX209" s="9"/>
      <c r="IYY209" s="9"/>
      <c r="IYZ209" s="9"/>
      <c r="IZA209" s="9"/>
      <c r="IZB209" s="9"/>
      <c r="IZC209" s="9"/>
      <c r="IZD209" s="9"/>
      <c r="IZE209" s="9"/>
      <c r="IZG209" s="9"/>
      <c r="IZH209" s="9"/>
      <c r="IZI209" s="9"/>
      <c r="IZJ209" s="9"/>
      <c r="IZK209" s="9"/>
      <c r="IZL209" s="9"/>
      <c r="IZM209" s="9"/>
      <c r="IZN209" s="9"/>
      <c r="IZO209" s="9"/>
      <c r="IZQ209" s="9"/>
      <c r="IZR209" s="9"/>
      <c r="IZS209" s="9"/>
      <c r="IZT209" s="9"/>
      <c r="IZU209" s="9"/>
      <c r="IZV209" s="9"/>
      <c r="IZW209" s="9"/>
      <c r="IZX209" s="9"/>
      <c r="IZY209" s="9"/>
      <c r="JAA209" s="9"/>
      <c r="JAB209" s="9"/>
      <c r="JAC209" s="9"/>
      <c r="JAD209" s="9"/>
      <c r="JAE209" s="9"/>
      <c r="JAF209" s="9"/>
      <c r="JAG209" s="9"/>
      <c r="JAH209" s="9"/>
      <c r="JAI209" s="9"/>
      <c r="JAK209" s="9"/>
      <c r="JAL209" s="9"/>
      <c r="JAM209" s="9"/>
      <c r="JAN209" s="9"/>
      <c r="JAO209" s="9"/>
      <c r="JAP209" s="9"/>
      <c r="JAQ209" s="9"/>
      <c r="JAR209" s="9"/>
      <c r="JAS209" s="9"/>
      <c r="JAU209" s="9"/>
      <c r="JAV209" s="9"/>
      <c r="JAW209" s="9"/>
      <c r="JAX209" s="9"/>
      <c r="JAY209" s="9"/>
      <c r="JAZ209" s="9"/>
      <c r="JBA209" s="9"/>
      <c r="JBB209" s="9"/>
      <c r="JBC209" s="9"/>
      <c r="JBE209" s="9"/>
      <c r="JBF209" s="9"/>
      <c r="JBG209" s="9"/>
      <c r="JBH209" s="9"/>
      <c r="JBI209" s="9"/>
      <c r="JBJ209" s="9"/>
      <c r="JBK209" s="9"/>
      <c r="JBL209" s="9"/>
      <c r="JBM209" s="9"/>
      <c r="JBO209" s="9"/>
      <c r="JBP209" s="9"/>
      <c r="JBQ209" s="9"/>
      <c r="JBR209" s="9"/>
      <c r="JBS209" s="9"/>
      <c r="JBT209" s="9"/>
      <c r="JBU209" s="9"/>
      <c r="JBV209" s="9"/>
      <c r="JBW209" s="9"/>
      <c r="JBY209" s="9"/>
      <c r="JBZ209" s="9"/>
      <c r="JCA209" s="9"/>
      <c r="JCB209" s="9"/>
      <c r="JCC209" s="9"/>
      <c r="JCD209" s="9"/>
      <c r="JCE209" s="9"/>
      <c r="JCF209" s="9"/>
      <c r="JCG209" s="9"/>
      <c r="JCI209" s="9"/>
      <c r="JCJ209" s="9"/>
      <c r="JCK209" s="9"/>
      <c r="JCL209" s="9"/>
      <c r="JCM209" s="9"/>
      <c r="JCN209" s="9"/>
      <c r="JCO209" s="9"/>
      <c r="JCP209" s="9"/>
      <c r="JCQ209" s="9"/>
      <c r="JCS209" s="9"/>
      <c r="JCT209" s="9"/>
      <c r="JCU209" s="9"/>
      <c r="JCV209" s="9"/>
      <c r="JCW209" s="9"/>
      <c r="JCX209" s="9"/>
      <c r="JCY209" s="9"/>
      <c r="JCZ209" s="9"/>
      <c r="JDA209" s="9"/>
      <c r="JDC209" s="9"/>
      <c r="JDD209" s="9"/>
      <c r="JDE209" s="9"/>
      <c r="JDF209" s="9"/>
      <c r="JDG209" s="9"/>
      <c r="JDH209" s="9"/>
      <c r="JDI209" s="9"/>
      <c r="JDJ209" s="9"/>
      <c r="JDK209" s="9"/>
      <c r="JDM209" s="9"/>
      <c r="JDN209" s="9"/>
      <c r="JDO209" s="9"/>
      <c r="JDP209" s="9"/>
      <c r="JDQ209" s="9"/>
      <c r="JDR209" s="9"/>
      <c r="JDS209" s="9"/>
      <c r="JDT209" s="9"/>
      <c r="JDU209" s="9"/>
      <c r="JDW209" s="9"/>
      <c r="JDX209" s="9"/>
      <c r="JDY209" s="9"/>
      <c r="JDZ209" s="9"/>
      <c r="JEA209" s="9"/>
      <c r="JEB209" s="9"/>
      <c r="JEC209" s="9"/>
      <c r="JED209" s="9"/>
      <c r="JEE209" s="9"/>
      <c r="JEG209" s="9"/>
      <c r="JEH209" s="9"/>
      <c r="JEI209" s="9"/>
      <c r="JEJ209" s="9"/>
      <c r="JEK209" s="9"/>
      <c r="JEL209" s="9"/>
      <c r="JEM209" s="9"/>
      <c r="JEN209" s="9"/>
      <c r="JEO209" s="9"/>
      <c r="JEQ209" s="9"/>
      <c r="JER209" s="9"/>
      <c r="JES209" s="9"/>
      <c r="JET209" s="9"/>
      <c r="JEU209" s="9"/>
      <c r="JEV209" s="9"/>
      <c r="JEW209" s="9"/>
      <c r="JEX209" s="9"/>
      <c r="JEY209" s="9"/>
      <c r="JFA209" s="9"/>
      <c r="JFB209" s="9"/>
      <c r="JFC209" s="9"/>
      <c r="JFD209" s="9"/>
      <c r="JFE209" s="9"/>
      <c r="JFF209" s="9"/>
      <c r="JFG209" s="9"/>
      <c r="JFH209" s="9"/>
      <c r="JFI209" s="9"/>
      <c r="JFK209" s="9"/>
      <c r="JFL209" s="9"/>
      <c r="JFM209" s="9"/>
      <c r="JFN209" s="9"/>
      <c r="JFO209" s="9"/>
      <c r="JFP209" s="9"/>
      <c r="JFQ209" s="9"/>
      <c r="JFR209" s="9"/>
      <c r="JFS209" s="9"/>
      <c r="JFU209" s="9"/>
      <c r="JFV209" s="9"/>
      <c r="JFW209" s="9"/>
      <c r="JFX209" s="9"/>
      <c r="JFY209" s="9"/>
      <c r="JFZ209" s="9"/>
      <c r="JGA209" s="9"/>
      <c r="JGB209" s="9"/>
      <c r="JGC209" s="9"/>
      <c r="JGE209" s="9"/>
      <c r="JGF209" s="9"/>
      <c r="JGG209" s="9"/>
      <c r="JGH209" s="9"/>
      <c r="JGI209" s="9"/>
      <c r="JGJ209" s="9"/>
      <c r="JGK209" s="9"/>
      <c r="JGL209" s="9"/>
      <c r="JGM209" s="9"/>
      <c r="JGO209" s="9"/>
      <c r="JGP209" s="9"/>
      <c r="JGQ209" s="9"/>
      <c r="JGR209" s="9"/>
      <c r="JGS209" s="9"/>
      <c r="JGT209" s="9"/>
      <c r="JGU209" s="9"/>
      <c r="JGV209" s="9"/>
      <c r="JGW209" s="9"/>
      <c r="JGY209" s="9"/>
      <c r="JGZ209" s="9"/>
      <c r="JHA209" s="9"/>
      <c r="JHB209" s="9"/>
      <c r="JHC209" s="9"/>
      <c r="JHD209" s="9"/>
      <c r="JHE209" s="9"/>
      <c r="JHF209" s="9"/>
      <c r="JHG209" s="9"/>
      <c r="JHI209" s="9"/>
      <c r="JHJ209" s="9"/>
      <c r="JHK209" s="9"/>
      <c r="JHL209" s="9"/>
      <c r="JHM209" s="9"/>
      <c r="JHN209" s="9"/>
      <c r="JHO209" s="9"/>
      <c r="JHP209" s="9"/>
      <c r="JHQ209" s="9"/>
      <c r="JHS209" s="9"/>
      <c r="JHT209" s="9"/>
      <c r="JHU209" s="9"/>
      <c r="JHV209" s="9"/>
      <c r="JHW209" s="9"/>
      <c r="JHX209" s="9"/>
      <c r="JHY209" s="9"/>
      <c r="JHZ209" s="9"/>
      <c r="JIA209" s="9"/>
      <c r="JIC209" s="9"/>
      <c r="JID209" s="9"/>
      <c r="JIE209" s="9"/>
      <c r="JIF209" s="9"/>
      <c r="JIG209" s="9"/>
      <c r="JIH209" s="9"/>
      <c r="JII209" s="9"/>
      <c r="JIJ209" s="9"/>
      <c r="JIK209" s="9"/>
      <c r="JIM209" s="9"/>
      <c r="JIN209" s="9"/>
      <c r="JIO209" s="9"/>
      <c r="JIP209" s="9"/>
      <c r="JIQ209" s="9"/>
      <c r="JIR209" s="9"/>
      <c r="JIS209" s="9"/>
      <c r="JIT209" s="9"/>
      <c r="JIU209" s="9"/>
      <c r="JIW209" s="9"/>
      <c r="JIX209" s="9"/>
      <c r="JIY209" s="9"/>
      <c r="JIZ209" s="9"/>
      <c r="JJA209" s="9"/>
      <c r="JJB209" s="9"/>
      <c r="JJC209" s="9"/>
      <c r="JJD209" s="9"/>
      <c r="JJE209" s="9"/>
      <c r="JJG209" s="9"/>
      <c r="JJH209" s="9"/>
      <c r="JJI209" s="9"/>
      <c r="JJJ209" s="9"/>
      <c r="JJK209" s="9"/>
      <c r="JJL209" s="9"/>
      <c r="JJM209" s="9"/>
      <c r="JJN209" s="9"/>
      <c r="JJO209" s="9"/>
      <c r="JJQ209" s="9"/>
      <c r="JJR209" s="9"/>
      <c r="JJS209" s="9"/>
      <c r="JJT209" s="9"/>
      <c r="JJU209" s="9"/>
      <c r="JJV209" s="9"/>
      <c r="JJW209" s="9"/>
      <c r="JJX209" s="9"/>
      <c r="JJY209" s="9"/>
      <c r="JKA209" s="9"/>
      <c r="JKB209" s="9"/>
      <c r="JKC209" s="9"/>
      <c r="JKD209" s="9"/>
      <c r="JKE209" s="9"/>
      <c r="JKF209" s="9"/>
      <c r="JKG209" s="9"/>
      <c r="JKH209" s="9"/>
      <c r="JKI209" s="9"/>
      <c r="JKK209" s="9"/>
      <c r="JKL209" s="9"/>
      <c r="JKM209" s="9"/>
      <c r="JKN209" s="9"/>
      <c r="JKO209" s="9"/>
      <c r="JKP209" s="9"/>
      <c r="JKQ209" s="9"/>
      <c r="JKR209" s="9"/>
      <c r="JKS209" s="9"/>
      <c r="JKU209" s="9"/>
      <c r="JKV209" s="9"/>
      <c r="JKW209" s="9"/>
      <c r="JKX209" s="9"/>
      <c r="JKY209" s="9"/>
      <c r="JKZ209" s="9"/>
      <c r="JLA209" s="9"/>
      <c r="JLB209" s="9"/>
      <c r="JLC209" s="9"/>
      <c r="JLE209" s="9"/>
      <c r="JLF209" s="9"/>
      <c r="JLG209" s="9"/>
      <c r="JLH209" s="9"/>
      <c r="JLI209" s="9"/>
      <c r="JLJ209" s="9"/>
      <c r="JLK209" s="9"/>
      <c r="JLL209" s="9"/>
      <c r="JLM209" s="9"/>
      <c r="JLO209" s="9"/>
      <c r="JLP209" s="9"/>
      <c r="JLQ209" s="9"/>
      <c r="JLR209" s="9"/>
      <c r="JLS209" s="9"/>
      <c r="JLT209" s="9"/>
      <c r="JLU209" s="9"/>
      <c r="JLV209" s="9"/>
      <c r="JLW209" s="9"/>
      <c r="JLY209" s="9"/>
      <c r="JLZ209" s="9"/>
      <c r="JMA209" s="9"/>
      <c r="JMB209" s="9"/>
      <c r="JMC209" s="9"/>
      <c r="JMD209" s="9"/>
      <c r="JME209" s="9"/>
      <c r="JMF209" s="9"/>
      <c r="JMG209" s="9"/>
      <c r="JMI209" s="9"/>
      <c r="JMJ209" s="9"/>
      <c r="JMK209" s="9"/>
      <c r="JML209" s="9"/>
      <c r="JMM209" s="9"/>
      <c r="JMN209" s="9"/>
      <c r="JMO209" s="9"/>
      <c r="JMP209" s="9"/>
      <c r="JMQ209" s="9"/>
      <c r="JMS209" s="9"/>
      <c r="JMT209" s="9"/>
      <c r="JMU209" s="9"/>
      <c r="JMV209" s="9"/>
      <c r="JMW209" s="9"/>
      <c r="JMX209" s="9"/>
      <c r="JMY209" s="9"/>
      <c r="JMZ209" s="9"/>
      <c r="JNA209" s="9"/>
      <c r="JNC209" s="9"/>
      <c r="JND209" s="9"/>
      <c r="JNE209" s="9"/>
      <c r="JNF209" s="9"/>
      <c r="JNG209" s="9"/>
      <c r="JNH209" s="9"/>
      <c r="JNI209" s="9"/>
      <c r="JNJ209" s="9"/>
      <c r="JNK209" s="9"/>
      <c r="JNM209" s="9"/>
      <c r="JNN209" s="9"/>
      <c r="JNO209" s="9"/>
      <c r="JNP209" s="9"/>
      <c r="JNQ209" s="9"/>
      <c r="JNR209" s="9"/>
      <c r="JNS209" s="9"/>
      <c r="JNT209" s="9"/>
      <c r="JNU209" s="9"/>
      <c r="JNW209" s="9"/>
      <c r="JNX209" s="9"/>
      <c r="JNY209" s="9"/>
      <c r="JNZ209" s="9"/>
      <c r="JOA209" s="9"/>
      <c r="JOB209" s="9"/>
      <c r="JOC209" s="9"/>
      <c r="JOD209" s="9"/>
      <c r="JOE209" s="9"/>
      <c r="JOG209" s="9"/>
      <c r="JOH209" s="9"/>
      <c r="JOI209" s="9"/>
      <c r="JOJ209" s="9"/>
      <c r="JOK209" s="9"/>
      <c r="JOL209" s="9"/>
      <c r="JOM209" s="9"/>
      <c r="JON209" s="9"/>
      <c r="JOO209" s="9"/>
      <c r="JOQ209" s="9"/>
      <c r="JOR209" s="9"/>
      <c r="JOS209" s="9"/>
      <c r="JOT209" s="9"/>
      <c r="JOU209" s="9"/>
      <c r="JOV209" s="9"/>
      <c r="JOW209" s="9"/>
      <c r="JOX209" s="9"/>
      <c r="JOY209" s="9"/>
      <c r="JPA209" s="9"/>
      <c r="JPB209" s="9"/>
      <c r="JPC209" s="9"/>
      <c r="JPD209" s="9"/>
      <c r="JPE209" s="9"/>
      <c r="JPF209" s="9"/>
      <c r="JPG209" s="9"/>
      <c r="JPH209" s="9"/>
      <c r="JPI209" s="9"/>
      <c r="JPK209" s="9"/>
      <c r="JPL209" s="9"/>
      <c r="JPM209" s="9"/>
      <c r="JPN209" s="9"/>
      <c r="JPO209" s="9"/>
      <c r="JPP209" s="9"/>
      <c r="JPQ209" s="9"/>
      <c r="JPR209" s="9"/>
      <c r="JPS209" s="9"/>
      <c r="JPU209" s="9"/>
      <c r="JPV209" s="9"/>
      <c r="JPW209" s="9"/>
      <c r="JPX209" s="9"/>
      <c r="JPY209" s="9"/>
      <c r="JPZ209" s="9"/>
      <c r="JQA209" s="9"/>
      <c r="JQB209" s="9"/>
      <c r="JQC209" s="9"/>
      <c r="JQE209" s="9"/>
      <c r="JQF209" s="9"/>
      <c r="JQG209" s="9"/>
      <c r="JQH209" s="9"/>
      <c r="JQI209" s="9"/>
      <c r="JQJ209" s="9"/>
      <c r="JQK209" s="9"/>
      <c r="JQL209" s="9"/>
      <c r="JQM209" s="9"/>
      <c r="JQO209" s="9"/>
      <c r="JQP209" s="9"/>
      <c r="JQQ209" s="9"/>
      <c r="JQR209" s="9"/>
      <c r="JQS209" s="9"/>
      <c r="JQT209" s="9"/>
      <c r="JQU209" s="9"/>
      <c r="JQV209" s="9"/>
      <c r="JQW209" s="9"/>
      <c r="JQY209" s="9"/>
      <c r="JQZ209" s="9"/>
      <c r="JRA209" s="9"/>
      <c r="JRB209" s="9"/>
      <c r="JRC209" s="9"/>
      <c r="JRD209" s="9"/>
      <c r="JRE209" s="9"/>
      <c r="JRF209" s="9"/>
      <c r="JRG209" s="9"/>
      <c r="JRI209" s="9"/>
      <c r="JRJ209" s="9"/>
      <c r="JRK209" s="9"/>
      <c r="JRL209" s="9"/>
      <c r="JRM209" s="9"/>
      <c r="JRN209" s="9"/>
      <c r="JRO209" s="9"/>
      <c r="JRP209" s="9"/>
      <c r="JRQ209" s="9"/>
      <c r="JRS209" s="9"/>
      <c r="JRT209" s="9"/>
      <c r="JRU209" s="9"/>
      <c r="JRV209" s="9"/>
      <c r="JRW209" s="9"/>
      <c r="JRX209" s="9"/>
      <c r="JRY209" s="9"/>
      <c r="JRZ209" s="9"/>
      <c r="JSA209" s="9"/>
      <c r="JSC209" s="9"/>
      <c r="JSD209" s="9"/>
      <c r="JSE209" s="9"/>
      <c r="JSF209" s="9"/>
      <c r="JSG209" s="9"/>
      <c r="JSH209" s="9"/>
      <c r="JSI209" s="9"/>
      <c r="JSJ209" s="9"/>
      <c r="JSK209" s="9"/>
      <c r="JSM209" s="9"/>
      <c r="JSN209" s="9"/>
      <c r="JSO209" s="9"/>
      <c r="JSP209" s="9"/>
      <c r="JSQ209" s="9"/>
      <c r="JSR209" s="9"/>
      <c r="JSS209" s="9"/>
      <c r="JST209" s="9"/>
      <c r="JSU209" s="9"/>
      <c r="JSW209" s="9"/>
      <c r="JSX209" s="9"/>
      <c r="JSY209" s="9"/>
      <c r="JSZ209" s="9"/>
      <c r="JTA209" s="9"/>
      <c r="JTB209" s="9"/>
      <c r="JTC209" s="9"/>
      <c r="JTD209" s="9"/>
      <c r="JTE209" s="9"/>
      <c r="JTG209" s="9"/>
      <c r="JTH209" s="9"/>
      <c r="JTI209" s="9"/>
      <c r="JTJ209" s="9"/>
      <c r="JTK209" s="9"/>
      <c r="JTL209" s="9"/>
      <c r="JTM209" s="9"/>
      <c r="JTN209" s="9"/>
      <c r="JTO209" s="9"/>
      <c r="JTQ209" s="9"/>
      <c r="JTR209" s="9"/>
      <c r="JTS209" s="9"/>
      <c r="JTT209" s="9"/>
      <c r="JTU209" s="9"/>
      <c r="JTV209" s="9"/>
      <c r="JTW209" s="9"/>
      <c r="JTX209" s="9"/>
      <c r="JTY209" s="9"/>
      <c r="JUA209" s="9"/>
      <c r="JUB209" s="9"/>
      <c r="JUC209" s="9"/>
      <c r="JUD209" s="9"/>
      <c r="JUE209" s="9"/>
      <c r="JUF209" s="9"/>
      <c r="JUG209" s="9"/>
      <c r="JUH209" s="9"/>
      <c r="JUI209" s="9"/>
      <c r="JUK209" s="9"/>
      <c r="JUL209" s="9"/>
      <c r="JUM209" s="9"/>
      <c r="JUN209" s="9"/>
      <c r="JUO209" s="9"/>
      <c r="JUP209" s="9"/>
      <c r="JUQ209" s="9"/>
      <c r="JUR209" s="9"/>
      <c r="JUS209" s="9"/>
      <c r="JUU209" s="9"/>
      <c r="JUV209" s="9"/>
      <c r="JUW209" s="9"/>
      <c r="JUX209" s="9"/>
      <c r="JUY209" s="9"/>
      <c r="JUZ209" s="9"/>
      <c r="JVA209" s="9"/>
      <c r="JVB209" s="9"/>
      <c r="JVC209" s="9"/>
      <c r="JVE209" s="9"/>
      <c r="JVF209" s="9"/>
      <c r="JVG209" s="9"/>
      <c r="JVH209" s="9"/>
      <c r="JVI209" s="9"/>
      <c r="JVJ209" s="9"/>
      <c r="JVK209" s="9"/>
      <c r="JVL209" s="9"/>
      <c r="JVM209" s="9"/>
      <c r="JVO209" s="9"/>
      <c r="JVP209" s="9"/>
      <c r="JVQ209" s="9"/>
      <c r="JVR209" s="9"/>
      <c r="JVS209" s="9"/>
      <c r="JVT209" s="9"/>
      <c r="JVU209" s="9"/>
      <c r="JVV209" s="9"/>
      <c r="JVW209" s="9"/>
      <c r="JVY209" s="9"/>
      <c r="JVZ209" s="9"/>
      <c r="JWA209" s="9"/>
      <c r="JWB209" s="9"/>
      <c r="JWC209" s="9"/>
      <c r="JWD209" s="9"/>
      <c r="JWE209" s="9"/>
      <c r="JWF209" s="9"/>
      <c r="JWG209" s="9"/>
      <c r="JWI209" s="9"/>
      <c r="JWJ209" s="9"/>
      <c r="JWK209" s="9"/>
      <c r="JWL209" s="9"/>
      <c r="JWM209" s="9"/>
      <c r="JWN209" s="9"/>
      <c r="JWO209" s="9"/>
      <c r="JWP209" s="9"/>
      <c r="JWQ209" s="9"/>
      <c r="JWS209" s="9"/>
      <c r="JWT209" s="9"/>
      <c r="JWU209" s="9"/>
      <c r="JWV209" s="9"/>
      <c r="JWW209" s="9"/>
      <c r="JWX209" s="9"/>
      <c r="JWY209" s="9"/>
      <c r="JWZ209" s="9"/>
      <c r="JXA209" s="9"/>
      <c r="JXC209" s="9"/>
      <c r="JXD209" s="9"/>
      <c r="JXE209" s="9"/>
      <c r="JXF209" s="9"/>
      <c r="JXG209" s="9"/>
      <c r="JXH209" s="9"/>
      <c r="JXI209" s="9"/>
      <c r="JXJ209" s="9"/>
      <c r="JXK209" s="9"/>
      <c r="JXM209" s="9"/>
      <c r="JXN209" s="9"/>
      <c r="JXO209" s="9"/>
      <c r="JXP209" s="9"/>
      <c r="JXQ209" s="9"/>
      <c r="JXR209" s="9"/>
      <c r="JXS209" s="9"/>
      <c r="JXT209" s="9"/>
      <c r="JXU209" s="9"/>
      <c r="JXW209" s="9"/>
      <c r="JXX209" s="9"/>
      <c r="JXY209" s="9"/>
      <c r="JXZ209" s="9"/>
      <c r="JYA209" s="9"/>
      <c r="JYB209" s="9"/>
      <c r="JYC209" s="9"/>
      <c r="JYD209" s="9"/>
      <c r="JYE209" s="9"/>
      <c r="JYG209" s="9"/>
      <c r="JYH209" s="9"/>
      <c r="JYI209" s="9"/>
      <c r="JYJ209" s="9"/>
      <c r="JYK209" s="9"/>
      <c r="JYL209" s="9"/>
      <c r="JYM209" s="9"/>
      <c r="JYN209" s="9"/>
      <c r="JYO209" s="9"/>
      <c r="JYQ209" s="9"/>
      <c r="JYR209" s="9"/>
      <c r="JYS209" s="9"/>
      <c r="JYT209" s="9"/>
      <c r="JYU209" s="9"/>
      <c r="JYV209" s="9"/>
      <c r="JYW209" s="9"/>
      <c r="JYX209" s="9"/>
      <c r="JYY209" s="9"/>
      <c r="JZA209" s="9"/>
      <c r="JZB209" s="9"/>
      <c r="JZC209" s="9"/>
      <c r="JZD209" s="9"/>
      <c r="JZE209" s="9"/>
      <c r="JZF209" s="9"/>
      <c r="JZG209" s="9"/>
      <c r="JZH209" s="9"/>
      <c r="JZI209" s="9"/>
      <c r="JZK209" s="9"/>
      <c r="JZL209" s="9"/>
      <c r="JZM209" s="9"/>
      <c r="JZN209" s="9"/>
      <c r="JZO209" s="9"/>
      <c r="JZP209" s="9"/>
      <c r="JZQ209" s="9"/>
      <c r="JZR209" s="9"/>
      <c r="JZS209" s="9"/>
      <c r="JZU209" s="9"/>
      <c r="JZV209" s="9"/>
      <c r="JZW209" s="9"/>
      <c r="JZX209" s="9"/>
      <c r="JZY209" s="9"/>
      <c r="JZZ209" s="9"/>
      <c r="KAA209" s="9"/>
      <c r="KAB209" s="9"/>
      <c r="KAC209" s="9"/>
      <c r="KAE209" s="9"/>
      <c r="KAF209" s="9"/>
      <c r="KAG209" s="9"/>
      <c r="KAH209" s="9"/>
      <c r="KAI209" s="9"/>
      <c r="KAJ209" s="9"/>
      <c r="KAK209" s="9"/>
      <c r="KAL209" s="9"/>
      <c r="KAM209" s="9"/>
      <c r="KAO209" s="9"/>
      <c r="KAP209" s="9"/>
      <c r="KAQ209" s="9"/>
      <c r="KAR209" s="9"/>
      <c r="KAS209" s="9"/>
      <c r="KAT209" s="9"/>
      <c r="KAU209" s="9"/>
      <c r="KAV209" s="9"/>
      <c r="KAW209" s="9"/>
      <c r="KAY209" s="9"/>
      <c r="KAZ209" s="9"/>
      <c r="KBA209" s="9"/>
      <c r="KBB209" s="9"/>
      <c r="KBC209" s="9"/>
      <c r="KBD209" s="9"/>
      <c r="KBE209" s="9"/>
      <c r="KBF209" s="9"/>
      <c r="KBG209" s="9"/>
      <c r="KBI209" s="9"/>
      <c r="KBJ209" s="9"/>
      <c r="KBK209" s="9"/>
      <c r="KBL209" s="9"/>
      <c r="KBM209" s="9"/>
      <c r="KBN209" s="9"/>
      <c r="KBO209" s="9"/>
      <c r="KBP209" s="9"/>
      <c r="KBQ209" s="9"/>
      <c r="KBS209" s="9"/>
      <c r="KBT209" s="9"/>
      <c r="KBU209" s="9"/>
      <c r="KBV209" s="9"/>
      <c r="KBW209" s="9"/>
      <c r="KBX209" s="9"/>
      <c r="KBY209" s="9"/>
      <c r="KBZ209" s="9"/>
      <c r="KCA209" s="9"/>
      <c r="KCC209" s="9"/>
      <c r="KCD209" s="9"/>
      <c r="KCE209" s="9"/>
      <c r="KCF209" s="9"/>
      <c r="KCG209" s="9"/>
      <c r="KCH209" s="9"/>
      <c r="KCI209" s="9"/>
      <c r="KCJ209" s="9"/>
      <c r="KCK209" s="9"/>
      <c r="KCM209" s="9"/>
      <c r="KCN209" s="9"/>
      <c r="KCO209" s="9"/>
      <c r="KCP209" s="9"/>
      <c r="KCQ209" s="9"/>
      <c r="KCR209" s="9"/>
      <c r="KCS209" s="9"/>
      <c r="KCT209" s="9"/>
      <c r="KCU209" s="9"/>
      <c r="KCW209" s="9"/>
      <c r="KCX209" s="9"/>
      <c r="KCY209" s="9"/>
      <c r="KCZ209" s="9"/>
      <c r="KDA209" s="9"/>
      <c r="KDB209" s="9"/>
      <c r="KDC209" s="9"/>
      <c r="KDD209" s="9"/>
      <c r="KDE209" s="9"/>
      <c r="KDG209" s="9"/>
      <c r="KDH209" s="9"/>
      <c r="KDI209" s="9"/>
      <c r="KDJ209" s="9"/>
      <c r="KDK209" s="9"/>
      <c r="KDL209" s="9"/>
      <c r="KDM209" s="9"/>
      <c r="KDN209" s="9"/>
      <c r="KDO209" s="9"/>
      <c r="KDQ209" s="9"/>
      <c r="KDR209" s="9"/>
      <c r="KDS209" s="9"/>
      <c r="KDT209" s="9"/>
      <c r="KDU209" s="9"/>
      <c r="KDV209" s="9"/>
      <c r="KDW209" s="9"/>
      <c r="KDX209" s="9"/>
      <c r="KDY209" s="9"/>
      <c r="KEA209" s="9"/>
      <c r="KEB209" s="9"/>
      <c r="KEC209" s="9"/>
      <c r="KED209" s="9"/>
      <c r="KEE209" s="9"/>
      <c r="KEF209" s="9"/>
      <c r="KEG209" s="9"/>
      <c r="KEH209" s="9"/>
      <c r="KEI209" s="9"/>
      <c r="KEK209" s="9"/>
      <c r="KEL209" s="9"/>
      <c r="KEM209" s="9"/>
      <c r="KEN209" s="9"/>
      <c r="KEO209" s="9"/>
      <c r="KEP209" s="9"/>
      <c r="KEQ209" s="9"/>
      <c r="KER209" s="9"/>
      <c r="KES209" s="9"/>
      <c r="KEU209" s="9"/>
      <c r="KEV209" s="9"/>
      <c r="KEW209" s="9"/>
      <c r="KEX209" s="9"/>
      <c r="KEY209" s="9"/>
      <c r="KEZ209" s="9"/>
      <c r="KFA209" s="9"/>
      <c r="KFB209" s="9"/>
      <c r="KFC209" s="9"/>
      <c r="KFE209" s="9"/>
      <c r="KFF209" s="9"/>
      <c r="KFG209" s="9"/>
      <c r="KFH209" s="9"/>
      <c r="KFI209" s="9"/>
      <c r="KFJ209" s="9"/>
      <c r="KFK209" s="9"/>
      <c r="KFL209" s="9"/>
      <c r="KFM209" s="9"/>
      <c r="KFO209" s="9"/>
      <c r="KFP209" s="9"/>
      <c r="KFQ209" s="9"/>
      <c r="KFR209" s="9"/>
      <c r="KFS209" s="9"/>
      <c r="KFT209" s="9"/>
      <c r="KFU209" s="9"/>
      <c r="KFV209" s="9"/>
      <c r="KFW209" s="9"/>
      <c r="KFY209" s="9"/>
      <c r="KFZ209" s="9"/>
      <c r="KGA209" s="9"/>
      <c r="KGB209" s="9"/>
      <c r="KGC209" s="9"/>
      <c r="KGD209" s="9"/>
      <c r="KGE209" s="9"/>
      <c r="KGF209" s="9"/>
      <c r="KGG209" s="9"/>
      <c r="KGI209" s="9"/>
      <c r="KGJ209" s="9"/>
      <c r="KGK209" s="9"/>
      <c r="KGL209" s="9"/>
      <c r="KGM209" s="9"/>
      <c r="KGN209" s="9"/>
      <c r="KGO209" s="9"/>
      <c r="KGP209" s="9"/>
      <c r="KGQ209" s="9"/>
      <c r="KGS209" s="9"/>
      <c r="KGT209" s="9"/>
      <c r="KGU209" s="9"/>
      <c r="KGV209" s="9"/>
      <c r="KGW209" s="9"/>
      <c r="KGX209" s="9"/>
      <c r="KGY209" s="9"/>
      <c r="KGZ209" s="9"/>
      <c r="KHA209" s="9"/>
      <c r="KHC209" s="9"/>
      <c r="KHD209" s="9"/>
      <c r="KHE209" s="9"/>
      <c r="KHF209" s="9"/>
      <c r="KHG209" s="9"/>
      <c r="KHH209" s="9"/>
      <c r="KHI209" s="9"/>
      <c r="KHJ209" s="9"/>
      <c r="KHK209" s="9"/>
      <c r="KHM209" s="9"/>
      <c r="KHN209" s="9"/>
      <c r="KHO209" s="9"/>
      <c r="KHP209" s="9"/>
      <c r="KHQ209" s="9"/>
      <c r="KHR209" s="9"/>
      <c r="KHS209" s="9"/>
      <c r="KHT209" s="9"/>
      <c r="KHU209" s="9"/>
      <c r="KHW209" s="9"/>
      <c r="KHX209" s="9"/>
      <c r="KHY209" s="9"/>
      <c r="KHZ209" s="9"/>
      <c r="KIA209" s="9"/>
      <c r="KIB209" s="9"/>
      <c r="KIC209" s="9"/>
      <c r="KID209" s="9"/>
      <c r="KIE209" s="9"/>
      <c r="KIG209" s="9"/>
      <c r="KIH209" s="9"/>
      <c r="KII209" s="9"/>
      <c r="KIJ209" s="9"/>
      <c r="KIK209" s="9"/>
      <c r="KIL209" s="9"/>
      <c r="KIM209" s="9"/>
      <c r="KIN209" s="9"/>
      <c r="KIO209" s="9"/>
      <c r="KIQ209" s="9"/>
      <c r="KIR209" s="9"/>
      <c r="KIS209" s="9"/>
      <c r="KIT209" s="9"/>
      <c r="KIU209" s="9"/>
      <c r="KIV209" s="9"/>
      <c r="KIW209" s="9"/>
      <c r="KIX209" s="9"/>
      <c r="KIY209" s="9"/>
      <c r="KJA209" s="9"/>
      <c r="KJB209" s="9"/>
      <c r="KJC209" s="9"/>
      <c r="KJD209" s="9"/>
      <c r="KJE209" s="9"/>
      <c r="KJF209" s="9"/>
      <c r="KJG209" s="9"/>
      <c r="KJH209" s="9"/>
      <c r="KJI209" s="9"/>
      <c r="KJK209" s="9"/>
      <c r="KJL209" s="9"/>
      <c r="KJM209" s="9"/>
      <c r="KJN209" s="9"/>
      <c r="KJO209" s="9"/>
      <c r="KJP209" s="9"/>
      <c r="KJQ209" s="9"/>
      <c r="KJR209" s="9"/>
      <c r="KJS209" s="9"/>
      <c r="KJU209" s="9"/>
      <c r="KJV209" s="9"/>
      <c r="KJW209" s="9"/>
      <c r="KJX209" s="9"/>
      <c r="KJY209" s="9"/>
      <c r="KJZ209" s="9"/>
      <c r="KKA209" s="9"/>
      <c r="KKB209" s="9"/>
      <c r="KKC209" s="9"/>
      <c r="KKE209" s="9"/>
      <c r="KKF209" s="9"/>
      <c r="KKG209" s="9"/>
      <c r="KKH209" s="9"/>
      <c r="KKI209" s="9"/>
      <c r="KKJ209" s="9"/>
      <c r="KKK209" s="9"/>
      <c r="KKL209" s="9"/>
      <c r="KKM209" s="9"/>
      <c r="KKO209" s="9"/>
      <c r="KKP209" s="9"/>
      <c r="KKQ209" s="9"/>
      <c r="KKR209" s="9"/>
      <c r="KKS209" s="9"/>
      <c r="KKT209" s="9"/>
      <c r="KKU209" s="9"/>
      <c r="KKV209" s="9"/>
      <c r="KKW209" s="9"/>
      <c r="KKY209" s="9"/>
      <c r="KKZ209" s="9"/>
      <c r="KLA209" s="9"/>
      <c r="KLB209" s="9"/>
      <c r="KLC209" s="9"/>
      <c r="KLD209" s="9"/>
      <c r="KLE209" s="9"/>
      <c r="KLF209" s="9"/>
      <c r="KLG209" s="9"/>
      <c r="KLI209" s="9"/>
      <c r="KLJ209" s="9"/>
      <c r="KLK209" s="9"/>
      <c r="KLL209" s="9"/>
      <c r="KLM209" s="9"/>
      <c r="KLN209" s="9"/>
      <c r="KLO209" s="9"/>
      <c r="KLP209" s="9"/>
      <c r="KLQ209" s="9"/>
      <c r="KLS209" s="9"/>
      <c r="KLT209" s="9"/>
      <c r="KLU209" s="9"/>
      <c r="KLV209" s="9"/>
      <c r="KLW209" s="9"/>
      <c r="KLX209" s="9"/>
      <c r="KLY209" s="9"/>
      <c r="KLZ209" s="9"/>
      <c r="KMA209" s="9"/>
      <c r="KMC209" s="9"/>
      <c r="KMD209" s="9"/>
      <c r="KME209" s="9"/>
      <c r="KMF209" s="9"/>
      <c r="KMG209" s="9"/>
      <c r="KMH209" s="9"/>
      <c r="KMI209" s="9"/>
      <c r="KMJ209" s="9"/>
      <c r="KMK209" s="9"/>
      <c r="KMM209" s="9"/>
      <c r="KMN209" s="9"/>
      <c r="KMO209" s="9"/>
      <c r="KMP209" s="9"/>
      <c r="KMQ209" s="9"/>
      <c r="KMR209" s="9"/>
      <c r="KMS209" s="9"/>
      <c r="KMT209" s="9"/>
      <c r="KMU209" s="9"/>
      <c r="KMW209" s="9"/>
      <c r="KMX209" s="9"/>
      <c r="KMY209" s="9"/>
      <c r="KMZ209" s="9"/>
      <c r="KNA209" s="9"/>
      <c r="KNB209" s="9"/>
      <c r="KNC209" s="9"/>
      <c r="KND209" s="9"/>
      <c r="KNE209" s="9"/>
      <c r="KNG209" s="9"/>
      <c r="KNH209" s="9"/>
      <c r="KNI209" s="9"/>
      <c r="KNJ209" s="9"/>
      <c r="KNK209" s="9"/>
      <c r="KNL209" s="9"/>
      <c r="KNM209" s="9"/>
      <c r="KNN209" s="9"/>
      <c r="KNO209" s="9"/>
      <c r="KNQ209" s="9"/>
      <c r="KNR209" s="9"/>
      <c r="KNS209" s="9"/>
      <c r="KNT209" s="9"/>
      <c r="KNU209" s="9"/>
      <c r="KNV209" s="9"/>
      <c r="KNW209" s="9"/>
      <c r="KNX209" s="9"/>
      <c r="KNY209" s="9"/>
      <c r="KOA209" s="9"/>
      <c r="KOB209" s="9"/>
      <c r="KOC209" s="9"/>
      <c r="KOD209" s="9"/>
      <c r="KOE209" s="9"/>
      <c r="KOF209" s="9"/>
      <c r="KOG209" s="9"/>
      <c r="KOH209" s="9"/>
      <c r="KOI209" s="9"/>
      <c r="KOK209" s="9"/>
      <c r="KOL209" s="9"/>
      <c r="KOM209" s="9"/>
      <c r="KON209" s="9"/>
      <c r="KOO209" s="9"/>
      <c r="KOP209" s="9"/>
      <c r="KOQ209" s="9"/>
      <c r="KOR209" s="9"/>
      <c r="KOS209" s="9"/>
      <c r="KOU209" s="9"/>
      <c r="KOV209" s="9"/>
      <c r="KOW209" s="9"/>
      <c r="KOX209" s="9"/>
      <c r="KOY209" s="9"/>
      <c r="KOZ209" s="9"/>
      <c r="KPA209" s="9"/>
      <c r="KPB209" s="9"/>
      <c r="KPC209" s="9"/>
      <c r="KPE209" s="9"/>
      <c r="KPF209" s="9"/>
      <c r="KPG209" s="9"/>
      <c r="KPH209" s="9"/>
      <c r="KPI209" s="9"/>
      <c r="KPJ209" s="9"/>
      <c r="KPK209" s="9"/>
      <c r="KPL209" s="9"/>
      <c r="KPM209" s="9"/>
      <c r="KPO209" s="9"/>
      <c r="KPP209" s="9"/>
      <c r="KPQ209" s="9"/>
      <c r="KPR209" s="9"/>
      <c r="KPS209" s="9"/>
      <c r="KPT209" s="9"/>
      <c r="KPU209" s="9"/>
      <c r="KPV209" s="9"/>
      <c r="KPW209" s="9"/>
      <c r="KPY209" s="9"/>
      <c r="KPZ209" s="9"/>
      <c r="KQA209" s="9"/>
      <c r="KQB209" s="9"/>
      <c r="KQC209" s="9"/>
      <c r="KQD209" s="9"/>
      <c r="KQE209" s="9"/>
      <c r="KQF209" s="9"/>
      <c r="KQG209" s="9"/>
      <c r="KQI209" s="9"/>
      <c r="KQJ209" s="9"/>
      <c r="KQK209" s="9"/>
      <c r="KQL209" s="9"/>
      <c r="KQM209" s="9"/>
      <c r="KQN209" s="9"/>
      <c r="KQO209" s="9"/>
      <c r="KQP209" s="9"/>
      <c r="KQQ209" s="9"/>
      <c r="KQS209" s="9"/>
      <c r="KQT209" s="9"/>
      <c r="KQU209" s="9"/>
      <c r="KQV209" s="9"/>
      <c r="KQW209" s="9"/>
      <c r="KQX209" s="9"/>
      <c r="KQY209" s="9"/>
      <c r="KQZ209" s="9"/>
      <c r="KRA209" s="9"/>
      <c r="KRC209" s="9"/>
      <c r="KRD209" s="9"/>
      <c r="KRE209" s="9"/>
      <c r="KRF209" s="9"/>
      <c r="KRG209" s="9"/>
      <c r="KRH209" s="9"/>
      <c r="KRI209" s="9"/>
      <c r="KRJ209" s="9"/>
      <c r="KRK209" s="9"/>
      <c r="KRM209" s="9"/>
      <c r="KRN209" s="9"/>
      <c r="KRO209" s="9"/>
      <c r="KRP209" s="9"/>
      <c r="KRQ209" s="9"/>
      <c r="KRR209" s="9"/>
      <c r="KRS209" s="9"/>
      <c r="KRT209" s="9"/>
      <c r="KRU209" s="9"/>
      <c r="KRW209" s="9"/>
      <c r="KRX209" s="9"/>
      <c r="KRY209" s="9"/>
      <c r="KRZ209" s="9"/>
      <c r="KSA209" s="9"/>
      <c r="KSB209" s="9"/>
      <c r="KSC209" s="9"/>
      <c r="KSD209" s="9"/>
      <c r="KSE209" s="9"/>
      <c r="KSG209" s="9"/>
      <c r="KSH209" s="9"/>
      <c r="KSI209" s="9"/>
      <c r="KSJ209" s="9"/>
      <c r="KSK209" s="9"/>
      <c r="KSL209" s="9"/>
      <c r="KSM209" s="9"/>
      <c r="KSN209" s="9"/>
      <c r="KSO209" s="9"/>
      <c r="KSQ209" s="9"/>
      <c r="KSR209" s="9"/>
      <c r="KSS209" s="9"/>
      <c r="KST209" s="9"/>
      <c r="KSU209" s="9"/>
      <c r="KSV209" s="9"/>
      <c r="KSW209" s="9"/>
      <c r="KSX209" s="9"/>
      <c r="KSY209" s="9"/>
      <c r="KTA209" s="9"/>
      <c r="KTB209" s="9"/>
      <c r="KTC209" s="9"/>
      <c r="KTD209" s="9"/>
      <c r="KTE209" s="9"/>
      <c r="KTF209" s="9"/>
      <c r="KTG209" s="9"/>
      <c r="KTH209" s="9"/>
      <c r="KTI209" s="9"/>
      <c r="KTK209" s="9"/>
      <c r="KTL209" s="9"/>
      <c r="KTM209" s="9"/>
      <c r="KTN209" s="9"/>
      <c r="KTO209" s="9"/>
      <c r="KTP209" s="9"/>
      <c r="KTQ209" s="9"/>
      <c r="KTR209" s="9"/>
      <c r="KTS209" s="9"/>
      <c r="KTU209" s="9"/>
      <c r="KTV209" s="9"/>
      <c r="KTW209" s="9"/>
      <c r="KTX209" s="9"/>
      <c r="KTY209" s="9"/>
      <c r="KTZ209" s="9"/>
      <c r="KUA209" s="9"/>
      <c r="KUB209" s="9"/>
      <c r="KUC209" s="9"/>
      <c r="KUE209" s="9"/>
      <c r="KUF209" s="9"/>
      <c r="KUG209" s="9"/>
      <c r="KUH209" s="9"/>
      <c r="KUI209" s="9"/>
      <c r="KUJ209" s="9"/>
      <c r="KUK209" s="9"/>
      <c r="KUL209" s="9"/>
      <c r="KUM209" s="9"/>
      <c r="KUO209" s="9"/>
      <c r="KUP209" s="9"/>
      <c r="KUQ209" s="9"/>
      <c r="KUR209" s="9"/>
      <c r="KUS209" s="9"/>
      <c r="KUT209" s="9"/>
      <c r="KUU209" s="9"/>
      <c r="KUV209" s="9"/>
      <c r="KUW209" s="9"/>
      <c r="KUY209" s="9"/>
      <c r="KUZ209" s="9"/>
      <c r="KVA209" s="9"/>
      <c r="KVB209" s="9"/>
      <c r="KVC209" s="9"/>
      <c r="KVD209" s="9"/>
      <c r="KVE209" s="9"/>
      <c r="KVF209" s="9"/>
      <c r="KVG209" s="9"/>
      <c r="KVI209" s="9"/>
      <c r="KVJ209" s="9"/>
      <c r="KVK209" s="9"/>
      <c r="KVL209" s="9"/>
      <c r="KVM209" s="9"/>
      <c r="KVN209" s="9"/>
      <c r="KVO209" s="9"/>
      <c r="KVP209" s="9"/>
      <c r="KVQ209" s="9"/>
      <c r="KVS209" s="9"/>
      <c r="KVT209" s="9"/>
      <c r="KVU209" s="9"/>
      <c r="KVV209" s="9"/>
      <c r="KVW209" s="9"/>
      <c r="KVX209" s="9"/>
      <c r="KVY209" s="9"/>
      <c r="KVZ209" s="9"/>
      <c r="KWA209" s="9"/>
      <c r="KWC209" s="9"/>
      <c r="KWD209" s="9"/>
      <c r="KWE209" s="9"/>
      <c r="KWF209" s="9"/>
      <c r="KWG209" s="9"/>
      <c r="KWH209" s="9"/>
      <c r="KWI209" s="9"/>
      <c r="KWJ209" s="9"/>
      <c r="KWK209" s="9"/>
      <c r="KWM209" s="9"/>
      <c r="KWN209" s="9"/>
      <c r="KWO209" s="9"/>
      <c r="KWP209" s="9"/>
      <c r="KWQ209" s="9"/>
      <c r="KWR209" s="9"/>
      <c r="KWS209" s="9"/>
      <c r="KWT209" s="9"/>
      <c r="KWU209" s="9"/>
      <c r="KWW209" s="9"/>
      <c r="KWX209" s="9"/>
      <c r="KWY209" s="9"/>
      <c r="KWZ209" s="9"/>
      <c r="KXA209" s="9"/>
      <c r="KXB209" s="9"/>
      <c r="KXC209" s="9"/>
      <c r="KXD209" s="9"/>
      <c r="KXE209" s="9"/>
      <c r="KXG209" s="9"/>
      <c r="KXH209" s="9"/>
      <c r="KXI209" s="9"/>
      <c r="KXJ209" s="9"/>
      <c r="KXK209" s="9"/>
      <c r="KXL209" s="9"/>
      <c r="KXM209" s="9"/>
      <c r="KXN209" s="9"/>
      <c r="KXO209" s="9"/>
      <c r="KXQ209" s="9"/>
      <c r="KXR209" s="9"/>
      <c r="KXS209" s="9"/>
      <c r="KXT209" s="9"/>
      <c r="KXU209" s="9"/>
      <c r="KXV209" s="9"/>
      <c r="KXW209" s="9"/>
      <c r="KXX209" s="9"/>
      <c r="KXY209" s="9"/>
      <c r="KYA209" s="9"/>
      <c r="KYB209" s="9"/>
      <c r="KYC209" s="9"/>
      <c r="KYD209" s="9"/>
      <c r="KYE209" s="9"/>
      <c r="KYF209" s="9"/>
      <c r="KYG209" s="9"/>
      <c r="KYH209" s="9"/>
      <c r="KYI209" s="9"/>
      <c r="KYK209" s="9"/>
      <c r="KYL209" s="9"/>
      <c r="KYM209" s="9"/>
      <c r="KYN209" s="9"/>
      <c r="KYO209" s="9"/>
      <c r="KYP209" s="9"/>
      <c r="KYQ209" s="9"/>
      <c r="KYR209" s="9"/>
      <c r="KYS209" s="9"/>
      <c r="KYU209" s="9"/>
      <c r="KYV209" s="9"/>
      <c r="KYW209" s="9"/>
      <c r="KYX209" s="9"/>
      <c r="KYY209" s="9"/>
      <c r="KYZ209" s="9"/>
      <c r="KZA209" s="9"/>
      <c r="KZB209" s="9"/>
      <c r="KZC209" s="9"/>
      <c r="KZE209" s="9"/>
      <c r="KZF209" s="9"/>
      <c r="KZG209" s="9"/>
      <c r="KZH209" s="9"/>
      <c r="KZI209" s="9"/>
      <c r="KZJ209" s="9"/>
      <c r="KZK209" s="9"/>
      <c r="KZL209" s="9"/>
      <c r="KZM209" s="9"/>
      <c r="KZO209" s="9"/>
      <c r="KZP209" s="9"/>
      <c r="KZQ209" s="9"/>
      <c r="KZR209" s="9"/>
      <c r="KZS209" s="9"/>
      <c r="KZT209" s="9"/>
      <c r="KZU209" s="9"/>
      <c r="KZV209" s="9"/>
      <c r="KZW209" s="9"/>
      <c r="KZY209" s="9"/>
      <c r="KZZ209" s="9"/>
      <c r="LAA209" s="9"/>
      <c r="LAB209" s="9"/>
      <c r="LAC209" s="9"/>
      <c r="LAD209" s="9"/>
      <c r="LAE209" s="9"/>
      <c r="LAF209" s="9"/>
      <c r="LAG209" s="9"/>
      <c r="LAI209" s="9"/>
      <c r="LAJ209" s="9"/>
      <c r="LAK209" s="9"/>
      <c r="LAL209" s="9"/>
      <c r="LAM209" s="9"/>
      <c r="LAN209" s="9"/>
      <c r="LAO209" s="9"/>
      <c r="LAP209" s="9"/>
      <c r="LAQ209" s="9"/>
      <c r="LAS209" s="9"/>
      <c r="LAT209" s="9"/>
      <c r="LAU209" s="9"/>
      <c r="LAV209" s="9"/>
      <c r="LAW209" s="9"/>
      <c r="LAX209" s="9"/>
      <c r="LAY209" s="9"/>
      <c r="LAZ209" s="9"/>
      <c r="LBA209" s="9"/>
      <c r="LBC209" s="9"/>
      <c r="LBD209" s="9"/>
      <c r="LBE209" s="9"/>
      <c r="LBF209" s="9"/>
      <c r="LBG209" s="9"/>
      <c r="LBH209" s="9"/>
      <c r="LBI209" s="9"/>
      <c r="LBJ209" s="9"/>
      <c r="LBK209" s="9"/>
      <c r="LBM209" s="9"/>
      <c r="LBN209" s="9"/>
      <c r="LBO209" s="9"/>
      <c r="LBP209" s="9"/>
      <c r="LBQ209" s="9"/>
      <c r="LBR209" s="9"/>
      <c r="LBS209" s="9"/>
      <c r="LBT209" s="9"/>
      <c r="LBU209" s="9"/>
      <c r="LBW209" s="9"/>
      <c r="LBX209" s="9"/>
      <c r="LBY209" s="9"/>
      <c r="LBZ209" s="9"/>
      <c r="LCA209" s="9"/>
      <c r="LCB209" s="9"/>
      <c r="LCC209" s="9"/>
      <c r="LCD209" s="9"/>
      <c r="LCE209" s="9"/>
      <c r="LCG209" s="9"/>
      <c r="LCH209" s="9"/>
      <c r="LCI209" s="9"/>
      <c r="LCJ209" s="9"/>
      <c r="LCK209" s="9"/>
      <c r="LCL209" s="9"/>
      <c r="LCM209" s="9"/>
      <c r="LCN209" s="9"/>
      <c r="LCO209" s="9"/>
      <c r="LCQ209" s="9"/>
      <c r="LCR209" s="9"/>
      <c r="LCS209" s="9"/>
      <c r="LCT209" s="9"/>
      <c r="LCU209" s="9"/>
      <c r="LCV209" s="9"/>
      <c r="LCW209" s="9"/>
      <c r="LCX209" s="9"/>
      <c r="LCY209" s="9"/>
      <c r="LDA209" s="9"/>
      <c r="LDB209" s="9"/>
      <c r="LDC209" s="9"/>
      <c r="LDD209" s="9"/>
      <c r="LDE209" s="9"/>
      <c r="LDF209" s="9"/>
      <c r="LDG209" s="9"/>
      <c r="LDH209" s="9"/>
      <c r="LDI209" s="9"/>
      <c r="LDK209" s="9"/>
      <c r="LDL209" s="9"/>
      <c r="LDM209" s="9"/>
      <c r="LDN209" s="9"/>
      <c r="LDO209" s="9"/>
      <c r="LDP209" s="9"/>
      <c r="LDQ209" s="9"/>
      <c r="LDR209" s="9"/>
      <c r="LDS209" s="9"/>
      <c r="LDU209" s="9"/>
      <c r="LDV209" s="9"/>
      <c r="LDW209" s="9"/>
      <c r="LDX209" s="9"/>
      <c r="LDY209" s="9"/>
      <c r="LDZ209" s="9"/>
      <c r="LEA209" s="9"/>
      <c r="LEB209" s="9"/>
      <c r="LEC209" s="9"/>
      <c r="LEE209" s="9"/>
      <c r="LEF209" s="9"/>
      <c r="LEG209" s="9"/>
      <c r="LEH209" s="9"/>
      <c r="LEI209" s="9"/>
      <c r="LEJ209" s="9"/>
      <c r="LEK209" s="9"/>
      <c r="LEL209" s="9"/>
      <c r="LEM209" s="9"/>
      <c r="LEO209" s="9"/>
      <c r="LEP209" s="9"/>
      <c r="LEQ209" s="9"/>
      <c r="LER209" s="9"/>
      <c r="LES209" s="9"/>
      <c r="LET209" s="9"/>
      <c r="LEU209" s="9"/>
      <c r="LEV209" s="9"/>
      <c r="LEW209" s="9"/>
      <c r="LEY209" s="9"/>
      <c r="LEZ209" s="9"/>
      <c r="LFA209" s="9"/>
      <c r="LFB209" s="9"/>
      <c r="LFC209" s="9"/>
      <c r="LFD209" s="9"/>
      <c r="LFE209" s="9"/>
      <c r="LFF209" s="9"/>
      <c r="LFG209" s="9"/>
      <c r="LFI209" s="9"/>
      <c r="LFJ209" s="9"/>
      <c r="LFK209" s="9"/>
      <c r="LFL209" s="9"/>
      <c r="LFM209" s="9"/>
      <c r="LFN209" s="9"/>
      <c r="LFO209" s="9"/>
      <c r="LFP209" s="9"/>
      <c r="LFQ209" s="9"/>
      <c r="LFS209" s="9"/>
      <c r="LFT209" s="9"/>
      <c r="LFU209" s="9"/>
      <c r="LFV209" s="9"/>
      <c r="LFW209" s="9"/>
      <c r="LFX209" s="9"/>
      <c r="LFY209" s="9"/>
      <c r="LFZ209" s="9"/>
      <c r="LGA209" s="9"/>
      <c r="LGC209" s="9"/>
      <c r="LGD209" s="9"/>
      <c r="LGE209" s="9"/>
      <c r="LGF209" s="9"/>
      <c r="LGG209" s="9"/>
      <c r="LGH209" s="9"/>
      <c r="LGI209" s="9"/>
      <c r="LGJ209" s="9"/>
      <c r="LGK209" s="9"/>
      <c r="LGM209" s="9"/>
      <c r="LGN209" s="9"/>
      <c r="LGO209" s="9"/>
      <c r="LGP209" s="9"/>
      <c r="LGQ209" s="9"/>
      <c r="LGR209" s="9"/>
      <c r="LGS209" s="9"/>
      <c r="LGT209" s="9"/>
      <c r="LGU209" s="9"/>
      <c r="LGW209" s="9"/>
      <c r="LGX209" s="9"/>
      <c r="LGY209" s="9"/>
      <c r="LGZ209" s="9"/>
      <c r="LHA209" s="9"/>
      <c r="LHB209" s="9"/>
      <c r="LHC209" s="9"/>
      <c r="LHD209" s="9"/>
      <c r="LHE209" s="9"/>
      <c r="LHG209" s="9"/>
      <c r="LHH209" s="9"/>
      <c r="LHI209" s="9"/>
      <c r="LHJ209" s="9"/>
      <c r="LHK209" s="9"/>
      <c r="LHL209" s="9"/>
      <c r="LHM209" s="9"/>
      <c r="LHN209" s="9"/>
      <c r="LHO209" s="9"/>
      <c r="LHQ209" s="9"/>
      <c r="LHR209" s="9"/>
      <c r="LHS209" s="9"/>
      <c r="LHT209" s="9"/>
      <c r="LHU209" s="9"/>
      <c r="LHV209" s="9"/>
      <c r="LHW209" s="9"/>
      <c r="LHX209" s="9"/>
      <c r="LHY209" s="9"/>
      <c r="LIA209" s="9"/>
      <c r="LIB209" s="9"/>
      <c r="LIC209" s="9"/>
      <c r="LID209" s="9"/>
      <c r="LIE209" s="9"/>
      <c r="LIF209" s="9"/>
      <c r="LIG209" s="9"/>
      <c r="LIH209" s="9"/>
      <c r="LII209" s="9"/>
      <c r="LIK209" s="9"/>
      <c r="LIL209" s="9"/>
      <c r="LIM209" s="9"/>
      <c r="LIN209" s="9"/>
      <c r="LIO209" s="9"/>
      <c r="LIP209" s="9"/>
      <c r="LIQ209" s="9"/>
      <c r="LIR209" s="9"/>
      <c r="LIS209" s="9"/>
      <c r="LIU209" s="9"/>
      <c r="LIV209" s="9"/>
      <c r="LIW209" s="9"/>
      <c r="LIX209" s="9"/>
      <c r="LIY209" s="9"/>
      <c r="LIZ209" s="9"/>
      <c r="LJA209" s="9"/>
      <c r="LJB209" s="9"/>
      <c r="LJC209" s="9"/>
      <c r="LJE209" s="9"/>
      <c r="LJF209" s="9"/>
      <c r="LJG209" s="9"/>
      <c r="LJH209" s="9"/>
      <c r="LJI209" s="9"/>
      <c r="LJJ209" s="9"/>
      <c r="LJK209" s="9"/>
      <c r="LJL209" s="9"/>
      <c r="LJM209" s="9"/>
      <c r="LJO209" s="9"/>
      <c r="LJP209" s="9"/>
      <c r="LJQ209" s="9"/>
      <c r="LJR209" s="9"/>
      <c r="LJS209" s="9"/>
      <c r="LJT209" s="9"/>
      <c r="LJU209" s="9"/>
      <c r="LJV209" s="9"/>
      <c r="LJW209" s="9"/>
      <c r="LJY209" s="9"/>
      <c r="LJZ209" s="9"/>
      <c r="LKA209" s="9"/>
      <c r="LKB209" s="9"/>
      <c r="LKC209" s="9"/>
      <c r="LKD209" s="9"/>
      <c r="LKE209" s="9"/>
      <c r="LKF209" s="9"/>
      <c r="LKG209" s="9"/>
      <c r="LKI209" s="9"/>
      <c r="LKJ209" s="9"/>
      <c r="LKK209" s="9"/>
      <c r="LKL209" s="9"/>
      <c r="LKM209" s="9"/>
      <c r="LKN209" s="9"/>
      <c r="LKO209" s="9"/>
      <c r="LKP209" s="9"/>
      <c r="LKQ209" s="9"/>
      <c r="LKS209" s="9"/>
      <c r="LKT209" s="9"/>
      <c r="LKU209" s="9"/>
      <c r="LKV209" s="9"/>
      <c r="LKW209" s="9"/>
      <c r="LKX209" s="9"/>
      <c r="LKY209" s="9"/>
      <c r="LKZ209" s="9"/>
      <c r="LLA209" s="9"/>
      <c r="LLC209" s="9"/>
      <c r="LLD209" s="9"/>
      <c r="LLE209" s="9"/>
      <c r="LLF209" s="9"/>
      <c r="LLG209" s="9"/>
      <c r="LLH209" s="9"/>
      <c r="LLI209" s="9"/>
      <c r="LLJ209" s="9"/>
      <c r="LLK209" s="9"/>
      <c r="LLM209" s="9"/>
      <c r="LLN209" s="9"/>
      <c r="LLO209" s="9"/>
      <c r="LLP209" s="9"/>
      <c r="LLQ209" s="9"/>
      <c r="LLR209" s="9"/>
      <c r="LLS209" s="9"/>
      <c r="LLT209" s="9"/>
      <c r="LLU209" s="9"/>
      <c r="LLW209" s="9"/>
      <c r="LLX209" s="9"/>
      <c r="LLY209" s="9"/>
      <c r="LLZ209" s="9"/>
      <c r="LMA209" s="9"/>
      <c r="LMB209" s="9"/>
      <c r="LMC209" s="9"/>
      <c r="LMD209" s="9"/>
      <c r="LME209" s="9"/>
      <c r="LMG209" s="9"/>
      <c r="LMH209" s="9"/>
      <c r="LMI209" s="9"/>
      <c r="LMJ209" s="9"/>
      <c r="LMK209" s="9"/>
      <c r="LML209" s="9"/>
      <c r="LMM209" s="9"/>
      <c r="LMN209" s="9"/>
      <c r="LMO209" s="9"/>
      <c r="LMQ209" s="9"/>
      <c r="LMR209" s="9"/>
      <c r="LMS209" s="9"/>
      <c r="LMT209" s="9"/>
      <c r="LMU209" s="9"/>
      <c r="LMV209" s="9"/>
      <c r="LMW209" s="9"/>
      <c r="LMX209" s="9"/>
      <c r="LMY209" s="9"/>
      <c r="LNA209" s="9"/>
      <c r="LNB209" s="9"/>
      <c r="LNC209" s="9"/>
      <c r="LND209" s="9"/>
      <c r="LNE209" s="9"/>
      <c r="LNF209" s="9"/>
      <c r="LNG209" s="9"/>
      <c r="LNH209" s="9"/>
      <c r="LNI209" s="9"/>
      <c r="LNK209" s="9"/>
      <c r="LNL209" s="9"/>
      <c r="LNM209" s="9"/>
      <c r="LNN209" s="9"/>
      <c r="LNO209" s="9"/>
      <c r="LNP209" s="9"/>
      <c r="LNQ209" s="9"/>
      <c r="LNR209" s="9"/>
      <c r="LNS209" s="9"/>
      <c r="LNU209" s="9"/>
      <c r="LNV209" s="9"/>
      <c r="LNW209" s="9"/>
      <c r="LNX209" s="9"/>
      <c r="LNY209" s="9"/>
      <c r="LNZ209" s="9"/>
      <c r="LOA209" s="9"/>
      <c r="LOB209" s="9"/>
      <c r="LOC209" s="9"/>
      <c r="LOE209" s="9"/>
      <c r="LOF209" s="9"/>
      <c r="LOG209" s="9"/>
      <c r="LOH209" s="9"/>
      <c r="LOI209" s="9"/>
      <c r="LOJ209" s="9"/>
      <c r="LOK209" s="9"/>
      <c r="LOL209" s="9"/>
      <c r="LOM209" s="9"/>
      <c r="LOO209" s="9"/>
      <c r="LOP209" s="9"/>
      <c r="LOQ209" s="9"/>
      <c r="LOR209" s="9"/>
      <c r="LOS209" s="9"/>
      <c r="LOT209" s="9"/>
      <c r="LOU209" s="9"/>
      <c r="LOV209" s="9"/>
      <c r="LOW209" s="9"/>
      <c r="LOY209" s="9"/>
      <c r="LOZ209" s="9"/>
      <c r="LPA209" s="9"/>
      <c r="LPB209" s="9"/>
      <c r="LPC209" s="9"/>
      <c r="LPD209" s="9"/>
      <c r="LPE209" s="9"/>
      <c r="LPF209" s="9"/>
      <c r="LPG209" s="9"/>
      <c r="LPI209" s="9"/>
      <c r="LPJ209" s="9"/>
      <c r="LPK209" s="9"/>
      <c r="LPL209" s="9"/>
      <c r="LPM209" s="9"/>
      <c r="LPN209" s="9"/>
      <c r="LPO209" s="9"/>
      <c r="LPP209" s="9"/>
      <c r="LPQ209" s="9"/>
      <c r="LPS209" s="9"/>
      <c r="LPT209" s="9"/>
      <c r="LPU209" s="9"/>
      <c r="LPV209" s="9"/>
      <c r="LPW209" s="9"/>
      <c r="LPX209" s="9"/>
      <c r="LPY209" s="9"/>
      <c r="LPZ209" s="9"/>
      <c r="LQA209" s="9"/>
      <c r="LQC209" s="9"/>
      <c r="LQD209" s="9"/>
      <c r="LQE209" s="9"/>
      <c r="LQF209" s="9"/>
      <c r="LQG209" s="9"/>
      <c r="LQH209" s="9"/>
      <c r="LQI209" s="9"/>
      <c r="LQJ209" s="9"/>
      <c r="LQK209" s="9"/>
      <c r="LQM209" s="9"/>
      <c r="LQN209" s="9"/>
      <c r="LQO209" s="9"/>
      <c r="LQP209" s="9"/>
      <c r="LQQ209" s="9"/>
      <c r="LQR209" s="9"/>
      <c r="LQS209" s="9"/>
      <c r="LQT209" s="9"/>
      <c r="LQU209" s="9"/>
      <c r="LQW209" s="9"/>
      <c r="LQX209" s="9"/>
      <c r="LQY209" s="9"/>
      <c r="LQZ209" s="9"/>
      <c r="LRA209" s="9"/>
      <c r="LRB209" s="9"/>
      <c r="LRC209" s="9"/>
      <c r="LRD209" s="9"/>
      <c r="LRE209" s="9"/>
      <c r="LRG209" s="9"/>
      <c r="LRH209" s="9"/>
      <c r="LRI209" s="9"/>
      <c r="LRJ209" s="9"/>
      <c r="LRK209" s="9"/>
      <c r="LRL209" s="9"/>
      <c r="LRM209" s="9"/>
      <c r="LRN209" s="9"/>
      <c r="LRO209" s="9"/>
      <c r="LRQ209" s="9"/>
      <c r="LRR209" s="9"/>
      <c r="LRS209" s="9"/>
      <c r="LRT209" s="9"/>
      <c r="LRU209" s="9"/>
      <c r="LRV209" s="9"/>
      <c r="LRW209" s="9"/>
      <c r="LRX209" s="9"/>
      <c r="LRY209" s="9"/>
      <c r="LSA209" s="9"/>
      <c r="LSB209" s="9"/>
      <c r="LSC209" s="9"/>
      <c r="LSD209" s="9"/>
      <c r="LSE209" s="9"/>
      <c r="LSF209" s="9"/>
      <c r="LSG209" s="9"/>
      <c r="LSH209" s="9"/>
      <c r="LSI209" s="9"/>
      <c r="LSK209" s="9"/>
      <c r="LSL209" s="9"/>
      <c r="LSM209" s="9"/>
      <c r="LSN209" s="9"/>
      <c r="LSO209" s="9"/>
      <c r="LSP209" s="9"/>
      <c r="LSQ209" s="9"/>
      <c r="LSR209" s="9"/>
      <c r="LSS209" s="9"/>
      <c r="LSU209" s="9"/>
      <c r="LSV209" s="9"/>
      <c r="LSW209" s="9"/>
      <c r="LSX209" s="9"/>
      <c r="LSY209" s="9"/>
      <c r="LSZ209" s="9"/>
      <c r="LTA209" s="9"/>
      <c r="LTB209" s="9"/>
      <c r="LTC209" s="9"/>
      <c r="LTE209" s="9"/>
      <c r="LTF209" s="9"/>
      <c r="LTG209" s="9"/>
      <c r="LTH209" s="9"/>
      <c r="LTI209" s="9"/>
      <c r="LTJ209" s="9"/>
      <c r="LTK209" s="9"/>
      <c r="LTL209" s="9"/>
      <c r="LTM209" s="9"/>
      <c r="LTO209" s="9"/>
      <c r="LTP209" s="9"/>
      <c r="LTQ209" s="9"/>
      <c r="LTR209" s="9"/>
      <c r="LTS209" s="9"/>
      <c r="LTT209" s="9"/>
      <c r="LTU209" s="9"/>
      <c r="LTV209" s="9"/>
      <c r="LTW209" s="9"/>
      <c r="LTY209" s="9"/>
      <c r="LTZ209" s="9"/>
      <c r="LUA209" s="9"/>
      <c r="LUB209" s="9"/>
      <c r="LUC209" s="9"/>
      <c r="LUD209" s="9"/>
      <c r="LUE209" s="9"/>
      <c r="LUF209" s="9"/>
      <c r="LUG209" s="9"/>
      <c r="LUI209" s="9"/>
      <c r="LUJ209" s="9"/>
      <c r="LUK209" s="9"/>
      <c r="LUL209" s="9"/>
      <c r="LUM209" s="9"/>
      <c r="LUN209" s="9"/>
      <c r="LUO209" s="9"/>
      <c r="LUP209" s="9"/>
      <c r="LUQ209" s="9"/>
      <c r="LUS209" s="9"/>
      <c r="LUT209" s="9"/>
      <c r="LUU209" s="9"/>
      <c r="LUV209" s="9"/>
      <c r="LUW209" s="9"/>
      <c r="LUX209" s="9"/>
      <c r="LUY209" s="9"/>
      <c r="LUZ209" s="9"/>
      <c r="LVA209" s="9"/>
      <c r="LVC209" s="9"/>
      <c r="LVD209" s="9"/>
      <c r="LVE209" s="9"/>
      <c r="LVF209" s="9"/>
      <c r="LVG209" s="9"/>
      <c r="LVH209" s="9"/>
      <c r="LVI209" s="9"/>
      <c r="LVJ209" s="9"/>
      <c r="LVK209" s="9"/>
      <c r="LVM209" s="9"/>
      <c r="LVN209" s="9"/>
      <c r="LVO209" s="9"/>
      <c r="LVP209" s="9"/>
      <c r="LVQ209" s="9"/>
      <c r="LVR209" s="9"/>
      <c r="LVS209" s="9"/>
      <c r="LVT209" s="9"/>
      <c r="LVU209" s="9"/>
      <c r="LVW209" s="9"/>
      <c r="LVX209" s="9"/>
      <c r="LVY209" s="9"/>
      <c r="LVZ209" s="9"/>
      <c r="LWA209" s="9"/>
      <c r="LWB209" s="9"/>
      <c r="LWC209" s="9"/>
      <c r="LWD209" s="9"/>
      <c r="LWE209" s="9"/>
      <c r="LWG209" s="9"/>
      <c r="LWH209" s="9"/>
      <c r="LWI209" s="9"/>
      <c r="LWJ209" s="9"/>
      <c r="LWK209" s="9"/>
      <c r="LWL209" s="9"/>
      <c r="LWM209" s="9"/>
      <c r="LWN209" s="9"/>
      <c r="LWO209" s="9"/>
      <c r="LWQ209" s="9"/>
      <c r="LWR209" s="9"/>
      <c r="LWS209" s="9"/>
      <c r="LWT209" s="9"/>
      <c r="LWU209" s="9"/>
      <c r="LWV209" s="9"/>
      <c r="LWW209" s="9"/>
      <c r="LWX209" s="9"/>
      <c r="LWY209" s="9"/>
      <c r="LXA209" s="9"/>
      <c r="LXB209" s="9"/>
      <c r="LXC209" s="9"/>
      <c r="LXD209" s="9"/>
      <c r="LXE209" s="9"/>
      <c r="LXF209" s="9"/>
      <c r="LXG209" s="9"/>
      <c r="LXH209" s="9"/>
      <c r="LXI209" s="9"/>
      <c r="LXK209" s="9"/>
      <c r="LXL209" s="9"/>
      <c r="LXM209" s="9"/>
      <c r="LXN209" s="9"/>
      <c r="LXO209" s="9"/>
      <c r="LXP209" s="9"/>
      <c r="LXQ209" s="9"/>
      <c r="LXR209" s="9"/>
      <c r="LXS209" s="9"/>
      <c r="LXU209" s="9"/>
      <c r="LXV209" s="9"/>
      <c r="LXW209" s="9"/>
      <c r="LXX209" s="9"/>
      <c r="LXY209" s="9"/>
      <c r="LXZ209" s="9"/>
      <c r="LYA209" s="9"/>
      <c r="LYB209" s="9"/>
      <c r="LYC209" s="9"/>
      <c r="LYE209" s="9"/>
      <c r="LYF209" s="9"/>
      <c r="LYG209" s="9"/>
      <c r="LYH209" s="9"/>
      <c r="LYI209" s="9"/>
      <c r="LYJ209" s="9"/>
      <c r="LYK209" s="9"/>
      <c r="LYL209" s="9"/>
      <c r="LYM209" s="9"/>
      <c r="LYO209" s="9"/>
      <c r="LYP209" s="9"/>
      <c r="LYQ209" s="9"/>
      <c r="LYR209" s="9"/>
      <c r="LYS209" s="9"/>
      <c r="LYT209" s="9"/>
      <c r="LYU209" s="9"/>
      <c r="LYV209" s="9"/>
      <c r="LYW209" s="9"/>
      <c r="LYY209" s="9"/>
      <c r="LYZ209" s="9"/>
      <c r="LZA209" s="9"/>
      <c r="LZB209" s="9"/>
      <c r="LZC209" s="9"/>
      <c r="LZD209" s="9"/>
      <c r="LZE209" s="9"/>
      <c r="LZF209" s="9"/>
      <c r="LZG209" s="9"/>
      <c r="LZI209" s="9"/>
      <c r="LZJ209" s="9"/>
      <c r="LZK209" s="9"/>
      <c r="LZL209" s="9"/>
      <c r="LZM209" s="9"/>
      <c r="LZN209" s="9"/>
      <c r="LZO209" s="9"/>
      <c r="LZP209" s="9"/>
      <c r="LZQ209" s="9"/>
      <c r="LZS209" s="9"/>
      <c r="LZT209" s="9"/>
      <c r="LZU209" s="9"/>
      <c r="LZV209" s="9"/>
      <c r="LZW209" s="9"/>
      <c r="LZX209" s="9"/>
      <c r="LZY209" s="9"/>
      <c r="LZZ209" s="9"/>
      <c r="MAA209" s="9"/>
      <c r="MAC209" s="9"/>
      <c r="MAD209" s="9"/>
      <c r="MAE209" s="9"/>
      <c r="MAF209" s="9"/>
      <c r="MAG209" s="9"/>
      <c r="MAH209" s="9"/>
      <c r="MAI209" s="9"/>
      <c r="MAJ209" s="9"/>
      <c r="MAK209" s="9"/>
      <c r="MAM209" s="9"/>
      <c r="MAN209" s="9"/>
      <c r="MAO209" s="9"/>
      <c r="MAP209" s="9"/>
      <c r="MAQ209" s="9"/>
      <c r="MAR209" s="9"/>
      <c r="MAS209" s="9"/>
      <c r="MAT209" s="9"/>
      <c r="MAU209" s="9"/>
      <c r="MAW209" s="9"/>
      <c r="MAX209" s="9"/>
      <c r="MAY209" s="9"/>
      <c r="MAZ209" s="9"/>
      <c r="MBA209" s="9"/>
      <c r="MBB209" s="9"/>
      <c r="MBC209" s="9"/>
      <c r="MBD209" s="9"/>
      <c r="MBE209" s="9"/>
      <c r="MBG209" s="9"/>
      <c r="MBH209" s="9"/>
      <c r="MBI209" s="9"/>
      <c r="MBJ209" s="9"/>
      <c r="MBK209" s="9"/>
      <c r="MBL209" s="9"/>
      <c r="MBM209" s="9"/>
      <c r="MBN209" s="9"/>
      <c r="MBO209" s="9"/>
      <c r="MBQ209" s="9"/>
      <c r="MBR209" s="9"/>
      <c r="MBS209" s="9"/>
      <c r="MBT209" s="9"/>
      <c r="MBU209" s="9"/>
      <c r="MBV209" s="9"/>
      <c r="MBW209" s="9"/>
      <c r="MBX209" s="9"/>
      <c r="MBY209" s="9"/>
      <c r="MCA209" s="9"/>
      <c r="MCB209" s="9"/>
      <c r="MCC209" s="9"/>
      <c r="MCD209" s="9"/>
      <c r="MCE209" s="9"/>
      <c r="MCF209" s="9"/>
      <c r="MCG209" s="9"/>
      <c r="MCH209" s="9"/>
      <c r="MCI209" s="9"/>
      <c r="MCK209" s="9"/>
      <c r="MCL209" s="9"/>
      <c r="MCM209" s="9"/>
      <c r="MCN209" s="9"/>
      <c r="MCO209" s="9"/>
      <c r="MCP209" s="9"/>
      <c r="MCQ209" s="9"/>
      <c r="MCR209" s="9"/>
      <c r="MCS209" s="9"/>
      <c r="MCU209" s="9"/>
      <c r="MCV209" s="9"/>
      <c r="MCW209" s="9"/>
      <c r="MCX209" s="9"/>
      <c r="MCY209" s="9"/>
      <c r="MCZ209" s="9"/>
      <c r="MDA209" s="9"/>
      <c r="MDB209" s="9"/>
      <c r="MDC209" s="9"/>
      <c r="MDE209" s="9"/>
      <c r="MDF209" s="9"/>
      <c r="MDG209" s="9"/>
      <c r="MDH209" s="9"/>
      <c r="MDI209" s="9"/>
      <c r="MDJ209" s="9"/>
      <c r="MDK209" s="9"/>
      <c r="MDL209" s="9"/>
      <c r="MDM209" s="9"/>
      <c r="MDO209" s="9"/>
      <c r="MDP209" s="9"/>
      <c r="MDQ209" s="9"/>
      <c r="MDR209" s="9"/>
      <c r="MDS209" s="9"/>
      <c r="MDT209" s="9"/>
      <c r="MDU209" s="9"/>
      <c r="MDV209" s="9"/>
      <c r="MDW209" s="9"/>
      <c r="MDY209" s="9"/>
      <c r="MDZ209" s="9"/>
      <c r="MEA209" s="9"/>
      <c r="MEB209" s="9"/>
      <c r="MEC209" s="9"/>
      <c r="MED209" s="9"/>
      <c r="MEE209" s="9"/>
      <c r="MEF209" s="9"/>
      <c r="MEG209" s="9"/>
      <c r="MEI209" s="9"/>
      <c r="MEJ209" s="9"/>
      <c r="MEK209" s="9"/>
      <c r="MEL209" s="9"/>
      <c r="MEM209" s="9"/>
      <c r="MEN209" s="9"/>
      <c r="MEO209" s="9"/>
      <c r="MEP209" s="9"/>
      <c r="MEQ209" s="9"/>
      <c r="MES209" s="9"/>
      <c r="MET209" s="9"/>
      <c r="MEU209" s="9"/>
      <c r="MEV209" s="9"/>
      <c r="MEW209" s="9"/>
      <c r="MEX209" s="9"/>
      <c r="MEY209" s="9"/>
      <c r="MEZ209" s="9"/>
      <c r="MFA209" s="9"/>
      <c r="MFC209" s="9"/>
      <c r="MFD209" s="9"/>
      <c r="MFE209" s="9"/>
      <c r="MFF209" s="9"/>
      <c r="MFG209" s="9"/>
      <c r="MFH209" s="9"/>
      <c r="MFI209" s="9"/>
      <c r="MFJ209" s="9"/>
      <c r="MFK209" s="9"/>
      <c r="MFM209" s="9"/>
      <c r="MFN209" s="9"/>
      <c r="MFO209" s="9"/>
      <c r="MFP209" s="9"/>
      <c r="MFQ209" s="9"/>
      <c r="MFR209" s="9"/>
      <c r="MFS209" s="9"/>
      <c r="MFT209" s="9"/>
      <c r="MFU209" s="9"/>
      <c r="MFW209" s="9"/>
      <c r="MFX209" s="9"/>
      <c r="MFY209" s="9"/>
      <c r="MFZ209" s="9"/>
      <c r="MGA209" s="9"/>
      <c r="MGB209" s="9"/>
      <c r="MGC209" s="9"/>
      <c r="MGD209" s="9"/>
      <c r="MGE209" s="9"/>
      <c r="MGG209" s="9"/>
      <c r="MGH209" s="9"/>
      <c r="MGI209" s="9"/>
      <c r="MGJ209" s="9"/>
      <c r="MGK209" s="9"/>
      <c r="MGL209" s="9"/>
      <c r="MGM209" s="9"/>
      <c r="MGN209" s="9"/>
      <c r="MGO209" s="9"/>
      <c r="MGQ209" s="9"/>
      <c r="MGR209" s="9"/>
      <c r="MGS209" s="9"/>
      <c r="MGT209" s="9"/>
      <c r="MGU209" s="9"/>
      <c r="MGV209" s="9"/>
      <c r="MGW209" s="9"/>
      <c r="MGX209" s="9"/>
      <c r="MGY209" s="9"/>
      <c r="MHA209" s="9"/>
      <c r="MHB209" s="9"/>
      <c r="MHC209" s="9"/>
      <c r="MHD209" s="9"/>
      <c r="MHE209" s="9"/>
      <c r="MHF209" s="9"/>
      <c r="MHG209" s="9"/>
      <c r="MHH209" s="9"/>
      <c r="MHI209" s="9"/>
      <c r="MHK209" s="9"/>
      <c r="MHL209" s="9"/>
      <c r="MHM209" s="9"/>
      <c r="MHN209" s="9"/>
      <c r="MHO209" s="9"/>
      <c r="MHP209" s="9"/>
      <c r="MHQ209" s="9"/>
      <c r="MHR209" s="9"/>
      <c r="MHS209" s="9"/>
      <c r="MHU209" s="9"/>
      <c r="MHV209" s="9"/>
      <c r="MHW209" s="9"/>
      <c r="MHX209" s="9"/>
      <c r="MHY209" s="9"/>
      <c r="MHZ209" s="9"/>
      <c r="MIA209" s="9"/>
      <c r="MIB209" s="9"/>
      <c r="MIC209" s="9"/>
      <c r="MIE209" s="9"/>
      <c r="MIF209" s="9"/>
      <c r="MIG209" s="9"/>
      <c r="MIH209" s="9"/>
      <c r="MII209" s="9"/>
      <c r="MIJ209" s="9"/>
      <c r="MIK209" s="9"/>
      <c r="MIL209" s="9"/>
      <c r="MIM209" s="9"/>
      <c r="MIO209" s="9"/>
      <c r="MIP209" s="9"/>
      <c r="MIQ209" s="9"/>
      <c r="MIR209" s="9"/>
      <c r="MIS209" s="9"/>
      <c r="MIT209" s="9"/>
      <c r="MIU209" s="9"/>
      <c r="MIV209" s="9"/>
      <c r="MIW209" s="9"/>
      <c r="MIY209" s="9"/>
      <c r="MIZ209" s="9"/>
      <c r="MJA209" s="9"/>
      <c r="MJB209" s="9"/>
      <c r="MJC209" s="9"/>
      <c r="MJD209" s="9"/>
      <c r="MJE209" s="9"/>
      <c r="MJF209" s="9"/>
      <c r="MJG209" s="9"/>
      <c r="MJI209" s="9"/>
      <c r="MJJ209" s="9"/>
      <c r="MJK209" s="9"/>
      <c r="MJL209" s="9"/>
      <c r="MJM209" s="9"/>
      <c r="MJN209" s="9"/>
      <c r="MJO209" s="9"/>
      <c r="MJP209" s="9"/>
      <c r="MJQ209" s="9"/>
      <c r="MJS209" s="9"/>
      <c r="MJT209" s="9"/>
      <c r="MJU209" s="9"/>
      <c r="MJV209" s="9"/>
      <c r="MJW209" s="9"/>
      <c r="MJX209" s="9"/>
      <c r="MJY209" s="9"/>
      <c r="MJZ209" s="9"/>
      <c r="MKA209" s="9"/>
      <c r="MKC209" s="9"/>
      <c r="MKD209" s="9"/>
      <c r="MKE209" s="9"/>
      <c r="MKF209" s="9"/>
      <c r="MKG209" s="9"/>
      <c r="MKH209" s="9"/>
      <c r="MKI209" s="9"/>
      <c r="MKJ209" s="9"/>
      <c r="MKK209" s="9"/>
      <c r="MKM209" s="9"/>
      <c r="MKN209" s="9"/>
      <c r="MKO209" s="9"/>
      <c r="MKP209" s="9"/>
      <c r="MKQ209" s="9"/>
      <c r="MKR209" s="9"/>
      <c r="MKS209" s="9"/>
      <c r="MKT209" s="9"/>
      <c r="MKU209" s="9"/>
      <c r="MKW209" s="9"/>
      <c r="MKX209" s="9"/>
      <c r="MKY209" s="9"/>
      <c r="MKZ209" s="9"/>
      <c r="MLA209" s="9"/>
      <c r="MLB209" s="9"/>
      <c r="MLC209" s="9"/>
      <c r="MLD209" s="9"/>
      <c r="MLE209" s="9"/>
      <c r="MLG209" s="9"/>
      <c r="MLH209" s="9"/>
      <c r="MLI209" s="9"/>
      <c r="MLJ209" s="9"/>
      <c r="MLK209" s="9"/>
      <c r="MLL209" s="9"/>
      <c r="MLM209" s="9"/>
      <c r="MLN209" s="9"/>
      <c r="MLO209" s="9"/>
      <c r="MLQ209" s="9"/>
      <c r="MLR209" s="9"/>
      <c r="MLS209" s="9"/>
      <c r="MLT209" s="9"/>
      <c r="MLU209" s="9"/>
      <c r="MLV209" s="9"/>
      <c r="MLW209" s="9"/>
      <c r="MLX209" s="9"/>
      <c r="MLY209" s="9"/>
      <c r="MMA209" s="9"/>
      <c r="MMB209" s="9"/>
      <c r="MMC209" s="9"/>
      <c r="MMD209" s="9"/>
      <c r="MME209" s="9"/>
      <c r="MMF209" s="9"/>
      <c r="MMG209" s="9"/>
      <c r="MMH209" s="9"/>
      <c r="MMI209" s="9"/>
      <c r="MMK209" s="9"/>
      <c r="MML209" s="9"/>
      <c r="MMM209" s="9"/>
      <c r="MMN209" s="9"/>
      <c r="MMO209" s="9"/>
      <c r="MMP209" s="9"/>
      <c r="MMQ209" s="9"/>
      <c r="MMR209" s="9"/>
      <c r="MMS209" s="9"/>
      <c r="MMU209" s="9"/>
      <c r="MMV209" s="9"/>
      <c r="MMW209" s="9"/>
      <c r="MMX209" s="9"/>
      <c r="MMY209" s="9"/>
      <c r="MMZ209" s="9"/>
      <c r="MNA209" s="9"/>
      <c r="MNB209" s="9"/>
      <c r="MNC209" s="9"/>
      <c r="MNE209" s="9"/>
      <c r="MNF209" s="9"/>
      <c r="MNG209" s="9"/>
      <c r="MNH209" s="9"/>
      <c r="MNI209" s="9"/>
      <c r="MNJ209" s="9"/>
      <c r="MNK209" s="9"/>
      <c r="MNL209" s="9"/>
      <c r="MNM209" s="9"/>
      <c r="MNO209" s="9"/>
      <c r="MNP209" s="9"/>
      <c r="MNQ209" s="9"/>
      <c r="MNR209" s="9"/>
      <c r="MNS209" s="9"/>
      <c r="MNT209" s="9"/>
      <c r="MNU209" s="9"/>
      <c r="MNV209" s="9"/>
      <c r="MNW209" s="9"/>
      <c r="MNY209" s="9"/>
      <c r="MNZ209" s="9"/>
      <c r="MOA209" s="9"/>
      <c r="MOB209" s="9"/>
      <c r="MOC209" s="9"/>
      <c r="MOD209" s="9"/>
      <c r="MOE209" s="9"/>
      <c r="MOF209" s="9"/>
      <c r="MOG209" s="9"/>
      <c r="MOI209" s="9"/>
      <c r="MOJ209" s="9"/>
      <c r="MOK209" s="9"/>
      <c r="MOL209" s="9"/>
      <c r="MOM209" s="9"/>
      <c r="MON209" s="9"/>
      <c r="MOO209" s="9"/>
      <c r="MOP209" s="9"/>
      <c r="MOQ209" s="9"/>
      <c r="MOS209" s="9"/>
      <c r="MOT209" s="9"/>
      <c r="MOU209" s="9"/>
      <c r="MOV209" s="9"/>
      <c r="MOW209" s="9"/>
      <c r="MOX209" s="9"/>
      <c r="MOY209" s="9"/>
      <c r="MOZ209" s="9"/>
      <c r="MPA209" s="9"/>
      <c r="MPC209" s="9"/>
      <c r="MPD209" s="9"/>
      <c r="MPE209" s="9"/>
      <c r="MPF209" s="9"/>
      <c r="MPG209" s="9"/>
      <c r="MPH209" s="9"/>
      <c r="MPI209" s="9"/>
      <c r="MPJ209" s="9"/>
      <c r="MPK209" s="9"/>
      <c r="MPM209" s="9"/>
      <c r="MPN209" s="9"/>
      <c r="MPO209" s="9"/>
      <c r="MPP209" s="9"/>
      <c r="MPQ209" s="9"/>
      <c r="MPR209" s="9"/>
      <c r="MPS209" s="9"/>
      <c r="MPT209" s="9"/>
      <c r="MPU209" s="9"/>
      <c r="MPW209" s="9"/>
      <c r="MPX209" s="9"/>
      <c r="MPY209" s="9"/>
      <c r="MPZ209" s="9"/>
      <c r="MQA209" s="9"/>
      <c r="MQB209" s="9"/>
      <c r="MQC209" s="9"/>
      <c r="MQD209" s="9"/>
      <c r="MQE209" s="9"/>
      <c r="MQG209" s="9"/>
      <c r="MQH209" s="9"/>
      <c r="MQI209" s="9"/>
      <c r="MQJ209" s="9"/>
      <c r="MQK209" s="9"/>
      <c r="MQL209" s="9"/>
      <c r="MQM209" s="9"/>
      <c r="MQN209" s="9"/>
      <c r="MQO209" s="9"/>
      <c r="MQQ209" s="9"/>
      <c r="MQR209" s="9"/>
      <c r="MQS209" s="9"/>
      <c r="MQT209" s="9"/>
      <c r="MQU209" s="9"/>
      <c r="MQV209" s="9"/>
      <c r="MQW209" s="9"/>
      <c r="MQX209" s="9"/>
      <c r="MQY209" s="9"/>
      <c r="MRA209" s="9"/>
      <c r="MRB209" s="9"/>
      <c r="MRC209" s="9"/>
      <c r="MRD209" s="9"/>
      <c r="MRE209" s="9"/>
      <c r="MRF209" s="9"/>
      <c r="MRG209" s="9"/>
      <c r="MRH209" s="9"/>
      <c r="MRI209" s="9"/>
      <c r="MRK209" s="9"/>
      <c r="MRL209" s="9"/>
      <c r="MRM209" s="9"/>
      <c r="MRN209" s="9"/>
      <c r="MRO209" s="9"/>
      <c r="MRP209" s="9"/>
      <c r="MRQ209" s="9"/>
      <c r="MRR209" s="9"/>
      <c r="MRS209" s="9"/>
      <c r="MRU209" s="9"/>
      <c r="MRV209" s="9"/>
      <c r="MRW209" s="9"/>
      <c r="MRX209" s="9"/>
      <c r="MRY209" s="9"/>
      <c r="MRZ209" s="9"/>
      <c r="MSA209" s="9"/>
      <c r="MSB209" s="9"/>
      <c r="MSC209" s="9"/>
      <c r="MSE209" s="9"/>
      <c r="MSF209" s="9"/>
      <c r="MSG209" s="9"/>
      <c r="MSH209" s="9"/>
      <c r="MSI209" s="9"/>
      <c r="MSJ209" s="9"/>
      <c r="MSK209" s="9"/>
      <c r="MSL209" s="9"/>
      <c r="MSM209" s="9"/>
      <c r="MSO209" s="9"/>
      <c r="MSP209" s="9"/>
      <c r="MSQ209" s="9"/>
      <c r="MSR209" s="9"/>
      <c r="MSS209" s="9"/>
      <c r="MST209" s="9"/>
      <c r="MSU209" s="9"/>
      <c r="MSV209" s="9"/>
      <c r="MSW209" s="9"/>
      <c r="MSY209" s="9"/>
      <c r="MSZ209" s="9"/>
      <c r="MTA209" s="9"/>
      <c r="MTB209" s="9"/>
      <c r="MTC209" s="9"/>
      <c r="MTD209" s="9"/>
      <c r="MTE209" s="9"/>
      <c r="MTF209" s="9"/>
      <c r="MTG209" s="9"/>
      <c r="MTI209" s="9"/>
      <c r="MTJ209" s="9"/>
      <c r="MTK209" s="9"/>
      <c r="MTL209" s="9"/>
      <c r="MTM209" s="9"/>
      <c r="MTN209" s="9"/>
      <c r="MTO209" s="9"/>
      <c r="MTP209" s="9"/>
      <c r="MTQ209" s="9"/>
      <c r="MTS209" s="9"/>
      <c r="MTT209" s="9"/>
      <c r="MTU209" s="9"/>
      <c r="MTV209" s="9"/>
      <c r="MTW209" s="9"/>
      <c r="MTX209" s="9"/>
      <c r="MTY209" s="9"/>
      <c r="MTZ209" s="9"/>
      <c r="MUA209" s="9"/>
      <c r="MUC209" s="9"/>
      <c r="MUD209" s="9"/>
      <c r="MUE209" s="9"/>
      <c r="MUF209" s="9"/>
      <c r="MUG209" s="9"/>
      <c r="MUH209" s="9"/>
      <c r="MUI209" s="9"/>
      <c r="MUJ209" s="9"/>
      <c r="MUK209" s="9"/>
      <c r="MUM209" s="9"/>
      <c r="MUN209" s="9"/>
      <c r="MUO209" s="9"/>
      <c r="MUP209" s="9"/>
      <c r="MUQ209" s="9"/>
      <c r="MUR209" s="9"/>
      <c r="MUS209" s="9"/>
      <c r="MUT209" s="9"/>
      <c r="MUU209" s="9"/>
      <c r="MUW209" s="9"/>
      <c r="MUX209" s="9"/>
      <c r="MUY209" s="9"/>
      <c r="MUZ209" s="9"/>
      <c r="MVA209" s="9"/>
      <c r="MVB209" s="9"/>
      <c r="MVC209" s="9"/>
      <c r="MVD209" s="9"/>
      <c r="MVE209" s="9"/>
      <c r="MVG209" s="9"/>
      <c r="MVH209" s="9"/>
      <c r="MVI209" s="9"/>
      <c r="MVJ209" s="9"/>
      <c r="MVK209" s="9"/>
      <c r="MVL209" s="9"/>
      <c r="MVM209" s="9"/>
      <c r="MVN209" s="9"/>
      <c r="MVO209" s="9"/>
      <c r="MVQ209" s="9"/>
      <c r="MVR209" s="9"/>
      <c r="MVS209" s="9"/>
      <c r="MVT209" s="9"/>
      <c r="MVU209" s="9"/>
      <c r="MVV209" s="9"/>
      <c r="MVW209" s="9"/>
      <c r="MVX209" s="9"/>
      <c r="MVY209" s="9"/>
      <c r="MWA209" s="9"/>
      <c r="MWB209" s="9"/>
      <c r="MWC209" s="9"/>
      <c r="MWD209" s="9"/>
      <c r="MWE209" s="9"/>
      <c r="MWF209" s="9"/>
      <c r="MWG209" s="9"/>
      <c r="MWH209" s="9"/>
      <c r="MWI209" s="9"/>
      <c r="MWK209" s="9"/>
      <c r="MWL209" s="9"/>
      <c r="MWM209" s="9"/>
      <c r="MWN209" s="9"/>
      <c r="MWO209" s="9"/>
      <c r="MWP209" s="9"/>
      <c r="MWQ209" s="9"/>
      <c r="MWR209" s="9"/>
      <c r="MWS209" s="9"/>
      <c r="MWU209" s="9"/>
      <c r="MWV209" s="9"/>
      <c r="MWW209" s="9"/>
      <c r="MWX209" s="9"/>
      <c r="MWY209" s="9"/>
      <c r="MWZ209" s="9"/>
      <c r="MXA209" s="9"/>
      <c r="MXB209" s="9"/>
      <c r="MXC209" s="9"/>
      <c r="MXE209" s="9"/>
      <c r="MXF209" s="9"/>
      <c r="MXG209" s="9"/>
      <c r="MXH209" s="9"/>
      <c r="MXI209" s="9"/>
      <c r="MXJ209" s="9"/>
      <c r="MXK209" s="9"/>
      <c r="MXL209" s="9"/>
      <c r="MXM209" s="9"/>
      <c r="MXO209" s="9"/>
      <c r="MXP209" s="9"/>
      <c r="MXQ209" s="9"/>
      <c r="MXR209" s="9"/>
      <c r="MXS209" s="9"/>
      <c r="MXT209" s="9"/>
      <c r="MXU209" s="9"/>
      <c r="MXV209" s="9"/>
      <c r="MXW209" s="9"/>
      <c r="MXY209" s="9"/>
      <c r="MXZ209" s="9"/>
      <c r="MYA209" s="9"/>
      <c r="MYB209" s="9"/>
      <c r="MYC209" s="9"/>
      <c r="MYD209" s="9"/>
      <c r="MYE209" s="9"/>
      <c r="MYF209" s="9"/>
      <c r="MYG209" s="9"/>
      <c r="MYI209" s="9"/>
      <c r="MYJ209" s="9"/>
      <c r="MYK209" s="9"/>
      <c r="MYL209" s="9"/>
      <c r="MYM209" s="9"/>
      <c r="MYN209" s="9"/>
      <c r="MYO209" s="9"/>
      <c r="MYP209" s="9"/>
      <c r="MYQ209" s="9"/>
      <c r="MYS209" s="9"/>
      <c r="MYT209" s="9"/>
      <c r="MYU209" s="9"/>
      <c r="MYV209" s="9"/>
      <c r="MYW209" s="9"/>
      <c r="MYX209" s="9"/>
      <c r="MYY209" s="9"/>
      <c r="MYZ209" s="9"/>
      <c r="MZA209" s="9"/>
      <c r="MZC209" s="9"/>
      <c r="MZD209" s="9"/>
      <c r="MZE209" s="9"/>
      <c r="MZF209" s="9"/>
      <c r="MZG209" s="9"/>
      <c r="MZH209" s="9"/>
      <c r="MZI209" s="9"/>
      <c r="MZJ209" s="9"/>
      <c r="MZK209" s="9"/>
      <c r="MZM209" s="9"/>
      <c r="MZN209" s="9"/>
      <c r="MZO209" s="9"/>
      <c r="MZP209" s="9"/>
      <c r="MZQ209" s="9"/>
      <c r="MZR209" s="9"/>
      <c r="MZS209" s="9"/>
      <c r="MZT209" s="9"/>
      <c r="MZU209" s="9"/>
      <c r="MZW209" s="9"/>
      <c r="MZX209" s="9"/>
      <c r="MZY209" s="9"/>
      <c r="MZZ209" s="9"/>
      <c r="NAA209" s="9"/>
      <c r="NAB209" s="9"/>
      <c r="NAC209" s="9"/>
      <c r="NAD209" s="9"/>
      <c r="NAE209" s="9"/>
      <c r="NAG209" s="9"/>
      <c r="NAH209" s="9"/>
      <c r="NAI209" s="9"/>
      <c r="NAJ209" s="9"/>
      <c r="NAK209" s="9"/>
      <c r="NAL209" s="9"/>
      <c r="NAM209" s="9"/>
      <c r="NAN209" s="9"/>
      <c r="NAO209" s="9"/>
      <c r="NAQ209" s="9"/>
      <c r="NAR209" s="9"/>
      <c r="NAS209" s="9"/>
      <c r="NAT209" s="9"/>
      <c r="NAU209" s="9"/>
      <c r="NAV209" s="9"/>
      <c r="NAW209" s="9"/>
      <c r="NAX209" s="9"/>
      <c r="NAY209" s="9"/>
      <c r="NBA209" s="9"/>
      <c r="NBB209" s="9"/>
      <c r="NBC209" s="9"/>
      <c r="NBD209" s="9"/>
      <c r="NBE209" s="9"/>
      <c r="NBF209" s="9"/>
      <c r="NBG209" s="9"/>
      <c r="NBH209" s="9"/>
      <c r="NBI209" s="9"/>
      <c r="NBK209" s="9"/>
      <c r="NBL209" s="9"/>
      <c r="NBM209" s="9"/>
      <c r="NBN209" s="9"/>
      <c r="NBO209" s="9"/>
      <c r="NBP209" s="9"/>
      <c r="NBQ209" s="9"/>
      <c r="NBR209" s="9"/>
      <c r="NBS209" s="9"/>
      <c r="NBU209" s="9"/>
      <c r="NBV209" s="9"/>
      <c r="NBW209" s="9"/>
      <c r="NBX209" s="9"/>
      <c r="NBY209" s="9"/>
      <c r="NBZ209" s="9"/>
      <c r="NCA209" s="9"/>
      <c r="NCB209" s="9"/>
      <c r="NCC209" s="9"/>
      <c r="NCE209" s="9"/>
      <c r="NCF209" s="9"/>
      <c r="NCG209" s="9"/>
      <c r="NCH209" s="9"/>
      <c r="NCI209" s="9"/>
      <c r="NCJ209" s="9"/>
      <c r="NCK209" s="9"/>
      <c r="NCL209" s="9"/>
      <c r="NCM209" s="9"/>
      <c r="NCO209" s="9"/>
      <c r="NCP209" s="9"/>
      <c r="NCQ209" s="9"/>
      <c r="NCR209" s="9"/>
      <c r="NCS209" s="9"/>
      <c r="NCT209" s="9"/>
      <c r="NCU209" s="9"/>
      <c r="NCV209" s="9"/>
      <c r="NCW209" s="9"/>
      <c r="NCY209" s="9"/>
      <c r="NCZ209" s="9"/>
      <c r="NDA209" s="9"/>
      <c r="NDB209" s="9"/>
      <c r="NDC209" s="9"/>
      <c r="NDD209" s="9"/>
      <c r="NDE209" s="9"/>
      <c r="NDF209" s="9"/>
      <c r="NDG209" s="9"/>
      <c r="NDI209" s="9"/>
      <c r="NDJ209" s="9"/>
      <c r="NDK209" s="9"/>
      <c r="NDL209" s="9"/>
      <c r="NDM209" s="9"/>
      <c r="NDN209" s="9"/>
      <c r="NDO209" s="9"/>
      <c r="NDP209" s="9"/>
      <c r="NDQ209" s="9"/>
      <c r="NDS209" s="9"/>
      <c r="NDT209" s="9"/>
      <c r="NDU209" s="9"/>
      <c r="NDV209" s="9"/>
      <c r="NDW209" s="9"/>
      <c r="NDX209" s="9"/>
      <c r="NDY209" s="9"/>
      <c r="NDZ209" s="9"/>
      <c r="NEA209" s="9"/>
      <c r="NEC209" s="9"/>
      <c r="NED209" s="9"/>
      <c r="NEE209" s="9"/>
      <c r="NEF209" s="9"/>
      <c r="NEG209" s="9"/>
      <c r="NEH209" s="9"/>
      <c r="NEI209" s="9"/>
      <c r="NEJ209" s="9"/>
      <c r="NEK209" s="9"/>
      <c r="NEM209" s="9"/>
      <c r="NEN209" s="9"/>
      <c r="NEO209" s="9"/>
      <c r="NEP209" s="9"/>
      <c r="NEQ209" s="9"/>
      <c r="NER209" s="9"/>
      <c r="NES209" s="9"/>
      <c r="NET209" s="9"/>
      <c r="NEU209" s="9"/>
      <c r="NEW209" s="9"/>
      <c r="NEX209" s="9"/>
      <c r="NEY209" s="9"/>
      <c r="NEZ209" s="9"/>
      <c r="NFA209" s="9"/>
      <c r="NFB209" s="9"/>
      <c r="NFC209" s="9"/>
      <c r="NFD209" s="9"/>
      <c r="NFE209" s="9"/>
      <c r="NFG209" s="9"/>
      <c r="NFH209" s="9"/>
      <c r="NFI209" s="9"/>
      <c r="NFJ209" s="9"/>
      <c r="NFK209" s="9"/>
      <c r="NFL209" s="9"/>
      <c r="NFM209" s="9"/>
      <c r="NFN209" s="9"/>
      <c r="NFO209" s="9"/>
      <c r="NFQ209" s="9"/>
      <c r="NFR209" s="9"/>
      <c r="NFS209" s="9"/>
      <c r="NFT209" s="9"/>
      <c r="NFU209" s="9"/>
      <c r="NFV209" s="9"/>
      <c r="NFW209" s="9"/>
      <c r="NFX209" s="9"/>
      <c r="NFY209" s="9"/>
      <c r="NGA209" s="9"/>
      <c r="NGB209" s="9"/>
      <c r="NGC209" s="9"/>
      <c r="NGD209" s="9"/>
      <c r="NGE209" s="9"/>
      <c r="NGF209" s="9"/>
      <c r="NGG209" s="9"/>
      <c r="NGH209" s="9"/>
      <c r="NGI209" s="9"/>
      <c r="NGK209" s="9"/>
      <c r="NGL209" s="9"/>
      <c r="NGM209" s="9"/>
      <c r="NGN209" s="9"/>
      <c r="NGO209" s="9"/>
      <c r="NGP209" s="9"/>
      <c r="NGQ209" s="9"/>
      <c r="NGR209" s="9"/>
      <c r="NGS209" s="9"/>
      <c r="NGU209" s="9"/>
      <c r="NGV209" s="9"/>
      <c r="NGW209" s="9"/>
      <c r="NGX209" s="9"/>
      <c r="NGY209" s="9"/>
      <c r="NGZ209" s="9"/>
      <c r="NHA209" s="9"/>
      <c r="NHB209" s="9"/>
      <c r="NHC209" s="9"/>
      <c r="NHE209" s="9"/>
      <c r="NHF209" s="9"/>
      <c r="NHG209" s="9"/>
      <c r="NHH209" s="9"/>
      <c r="NHI209" s="9"/>
      <c r="NHJ209" s="9"/>
      <c r="NHK209" s="9"/>
      <c r="NHL209" s="9"/>
      <c r="NHM209" s="9"/>
      <c r="NHO209" s="9"/>
      <c r="NHP209" s="9"/>
      <c r="NHQ209" s="9"/>
      <c r="NHR209" s="9"/>
      <c r="NHS209" s="9"/>
      <c r="NHT209" s="9"/>
      <c r="NHU209" s="9"/>
      <c r="NHV209" s="9"/>
      <c r="NHW209" s="9"/>
      <c r="NHY209" s="9"/>
      <c r="NHZ209" s="9"/>
      <c r="NIA209" s="9"/>
      <c r="NIB209" s="9"/>
      <c r="NIC209" s="9"/>
      <c r="NID209" s="9"/>
      <c r="NIE209" s="9"/>
      <c r="NIF209" s="9"/>
      <c r="NIG209" s="9"/>
      <c r="NII209" s="9"/>
      <c r="NIJ209" s="9"/>
      <c r="NIK209" s="9"/>
      <c r="NIL209" s="9"/>
      <c r="NIM209" s="9"/>
      <c r="NIN209" s="9"/>
      <c r="NIO209" s="9"/>
      <c r="NIP209" s="9"/>
      <c r="NIQ209" s="9"/>
      <c r="NIS209" s="9"/>
      <c r="NIT209" s="9"/>
      <c r="NIU209" s="9"/>
      <c r="NIV209" s="9"/>
      <c r="NIW209" s="9"/>
      <c r="NIX209" s="9"/>
      <c r="NIY209" s="9"/>
      <c r="NIZ209" s="9"/>
      <c r="NJA209" s="9"/>
      <c r="NJC209" s="9"/>
      <c r="NJD209" s="9"/>
      <c r="NJE209" s="9"/>
      <c r="NJF209" s="9"/>
      <c r="NJG209" s="9"/>
      <c r="NJH209" s="9"/>
      <c r="NJI209" s="9"/>
      <c r="NJJ209" s="9"/>
      <c r="NJK209" s="9"/>
      <c r="NJM209" s="9"/>
      <c r="NJN209" s="9"/>
      <c r="NJO209" s="9"/>
      <c r="NJP209" s="9"/>
      <c r="NJQ209" s="9"/>
      <c r="NJR209" s="9"/>
      <c r="NJS209" s="9"/>
      <c r="NJT209" s="9"/>
      <c r="NJU209" s="9"/>
      <c r="NJW209" s="9"/>
      <c r="NJX209" s="9"/>
      <c r="NJY209" s="9"/>
      <c r="NJZ209" s="9"/>
      <c r="NKA209" s="9"/>
      <c r="NKB209" s="9"/>
      <c r="NKC209" s="9"/>
      <c r="NKD209" s="9"/>
      <c r="NKE209" s="9"/>
      <c r="NKG209" s="9"/>
      <c r="NKH209" s="9"/>
      <c r="NKI209" s="9"/>
      <c r="NKJ209" s="9"/>
      <c r="NKK209" s="9"/>
      <c r="NKL209" s="9"/>
      <c r="NKM209" s="9"/>
      <c r="NKN209" s="9"/>
      <c r="NKO209" s="9"/>
      <c r="NKQ209" s="9"/>
      <c r="NKR209" s="9"/>
      <c r="NKS209" s="9"/>
      <c r="NKT209" s="9"/>
      <c r="NKU209" s="9"/>
      <c r="NKV209" s="9"/>
      <c r="NKW209" s="9"/>
      <c r="NKX209" s="9"/>
      <c r="NKY209" s="9"/>
      <c r="NLA209" s="9"/>
      <c r="NLB209" s="9"/>
      <c r="NLC209" s="9"/>
      <c r="NLD209" s="9"/>
      <c r="NLE209" s="9"/>
      <c r="NLF209" s="9"/>
      <c r="NLG209" s="9"/>
      <c r="NLH209" s="9"/>
      <c r="NLI209" s="9"/>
      <c r="NLK209" s="9"/>
      <c r="NLL209" s="9"/>
      <c r="NLM209" s="9"/>
      <c r="NLN209" s="9"/>
      <c r="NLO209" s="9"/>
      <c r="NLP209" s="9"/>
      <c r="NLQ209" s="9"/>
      <c r="NLR209" s="9"/>
      <c r="NLS209" s="9"/>
      <c r="NLU209" s="9"/>
      <c r="NLV209" s="9"/>
      <c r="NLW209" s="9"/>
      <c r="NLX209" s="9"/>
      <c r="NLY209" s="9"/>
      <c r="NLZ209" s="9"/>
      <c r="NMA209" s="9"/>
      <c r="NMB209" s="9"/>
      <c r="NMC209" s="9"/>
      <c r="NME209" s="9"/>
      <c r="NMF209" s="9"/>
      <c r="NMG209" s="9"/>
      <c r="NMH209" s="9"/>
      <c r="NMI209" s="9"/>
      <c r="NMJ209" s="9"/>
      <c r="NMK209" s="9"/>
      <c r="NML209" s="9"/>
      <c r="NMM209" s="9"/>
      <c r="NMO209" s="9"/>
      <c r="NMP209" s="9"/>
      <c r="NMQ209" s="9"/>
      <c r="NMR209" s="9"/>
      <c r="NMS209" s="9"/>
      <c r="NMT209" s="9"/>
      <c r="NMU209" s="9"/>
      <c r="NMV209" s="9"/>
      <c r="NMW209" s="9"/>
      <c r="NMY209" s="9"/>
      <c r="NMZ209" s="9"/>
      <c r="NNA209" s="9"/>
      <c r="NNB209" s="9"/>
      <c r="NNC209" s="9"/>
      <c r="NND209" s="9"/>
      <c r="NNE209" s="9"/>
      <c r="NNF209" s="9"/>
      <c r="NNG209" s="9"/>
      <c r="NNI209" s="9"/>
      <c r="NNJ209" s="9"/>
      <c r="NNK209" s="9"/>
      <c r="NNL209" s="9"/>
      <c r="NNM209" s="9"/>
      <c r="NNN209" s="9"/>
      <c r="NNO209" s="9"/>
      <c r="NNP209" s="9"/>
      <c r="NNQ209" s="9"/>
      <c r="NNS209" s="9"/>
      <c r="NNT209" s="9"/>
      <c r="NNU209" s="9"/>
      <c r="NNV209" s="9"/>
      <c r="NNW209" s="9"/>
      <c r="NNX209" s="9"/>
      <c r="NNY209" s="9"/>
      <c r="NNZ209" s="9"/>
      <c r="NOA209" s="9"/>
      <c r="NOC209" s="9"/>
      <c r="NOD209" s="9"/>
      <c r="NOE209" s="9"/>
      <c r="NOF209" s="9"/>
      <c r="NOG209" s="9"/>
      <c r="NOH209" s="9"/>
      <c r="NOI209" s="9"/>
      <c r="NOJ209" s="9"/>
      <c r="NOK209" s="9"/>
      <c r="NOM209" s="9"/>
      <c r="NON209" s="9"/>
      <c r="NOO209" s="9"/>
      <c r="NOP209" s="9"/>
      <c r="NOQ209" s="9"/>
      <c r="NOR209" s="9"/>
      <c r="NOS209" s="9"/>
      <c r="NOT209" s="9"/>
      <c r="NOU209" s="9"/>
      <c r="NOW209" s="9"/>
      <c r="NOX209" s="9"/>
      <c r="NOY209" s="9"/>
      <c r="NOZ209" s="9"/>
      <c r="NPA209" s="9"/>
      <c r="NPB209" s="9"/>
      <c r="NPC209" s="9"/>
      <c r="NPD209" s="9"/>
      <c r="NPE209" s="9"/>
      <c r="NPG209" s="9"/>
      <c r="NPH209" s="9"/>
      <c r="NPI209" s="9"/>
      <c r="NPJ209" s="9"/>
      <c r="NPK209" s="9"/>
      <c r="NPL209" s="9"/>
      <c r="NPM209" s="9"/>
      <c r="NPN209" s="9"/>
      <c r="NPO209" s="9"/>
      <c r="NPQ209" s="9"/>
      <c r="NPR209" s="9"/>
      <c r="NPS209" s="9"/>
      <c r="NPT209" s="9"/>
      <c r="NPU209" s="9"/>
      <c r="NPV209" s="9"/>
      <c r="NPW209" s="9"/>
      <c r="NPX209" s="9"/>
      <c r="NPY209" s="9"/>
      <c r="NQA209" s="9"/>
      <c r="NQB209" s="9"/>
      <c r="NQC209" s="9"/>
      <c r="NQD209" s="9"/>
      <c r="NQE209" s="9"/>
      <c r="NQF209" s="9"/>
      <c r="NQG209" s="9"/>
      <c r="NQH209" s="9"/>
      <c r="NQI209" s="9"/>
      <c r="NQK209" s="9"/>
      <c r="NQL209" s="9"/>
      <c r="NQM209" s="9"/>
      <c r="NQN209" s="9"/>
      <c r="NQO209" s="9"/>
      <c r="NQP209" s="9"/>
      <c r="NQQ209" s="9"/>
      <c r="NQR209" s="9"/>
      <c r="NQS209" s="9"/>
      <c r="NQU209" s="9"/>
      <c r="NQV209" s="9"/>
      <c r="NQW209" s="9"/>
      <c r="NQX209" s="9"/>
      <c r="NQY209" s="9"/>
      <c r="NQZ209" s="9"/>
      <c r="NRA209" s="9"/>
      <c r="NRB209" s="9"/>
      <c r="NRC209" s="9"/>
      <c r="NRE209" s="9"/>
      <c r="NRF209" s="9"/>
      <c r="NRG209" s="9"/>
      <c r="NRH209" s="9"/>
      <c r="NRI209" s="9"/>
      <c r="NRJ209" s="9"/>
      <c r="NRK209" s="9"/>
      <c r="NRL209" s="9"/>
      <c r="NRM209" s="9"/>
      <c r="NRO209" s="9"/>
      <c r="NRP209" s="9"/>
      <c r="NRQ209" s="9"/>
      <c r="NRR209" s="9"/>
      <c r="NRS209" s="9"/>
      <c r="NRT209" s="9"/>
      <c r="NRU209" s="9"/>
      <c r="NRV209" s="9"/>
      <c r="NRW209" s="9"/>
      <c r="NRY209" s="9"/>
      <c r="NRZ209" s="9"/>
      <c r="NSA209" s="9"/>
      <c r="NSB209" s="9"/>
      <c r="NSC209" s="9"/>
      <c r="NSD209" s="9"/>
      <c r="NSE209" s="9"/>
      <c r="NSF209" s="9"/>
      <c r="NSG209" s="9"/>
      <c r="NSI209" s="9"/>
      <c r="NSJ209" s="9"/>
      <c r="NSK209" s="9"/>
      <c r="NSL209" s="9"/>
      <c r="NSM209" s="9"/>
      <c r="NSN209" s="9"/>
      <c r="NSO209" s="9"/>
      <c r="NSP209" s="9"/>
      <c r="NSQ209" s="9"/>
      <c r="NSS209" s="9"/>
      <c r="NST209" s="9"/>
      <c r="NSU209" s="9"/>
      <c r="NSV209" s="9"/>
      <c r="NSW209" s="9"/>
      <c r="NSX209" s="9"/>
      <c r="NSY209" s="9"/>
      <c r="NSZ209" s="9"/>
      <c r="NTA209" s="9"/>
      <c r="NTC209" s="9"/>
      <c r="NTD209" s="9"/>
      <c r="NTE209" s="9"/>
      <c r="NTF209" s="9"/>
      <c r="NTG209" s="9"/>
      <c r="NTH209" s="9"/>
      <c r="NTI209" s="9"/>
      <c r="NTJ209" s="9"/>
      <c r="NTK209" s="9"/>
      <c r="NTM209" s="9"/>
      <c r="NTN209" s="9"/>
      <c r="NTO209" s="9"/>
      <c r="NTP209" s="9"/>
      <c r="NTQ209" s="9"/>
      <c r="NTR209" s="9"/>
      <c r="NTS209" s="9"/>
      <c r="NTT209" s="9"/>
      <c r="NTU209" s="9"/>
      <c r="NTW209" s="9"/>
      <c r="NTX209" s="9"/>
      <c r="NTY209" s="9"/>
      <c r="NTZ209" s="9"/>
      <c r="NUA209" s="9"/>
      <c r="NUB209" s="9"/>
      <c r="NUC209" s="9"/>
      <c r="NUD209" s="9"/>
      <c r="NUE209" s="9"/>
      <c r="NUG209" s="9"/>
      <c r="NUH209" s="9"/>
      <c r="NUI209" s="9"/>
      <c r="NUJ209" s="9"/>
      <c r="NUK209" s="9"/>
      <c r="NUL209" s="9"/>
      <c r="NUM209" s="9"/>
      <c r="NUN209" s="9"/>
      <c r="NUO209" s="9"/>
      <c r="NUQ209" s="9"/>
      <c r="NUR209" s="9"/>
      <c r="NUS209" s="9"/>
      <c r="NUT209" s="9"/>
      <c r="NUU209" s="9"/>
      <c r="NUV209" s="9"/>
      <c r="NUW209" s="9"/>
      <c r="NUX209" s="9"/>
      <c r="NUY209" s="9"/>
      <c r="NVA209" s="9"/>
      <c r="NVB209" s="9"/>
      <c r="NVC209" s="9"/>
      <c r="NVD209" s="9"/>
      <c r="NVE209" s="9"/>
      <c r="NVF209" s="9"/>
      <c r="NVG209" s="9"/>
      <c r="NVH209" s="9"/>
      <c r="NVI209" s="9"/>
      <c r="NVK209" s="9"/>
      <c r="NVL209" s="9"/>
      <c r="NVM209" s="9"/>
      <c r="NVN209" s="9"/>
      <c r="NVO209" s="9"/>
      <c r="NVP209" s="9"/>
      <c r="NVQ209" s="9"/>
      <c r="NVR209" s="9"/>
      <c r="NVS209" s="9"/>
      <c r="NVU209" s="9"/>
      <c r="NVV209" s="9"/>
      <c r="NVW209" s="9"/>
      <c r="NVX209" s="9"/>
      <c r="NVY209" s="9"/>
      <c r="NVZ209" s="9"/>
      <c r="NWA209" s="9"/>
      <c r="NWB209" s="9"/>
      <c r="NWC209" s="9"/>
      <c r="NWE209" s="9"/>
      <c r="NWF209" s="9"/>
      <c r="NWG209" s="9"/>
      <c r="NWH209" s="9"/>
      <c r="NWI209" s="9"/>
      <c r="NWJ209" s="9"/>
      <c r="NWK209" s="9"/>
      <c r="NWL209" s="9"/>
      <c r="NWM209" s="9"/>
      <c r="NWO209" s="9"/>
      <c r="NWP209" s="9"/>
      <c r="NWQ209" s="9"/>
      <c r="NWR209" s="9"/>
      <c r="NWS209" s="9"/>
      <c r="NWT209" s="9"/>
      <c r="NWU209" s="9"/>
      <c r="NWV209" s="9"/>
      <c r="NWW209" s="9"/>
      <c r="NWY209" s="9"/>
      <c r="NWZ209" s="9"/>
      <c r="NXA209" s="9"/>
      <c r="NXB209" s="9"/>
      <c r="NXC209" s="9"/>
      <c r="NXD209" s="9"/>
      <c r="NXE209" s="9"/>
      <c r="NXF209" s="9"/>
      <c r="NXG209" s="9"/>
      <c r="NXI209" s="9"/>
      <c r="NXJ209" s="9"/>
      <c r="NXK209" s="9"/>
      <c r="NXL209" s="9"/>
      <c r="NXM209" s="9"/>
      <c r="NXN209" s="9"/>
      <c r="NXO209" s="9"/>
      <c r="NXP209" s="9"/>
      <c r="NXQ209" s="9"/>
      <c r="NXS209" s="9"/>
      <c r="NXT209" s="9"/>
      <c r="NXU209" s="9"/>
      <c r="NXV209" s="9"/>
      <c r="NXW209" s="9"/>
      <c r="NXX209" s="9"/>
      <c r="NXY209" s="9"/>
      <c r="NXZ209" s="9"/>
      <c r="NYA209" s="9"/>
      <c r="NYC209" s="9"/>
      <c r="NYD209" s="9"/>
      <c r="NYE209" s="9"/>
      <c r="NYF209" s="9"/>
      <c r="NYG209" s="9"/>
      <c r="NYH209" s="9"/>
      <c r="NYI209" s="9"/>
      <c r="NYJ209" s="9"/>
      <c r="NYK209" s="9"/>
      <c r="NYM209" s="9"/>
      <c r="NYN209" s="9"/>
      <c r="NYO209" s="9"/>
      <c r="NYP209" s="9"/>
      <c r="NYQ209" s="9"/>
      <c r="NYR209" s="9"/>
      <c r="NYS209" s="9"/>
      <c r="NYT209" s="9"/>
      <c r="NYU209" s="9"/>
      <c r="NYW209" s="9"/>
      <c r="NYX209" s="9"/>
      <c r="NYY209" s="9"/>
      <c r="NYZ209" s="9"/>
      <c r="NZA209" s="9"/>
      <c r="NZB209" s="9"/>
      <c r="NZC209" s="9"/>
      <c r="NZD209" s="9"/>
      <c r="NZE209" s="9"/>
      <c r="NZG209" s="9"/>
      <c r="NZH209" s="9"/>
      <c r="NZI209" s="9"/>
      <c r="NZJ209" s="9"/>
      <c r="NZK209" s="9"/>
      <c r="NZL209" s="9"/>
      <c r="NZM209" s="9"/>
      <c r="NZN209" s="9"/>
      <c r="NZO209" s="9"/>
      <c r="NZQ209" s="9"/>
      <c r="NZR209" s="9"/>
      <c r="NZS209" s="9"/>
      <c r="NZT209" s="9"/>
      <c r="NZU209" s="9"/>
      <c r="NZV209" s="9"/>
      <c r="NZW209" s="9"/>
      <c r="NZX209" s="9"/>
      <c r="NZY209" s="9"/>
      <c r="OAA209" s="9"/>
      <c r="OAB209" s="9"/>
      <c r="OAC209" s="9"/>
      <c r="OAD209" s="9"/>
      <c r="OAE209" s="9"/>
      <c r="OAF209" s="9"/>
      <c r="OAG209" s="9"/>
      <c r="OAH209" s="9"/>
      <c r="OAI209" s="9"/>
      <c r="OAK209" s="9"/>
      <c r="OAL209" s="9"/>
      <c r="OAM209" s="9"/>
      <c r="OAN209" s="9"/>
      <c r="OAO209" s="9"/>
      <c r="OAP209" s="9"/>
      <c r="OAQ209" s="9"/>
      <c r="OAR209" s="9"/>
      <c r="OAS209" s="9"/>
      <c r="OAU209" s="9"/>
      <c r="OAV209" s="9"/>
      <c r="OAW209" s="9"/>
      <c r="OAX209" s="9"/>
      <c r="OAY209" s="9"/>
      <c r="OAZ209" s="9"/>
      <c r="OBA209" s="9"/>
      <c r="OBB209" s="9"/>
      <c r="OBC209" s="9"/>
      <c r="OBE209" s="9"/>
      <c r="OBF209" s="9"/>
      <c r="OBG209" s="9"/>
      <c r="OBH209" s="9"/>
      <c r="OBI209" s="9"/>
      <c r="OBJ209" s="9"/>
      <c r="OBK209" s="9"/>
      <c r="OBL209" s="9"/>
      <c r="OBM209" s="9"/>
      <c r="OBO209" s="9"/>
      <c r="OBP209" s="9"/>
      <c r="OBQ209" s="9"/>
      <c r="OBR209" s="9"/>
      <c r="OBS209" s="9"/>
      <c r="OBT209" s="9"/>
      <c r="OBU209" s="9"/>
      <c r="OBV209" s="9"/>
      <c r="OBW209" s="9"/>
      <c r="OBY209" s="9"/>
      <c r="OBZ209" s="9"/>
      <c r="OCA209" s="9"/>
      <c r="OCB209" s="9"/>
      <c r="OCC209" s="9"/>
      <c r="OCD209" s="9"/>
      <c r="OCE209" s="9"/>
      <c r="OCF209" s="9"/>
      <c r="OCG209" s="9"/>
      <c r="OCI209" s="9"/>
      <c r="OCJ209" s="9"/>
      <c r="OCK209" s="9"/>
      <c r="OCL209" s="9"/>
      <c r="OCM209" s="9"/>
      <c r="OCN209" s="9"/>
      <c r="OCO209" s="9"/>
      <c r="OCP209" s="9"/>
      <c r="OCQ209" s="9"/>
      <c r="OCS209" s="9"/>
      <c r="OCT209" s="9"/>
      <c r="OCU209" s="9"/>
      <c r="OCV209" s="9"/>
      <c r="OCW209" s="9"/>
      <c r="OCX209" s="9"/>
      <c r="OCY209" s="9"/>
      <c r="OCZ209" s="9"/>
      <c r="ODA209" s="9"/>
      <c r="ODC209" s="9"/>
      <c r="ODD209" s="9"/>
      <c r="ODE209" s="9"/>
      <c r="ODF209" s="9"/>
      <c r="ODG209" s="9"/>
      <c r="ODH209" s="9"/>
      <c r="ODI209" s="9"/>
      <c r="ODJ209" s="9"/>
      <c r="ODK209" s="9"/>
      <c r="ODM209" s="9"/>
      <c r="ODN209" s="9"/>
      <c r="ODO209" s="9"/>
      <c r="ODP209" s="9"/>
      <c r="ODQ209" s="9"/>
      <c r="ODR209" s="9"/>
      <c r="ODS209" s="9"/>
      <c r="ODT209" s="9"/>
      <c r="ODU209" s="9"/>
      <c r="ODW209" s="9"/>
      <c r="ODX209" s="9"/>
      <c r="ODY209" s="9"/>
      <c r="ODZ209" s="9"/>
      <c r="OEA209" s="9"/>
      <c r="OEB209" s="9"/>
      <c r="OEC209" s="9"/>
      <c r="OED209" s="9"/>
      <c r="OEE209" s="9"/>
      <c r="OEG209" s="9"/>
      <c r="OEH209" s="9"/>
      <c r="OEI209" s="9"/>
      <c r="OEJ209" s="9"/>
      <c r="OEK209" s="9"/>
      <c r="OEL209" s="9"/>
      <c r="OEM209" s="9"/>
      <c r="OEN209" s="9"/>
      <c r="OEO209" s="9"/>
      <c r="OEQ209" s="9"/>
      <c r="OER209" s="9"/>
      <c r="OES209" s="9"/>
      <c r="OET209" s="9"/>
      <c r="OEU209" s="9"/>
      <c r="OEV209" s="9"/>
      <c r="OEW209" s="9"/>
      <c r="OEX209" s="9"/>
      <c r="OEY209" s="9"/>
      <c r="OFA209" s="9"/>
      <c r="OFB209" s="9"/>
      <c r="OFC209" s="9"/>
      <c r="OFD209" s="9"/>
      <c r="OFE209" s="9"/>
      <c r="OFF209" s="9"/>
      <c r="OFG209" s="9"/>
      <c r="OFH209" s="9"/>
      <c r="OFI209" s="9"/>
      <c r="OFK209" s="9"/>
      <c r="OFL209" s="9"/>
      <c r="OFM209" s="9"/>
      <c r="OFN209" s="9"/>
      <c r="OFO209" s="9"/>
      <c r="OFP209" s="9"/>
      <c r="OFQ209" s="9"/>
      <c r="OFR209" s="9"/>
      <c r="OFS209" s="9"/>
      <c r="OFU209" s="9"/>
      <c r="OFV209" s="9"/>
      <c r="OFW209" s="9"/>
      <c r="OFX209" s="9"/>
      <c r="OFY209" s="9"/>
      <c r="OFZ209" s="9"/>
      <c r="OGA209" s="9"/>
      <c r="OGB209" s="9"/>
      <c r="OGC209" s="9"/>
      <c r="OGE209" s="9"/>
      <c r="OGF209" s="9"/>
      <c r="OGG209" s="9"/>
      <c r="OGH209" s="9"/>
      <c r="OGI209" s="9"/>
      <c r="OGJ209" s="9"/>
      <c r="OGK209" s="9"/>
      <c r="OGL209" s="9"/>
      <c r="OGM209" s="9"/>
      <c r="OGO209" s="9"/>
      <c r="OGP209" s="9"/>
      <c r="OGQ209" s="9"/>
      <c r="OGR209" s="9"/>
      <c r="OGS209" s="9"/>
      <c r="OGT209" s="9"/>
      <c r="OGU209" s="9"/>
      <c r="OGV209" s="9"/>
      <c r="OGW209" s="9"/>
      <c r="OGY209" s="9"/>
      <c r="OGZ209" s="9"/>
      <c r="OHA209" s="9"/>
      <c r="OHB209" s="9"/>
      <c r="OHC209" s="9"/>
      <c r="OHD209" s="9"/>
      <c r="OHE209" s="9"/>
      <c r="OHF209" s="9"/>
      <c r="OHG209" s="9"/>
      <c r="OHI209" s="9"/>
      <c r="OHJ209" s="9"/>
      <c r="OHK209" s="9"/>
      <c r="OHL209" s="9"/>
      <c r="OHM209" s="9"/>
      <c r="OHN209" s="9"/>
      <c r="OHO209" s="9"/>
      <c r="OHP209" s="9"/>
      <c r="OHQ209" s="9"/>
      <c r="OHS209" s="9"/>
      <c r="OHT209" s="9"/>
      <c r="OHU209" s="9"/>
      <c r="OHV209" s="9"/>
      <c r="OHW209" s="9"/>
      <c r="OHX209" s="9"/>
      <c r="OHY209" s="9"/>
      <c r="OHZ209" s="9"/>
      <c r="OIA209" s="9"/>
      <c r="OIC209" s="9"/>
      <c r="OID209" s="9"/>
      <c r="OIE209" s="9"/>
      <c r="OIF209" s="9"/>
      <c r="OIG209" s="9"/>
      <c r="OIH209" s="9"/>
      <c r="OII209" s="9"/>
      <c r="OIJ209" s="9"/>
      <c r="OIK209" s="9"/>
      <c r="OIM209" s="9"/>
      <c r="OIN209" s="9"/>
      <c r="OIO209" s="9"/>
      <c r="OIP209" s="9"/>
      <c r="OIQ209" s="9"/>
      <c r="OIR209" s="9"/>
      <c r="OIS209" s="9"/>
      <c r="OIT209" s="9"/>
      <c r="OIU209" s="9"/>
      <c r="OIW209" s="9"/>
      <c r="OIX209" s="9"/>
      <c r="OIY209" s="9"/>
      <c r="OIZ209" s="9"/>
      <c r="OJA209" s="9"/>
      <c r="OJB209" s="9"/>
      <c r="OJC209" s="9"/>
      <c r="OJD209" s="9"/>
      <c r="OJE209" s="9"/>
      <c r="OJG209" s="9"/>
      <c r="OJH209" s="9"/>
      <c r="OJI209" s="9"/>
      <c r="OJJ209" s="9"/>
      <c r="OJK209" s="9"/>
      <c r="OJL209" s="9"/>
      <c r="OJM209" s="9"/>
      <c r="OJN209" s="9"/>
      <c r="OJO209" s="9"/>
      <c r="OJQ209" s="9"/>
      <c r="OJR209" s="9"/>
      <c r="OJS209" s="9"/>
      <c r="OJT209" s="9"/>
      <c r="OJU209" s="9"/>
      <c r="OJV209" s="9"/>
      <c r="OJW209" s="9"/>
      <c r="OJX209" s="9"/>
      <c r="OJY209" s="9"/>
      <c r="OKA209" s="9"/>
      <c r="OKB209" s="9"/>
      <c r="OKC209" s="9"/>
      <c r="OKD209" s="9"/>
      <c r="OKE209" s="9"/>
      <c r="OKF209" s="9"/>
      <c r="OKG209" s="9"/>
      <c r="OKH209" s="9"/>
      <c r="OKI209" s="9"/>
      <c r="OKK209" s="9"/>
      <c r="OKL209" s="9"/>
      <c r="OKM209" s="9"/>
      <c r="OKN209" s="9"/>
      <c r="OKO209" s="9"/>
      <c r="OKP209" s="9"/>
      <c r="OKQ209" s="9"/>
      <c r="OKR209" s="9"/>
      <c r="OKS209" s="9"/>
      <c r="OKU209" s="9"/>
      <c r="OKV209" s="9"/>
      <c r="OKW209" s="9"/>
      <c r="OKX209" s="9"/>
      <c r="OKY209" s="9"/>
      <c r="OKZ209" s="9"/>
      <c r="OLA209" s="9"/>
      <c r="OLB209" s="9"/>
      <c r="OLC209" s="9"/>
      <c r="OLE209" s="9"/>
      <c r="OLF209" s="9"/>
      <c r="OLG209" s="9"/>
      <c r="OLH209" s="9"/>
      <c r="OLI209" s="9"/>
      <c r="OLJ209" s="9"/>
      <c r="OLK209" s="9"/>
      <c r="OLL209" s="9"/>
      <c r="OLM209" s="9"/>
      <c r="OLO209" s="9"/>
      <c r="OLP209" s="9"/>
      <c r="OLQ209" s="9"/>
      <c r="OLR209" s="9"/>
      <c r="OLS209" s="9"/>
      <c r="OLT209" s="9"/>
      <c r="OLU209" s="9"/>
      <c r="OLV209" s="9"/>
      <c r="OLW209" s="9"/>
      <c r="OLY209" s="9"/>
      <c r="OLZ209" s="9"/>
      <c r="OMA209" s="9"/>
      <c r="OMB209" s="9"/>
      <c r="OMC209" s="9"/>
      <c r="OMD209" s="9"/>
      <c r="OME209" s="9"/>
      <c r="OMF209" s="9"/>
      <c r="OMG209" s="9"/>
      <c r="OMI209" s="9"/>
      <c r="OMJ209" s="9"/>
      <c r="OMK209" s="9"/>
      <c r="OML209" s="9"/>
      <c r="OMM209" s="9"/>
      <c r="OMN209" s="9"/>
      <c r="OMO209" s="9"/>
      <c r="OMP209" s="9"/>
      <c r="OMQ209" s="9"/>
      <c r="OMS209" s="9"/>
      <c r="OMT209" s="9"/>
      <c r="OMU209" s="9"/>
      <c r="OMV209" s="9"/>
      <c r="OMW209" s="9"/>
      <c r="OMX209" s="9"/>
      <c r="OMY209" s="9"/>
      <c r="OMZ209" s="9"/>
      <c r="ONA209" s="9"/>
      <c r="ONC209" s="9"/>
      <c r="OND209" s="9"/>
      <c r="ONE209" s="9"/>
      <c r="ONF209" s="9"/>
      <c r="ONG209" s="9"/>
      <c r="ONH209" s="9"/>
      <c r="ONI209" s="9"/>
      <c r="ONJ209" s="9"/>
      <c r="ONK209" s="9"/>
      <c r="ONM209" s="9"/>
      <c r="ONN209" s="9"/>
      <c r="ONO209" s="9"/>
      <c r="ONP209" s="9"/>
      <c r="ONQ209" s="9"/>
      <c r="ONR209" s="9"/>
      <c r="ONS209" s="9"/>
      <c r="ONT209" s="9"/>
      <c r="ONU209" s="9"/>
      <c r="ONW209" s="9"/>
      <c r="ONX209" s="9"/>
      <c r="ONY209" s="9"/>
      <c r="ONZ209" s="9"/>
      <c r="OOA209" s="9"/>
      <c r="OOB209" s="9"/>
      <c r="OOC209" s="9"/>
      <c r="OOD209" s="9"/>
      <c r="OOE209" s="9"/>
      <c r="OOG209" s="9"/>
      <c r="OOH209" s="9"/>
      <c r="OOI209" s="9"/>
      <c r="OOJ209" s="9"/>
      <c r="OOK209" s="9"/>
      <c r="OOL209" s="9"/>
      <c r="OOM209" s="9"/>
      <c r="OON209" s="9"/>
      <c r="OOO209" s="9"/>
      <c r="OOQ209" s="9"/>
      <c r="OOR209" s="9"/>
      <c r="OOS209" s="9"/>
      <c r="OOT209" s="9"/>
      <c r="OOU209" s="9"/>
      <c r="OOV209" s="9"/>
      <c r="OOW209" s="9"/>
      <c r="OOX209" s="9"/>
      <c r="OOY209" s="9"/>
      <c r="OPA209" s="9"/>
      <c r="OPB209" s="9"/>
      <c r="OPC209" s="9"/>
      <c r="OPD209" s="9"/>
      <c r="OPE209" s="9"/>
      <c r="OPF209" s="9"/>
      <c r="OPG209" s="9"/>
      <c r="OPH209" s="9"/>
      <c r="OPI209" s="9"/>
      <c r="OPK209" s="9"/>
      <c r="OPL209" s="9"/>
      <c r="OPM209" s="9"/>
      <c r="OPN209" s="9"/>
      <c r="OPO209" s="9"/>
      <c r="OPP209" s="9"/>
      <c r="OPQ209" s="9"/>
      <c r="OPR209" s="9"/>
      <c r="OPS209" s="9"/>
      <c r="OPU209" s="9"/>
      <c r="OPV209" s="9"/>
      <c r="OPW209" s="9"/>
      <c r="OPX209" s="9"/>
      <c r="OPY209" s="9"/>
      <c r="OPZ209" s="9"/>
      <c r="OQA209" s="9"/>
      <c r="OQB209" s="9"/>
      <c r="OQC209" s="9"/>
      <c r="OQE209" s="9"/>
      <c r="OQF209" s="9"/>
      <c r="OQG209" s="9"/>
      <c r="OQH209" s="9"/>
      <c r="OQI209" s="9"/>
      <c r="OQJ209" s="9"/>
      <c r="OQK209" s="9"/>
      <c r="OQL209" s="9"/>
      <c r="OQM209" s="9"/>
      <c r="OQO209" s="9"/>
      <c r="OQP209" s="9"/>
      <c r="OQQ209" s="9"/>
      <c r="OQR209" s="9"/>
      <c r="OQS209" s="9"/>
      <c r="OQT209" s="9"/>
      <c r="OQU209" s="9"/>
      <c r="OQV209" s="9"/>
      <c r="OQW209" s="9"/>
      <c r="OQY209" s="9"/>
      <c r="OQZ209" s="9"/>
      <c r="ORA209" s="9"/>
      <c r="ORB209" s="9"/>
      <c r="ORC209" s="9"/>
      <c r="ORD209" s="9"/>
      <c r="ORE209" s="9"/>
      <c r="ORF209" s="9"/>
      <c r="ORG209" s="9"/>
      <c r="ORI209" s="9"/>
      <c r="ORJ209" s="9"/>
      <c r="ORK209" s="9"/>
      <c r="ORL209" s="9"/>
      <c r="ORM209" s="9"/>
      <c r="ORN209" s="9"/>
      <c r="ORO209" s="9"/>
      <c r="ORP209" s="9"/>
      <c r="ORQ209" s="9"/>
      <c r="ORS209" s="9"/>
      <c r="ORT209" s="9"/>
      <c r="ORU209" s="9"/>
      <c r="ORV209" s="9"/>
      <c r="ORW209" s="9"/>
      <c r="ORX209" s="9"/>
      <c r="ORY209" s="9"/>
      <c r="ORZ209" s="9"/>
      <c r="OSA209" s="9"/>
      <c r="OSC209" s="9"/>
      <c r="OSD209" s="9"/>
      <c r="OSE209" s="9"/>
      <c r="OSF209" s="9"/>
      <c r="OSG209" s="9"/>
      <c r="OSH209" s="9"/>
      <c r="OSI209" s="9"/>
      <c r="OSJ209" s="9"/>
      <c r="OSK209" s="9"/>
      <c r="OSM209" s="9"/>
      <c r="OSN209" s="9"/>
      <c r="OSO209" s="9"/>
      <c r="OSP209" s="9"/>
      <c r="OSQ209" s="9"/>
      <c r="OSR209" s="9"/>
      <c r="OSS209" s="9"/>
      <c r="OST209" s="9"/>
      <c r="OSU209" s="9"/>
      <c r="OSW209" s="9"/>
      <c r="OSX209" s="9"/>
      <c r="OSY209" s="9"/>
      <c r="OSZ209" s="9"/>
      <c r="OTA209" s="9"/>
      <c r="OTB209" s="9"/>
      <c r="OTC209" s="9"/>
      <c r="OTD209" s="9"/>
      <c r="OTE209" s="9"/>
      <c r="OTG209" s="9"/>
      <c r="OTH209" s="9"/>
      <c r="OTI209" s="9"/>
      <c r="OTJ209" s="9"/>
      <c r="OTK209" s="9"/>
      <c r="OTL209" s="9"/>
      <c r="OTM209" s="9"/>
      <c r="OTN209" s="9"/>
      <c r="OTO209" s="9"/>
      <c r="OTQ209" s="9"/>
      <c r="OTR209" s="9"/>
      <c r="OTS209" s="9"/>
      <c r="OTT209" s="9"/>
      <c r="OTU209" s="9"/>
      <c r="OTV209" s="9"/>
      <c r="OTW209" s="9"/>
      <c r="OTX209" s="9"/>
      <c r="OTY209" s="9"/>
      <c r="OUA209" s="9"/>
      <c r="OUB209" s="9"/>
      <c r="OUC209" s="9"/>
      <c r="OUD209" s="9"/>
      <c r="OUE209" s="9"/>
      <c r="OUF209" s="9"/>
      <c r="OUG209" s="9"/>
      <c r="OUH209" s="9"/>
      <c r="OUI209" s="9"/>
      <c r="OUK209" s="9"/>
      <c r="OUL209" s="9"/>
      <c r="OUM209" s="9"/>
      <c r="OUN209" s="9"/>
      <c r="OUO209" s="9"/>
      <c r="OUP209" s="9"/>
      <c r="OUQ209" s="9"/>
      <c r="OUR209" s="9"/>
      <c r="OUS209" s="9"/>
      <c r="OUU209" s="9"/>
      <c r="OUV209" s="9"/>
      <c r="OUW209" s="9"/>
      <c r="OUX209" s="9"/>
      <c r="OUY209" s="9"/>
      <c r="OUZ209" s="9"/>
      <c r="OVA209" s="9"/>
      <c r="OVB209" s="9"/>
      <c r="OVC209" s="9"/>
      <c r="OVE209" s="9"/>
      <c r="OVF209" s="9"/>
      <c r="OVG209" s="9"/>
      <c r="OVH209" s="9"/>
      <c r="OVI209" s="9"/>
      <c r="OVJ209" s="9"/>
      <c r="OVK209" s="9"/>
      <c r="OVL209" s="9"/>
      <c r="OVM209" s="9"/>
      <c r="OVO209" s="9"/>
      <c r="OVP209" s="9"/>
      <c r="OVQ209" s="9"/>
      <c r="OVR209" s="9"/>
      <c r="OVS209" s="9"/>
      <c r="OVT209" s="9"/>
      <c r="OVU209" s="9"/>
      <c r="OVV209" s="9"/>
      <c r="OVW209" s="9"/>
      <c r="OVY209" s="9"/>
      <c r="OVZ209" s="9"/>
      <c r="OWA209" s="9"/>
      <c r="OWB209" s="9"/>
      <c r="OWC209" s="9"/>
      <c r="OWD209" s="9"/>
      <c r="OWE209" s="9"/>
      <c r="OWF209" s="9"/>
      <c r="OWG209" s="9"/>
      <c r="OWI209" s="9"/>
      <c r="OWJ209" s="9"/>
      <c r="OWK209" s="9"/>
      <c r="OWL209" s="9"/>
      <c r="OWM209" s="9"/>
      <c r="OWN209" s="9"/>
      <c r="OWO209" s="9"/>
      <c r="OWP209" s="9"/>
      <c r="OWQ209" s="9"/>
      <c r="OWS209" s="9"/>
      <c r="OWT209" s="9"/>
      <c r="OWU209" s="9"/>
      <c r="OWV209" s="9"/>
      <c r="OWW209" s="9"/>
      <c r="OWX209" s="9"/>
      <c r="OWY209" s="9"/>
      <c r="OWZ209" s="9"/>
      <c r="OXA209" s="9"/>
      <c r="OXC209" s="9"/>
      <c r="OXD209" s="9"/>
      <c r="OXE209" s="9"/>
      <c r="OXF209" s="9"/>
      <c r="OXG209" s="9"/>
      <c r="OXH209" s="9"/>
      <c r="OXI209" s="9"/>
      <c r="OXJ209" s="9"/>
      <c r="OXK209" s="9"/>
      <c r="OXM209" s="9"/>
      <c r="OXN209" s="9"/>
      <c r="OXO209" s="9"/>
      <c r="OXP209" s="9"/>
      <c r="OXQ209" s="9"/>
      <c r="OXR209" s="9"/>
      <c r="OXS209" s="9"/>
      <c r="OXT209" s="9"/>
      <c r="OXU209" s="9"/>
      <c r="OXW209" s="9"/>
      <c r="OXX209" s="9"/>
      <c r="OXY209" s="9"/>
      <c r="OXZ209" s="9"/>
      <c r="OYA209" s="9"/>
      <c r="OYB209" s="9"/>
      <c r="OYC209" s="9"/>
      <c r="OYD209" s="9"/>
      <c r="OYE209" s="9"/>
      <c r="OYG209" s="9"/>
      <c r="OYH209" s="9"/>
      <c r="OYI209" s="9"/>
      <c r="OYJ209" s="9"/>
      <c r="OYK209" s="9"/>
      <c r="OYL209" s="9"/>
      <c r="OYM209" s="9"/>
      <c r="OYN209" s="9"/>
      <c r="OYO209" s="9"/>
      <c r="OYQ209" s="9"/>
      <c r="OYR209" s="9"/>
      <c r="OYS209" s="9"/>
      <c r="OYT209" s="9"/>
      <c r="OYU209" s="9"/>
      <c r="OYV209" s="9"/>
      <c r="OYW209" s="9"/>
      <c r="OYX209" s="9"/>
      <c r="OYY209" s="9"/>
      <c r="OZA209" s="9"/>
      <c r="OZB209" s="9"/>
      <c r="OZC209" s="9"/>
      <c r="OZD209" s="9"/>
      <c r="OZE209" s="9"/>
      <c r="OZF209" s="9"/>
      <c r="OZG209" s="9"/>
      <c r="OZH209" s="9"/>
      <c r="OZI209" s="9"/>
      <c r="OZK209" s="9"/>
      <c r="OZL209" s="9"/>
      <c r="OZM209" s="9"/>
      <c r="OZN209" s="9"/>
      <c r="OZO209" s="9"/>
      <c r="OZP209" s="9"/>
      <c r="OZQ209" s="9"/>
      <c r="OZR209" s="9"/>
      <c r="OZS209" s="9"/>
      <c r="OZU209" s="9"/>
      <c r="OZV209" s="9"/>
      <c r="OZW209" s="9"/>
      <c r="OZX209" s="9"/>
      <c r="OZY209" s="9"/>
      <c r="OZZ209" s="9"/>
      <c r="PAA209" s="9"/>
      <c r="PAB209" s="9"/>
      <c r="PAC209" s="9"/>
      <c r="PAE209" s="9"/>
      <c r="PAF209" s="9"/>
      <c r="PAG209" s="9"/>
      <c r="PAH209" s="9"/>
      <c r="PAI209" s="9"/>
      <c r="PAJ209" s="9"/>
      <c r="PAK209" s="9"/>
      <c r="PAL209" s="9"/>
      <c r="PAM209" s="9"/>
      <c r="PAO209" s="9"/>
      <c r="PAP209" s="9"/>
      <c r="PAQ209" s="9"/>
      <c r="PAR209" s="9"/>
      <c r="PAS209" s="9"/>
      <c r="PAT209" s="9"/>
      <c r="PAU209" s="9"/>
      <c r="PAV209" s="9"/>
      <c r="PAW209" s="9"/>
      <c r="PAY209" s="9"/>
      <c r="PAZ209" s="9"/>
      <c r="PBA209" s="9"/>
      <c r="PBB209" s="9"/>
      <c r="PBC209" s="9"/>
      <c r="PBD209" s="9"/>
      <c r="PBE209" s="9"/>
      <c r="PBF209" s="9"/>
      <c r="PBG209" s="9"/>
      <c r="PBI209" s="9"/>
      <c r="PBJ209" s="9"/>
      <c r="PBK209" s="9"/>
      <c r="PBL209" s="9"/>
      <c r="PBM209" s="9"/>
      <c r="PBN209" s="9"/>
      <c r="PBO209" s="9"/>
      <c r="PBP209" s="9"/>
      <c r="PBQ209" s="9"/>
      <c r="PBS209" s="9"/>
      <c r="PBT209" s="9"/>
      <c r="PBU209" s="9"/>
      <c r="PBV209" s="9"/>
      <c r="PBW209" s="9"/>
      <c r="PBX209" s="9"/>
      <c r="PBY209" s="9"/>
      <c r="PBZ209" s="9"/>
      <c r="PCA209" s="9"/>
      <c r="PCC209" s="9"/>
      <c r="PCD209" s="9"/>
      <c r="PCE209" s="9"/>
      <c r="PCF209" s="9"/>
      <c r="PCG209" s="9"/>
      <c r="PCH209" s="9"/>
      <c r="PCI209" s="9"/>
      <c r="PCJ209" s="9"/>
      <c r="PCK209" s="9"/>
      <c r="PCM209" s="9"/>
      <c r="PCN209" s="9"/>
      <c r="PCO209" s="9"/>
      <c r="PCP209" s="9"/>
      <c r="PCQ209" s="9"/>
      <c r="PCR209" s="9"/>
      <c r="PCS209" s="9"/>
      <c r="PCT209" s="9"/>
      <c r="PCU209" s="9"/>
      <c r="PCW209" s="9"/>
      <c r="PCX209" s="9"/>
      <c r="PCY209" s="9"/>
      <c r="PCZ209" s="9"/>
      <c r="PDA209" s="9"/>
      <c r="PDB209" s="9"/>
      <c r="PDC209" s="9"/>
      <c r="PDD209" s="9"/>
      <c r="PDE209" s="9"/>
      <c r="PDG209" s="9"/>
      <c r="PDH209" s="9"/>
      <c r="PDI209" s="9"/>
      <c r="PDJ209" s="9"/>
      <c r="PDK209" s="9"/>
      <c r="PDL209" s="9"/>
      <c r="PDM209" s="9"/>
      <c r="PDN209" s="9"/>
      <c r="PDO209" s="9"/>
      <c r="PDQ209" s="9"/>
      <c r="PDR209" s="9"/>
      <c r="PDS209" s="9"/>
      <c r="PDT209" s="9"/>
      <c r="PDU209" s="9"/>
      <c r="PDV209" s="9"/>
      <c r="PDW209" s="9"/>
      <c r="PDX209" s="9"/>
      <c r="PDY209" s="9"/>
      <c r="PEA209" s="9"/>
      <c r="PEB209" s="9"/>
      <c r="PEC209" s="9"/>
      <c r="PED209" s="9"/>
      <c r="PEE209" s="9"/>
      <c r="PEF209" s="9"/>
      <c r="PEG209" s="9"/>
      <c r="PEH209" s="9"/>
      <c r="PEI209" s="9"/>
      <c r="PEK209" s="9"/>
      <c r="PEL209" s="9"/>
      <c r="PEM209" s="9"/>
      <c r="PEN209" s="9"/>
      <c r="PEO209" s="9"/>
      <c r="PEP209" s="9"/>
      <c r="PEQ209" s="9"/>
      <c r="PER209" s="9"/>
      <c r="PES209" s="9"/>
      <c r="PEU209" s="9"/>
      <c r="PEV209" s="9"/>
      <c r="PEW209" s="9"/>
      <c r="PEX209" s="9"/>
      <c r="PEY209" s="9"/>
      <c r="PEZ209" s="9"/>
      <c r="PFA209" s="9"/>
      <c r="PFB209" s="9"/>
      <c r="PFC209" s="9"/>
      <c r="PFE209" s="9"/>
      <c r="PFF209" s="9"/>
      <c r="PFG209" s="9"/>
      <c r="PFH209" s="9"/>
      <c r="PFI209" s="9"/>
      <c r="PFJ209" s="9"/>
      <c r="PFK209" s="9"/>
      <c r="PFL209" s="9"/>
      <c r="PFM209" s="9"/>
      <c r="PFO209" s="9"/>
      <c r="PFP209" s="9"/>
      <c r="PFQ209" s="9"/>
      <c r="PFR209" s="9"/>
      <c r="PFS209" s="9"/>
      <c r="PFT209" s="9"/>
      <c r="PFU209" s="9"/>
      <c r="PFV209" s="9"/>
      <c r="PFW209" s="9"/>
      <c r="PFY209" s="9"/>
      <c r="PFZ209" s="9"/>
      <c r="PGA209" s="9"/>
      <c r="PGB209" s="9"/>
      <c r="PGC209" s="9"/>
      <c r="PGD209" s="9"/>
      <c r="PGE209" s="9"/>
      <c r="PGF209" s="9"/>
      <c r="PGG209" s="9"/>
      <c r="PGI209" s="9"/>
      <c r="PGJ209" s="9"/>
      <c r="PGK209" s="9"/>
      <c r="PGL209" s="9"/>
      <c r="PGM209" s="9"/>
      <c r="PGN209" s="9"/>
      <c r="PGO209" s="9"/>
      <c r="PGP209" s="9"/>
      <c r="PGQ209" s="9"/>
      <c r="PGS209" s="9"/>
      <c r="PGT209" s="9"/>
      <c r="PGU209" s="9"/>
      <c r="PGV209" s="9"/>
      <c r="PGW209" s="9"/>
      <c r="PGX209" s="9"/>
      <c r="PGY209" s="9"/>
      <c r="PGZ209" s="9"/>
      <c r="PHA209" s="9"/>
      <c r="PHC209" s="9"/>
      <c r="PHD209" s="9"/>
      <c r="PHE209" s="9"/>
      <c r="PHF209" s="9"/>
      <c r="PHG209" s="9"/>
      <c r="PHH209" s="9"/>
      <c r="PHI209" s="9"/>
      <c r="PHJ209" s="9"/>
      <c r="PHK209" s="9"/>
      <c r="PHM209" s="9"/>
      <c r="PHN209" s="9"/>
      <c r="PHO209" s="9"/>
      <c r="PHP209" s="9"/>
      <c r="PHQ209" s="9"/>
      <c r="PHR209" s="9"/>
      <c r="PHS209" s="9"/>
      <c r="PHT209" s="9"/>
      <c r="PHU209" s="9"/>
      <c r="PHW209" s="9"/>
      <c r="PHX209" s="9"/>
      <c r="PHY209" s="9"/>
      <c r="PHZ209" s="9"/>
      <c r="PIA209" s="9"/>
      <c r="PIB209" s="9"/>
      <c r="PIC209" s="9"/>
      <c r="PID209" s="9"/>
      <c r="PIE209" s="9"/>
      <c r="PIG209" s="9"/>
      <c r="PIH209" s="9"/>
      <c r="PII209" s="9"/>
      <c r="PIJ209" s="9"/>
      <c r="PIK209" s="9"/>
      <c r="PIL209" s="9"/>
      <c r="PIM209" s="9"/>
      <c r="PIN209" s="9"/>
      <c r="PIO209" s="9"/>
      <c r="PIQ209" s="9"/>
      <c r="PIR209" s="9"/>
      <c r="PIS209" s="9"/>
      <c r="PIT209" s="9"/>
      <c r="PIU209" s="9"/>
      <c r="PIV209" s="9"/>
      <c r="PIW209" s="9"/>
      <c r="PIX209" s="9"/>
      <c r="PIY209" s="9"/>
      <c r="PJA209" s="9"/>
      <c r="PJB209" s="9"/>
      <c r="PJC209" s="9"/>
      <c r="PJD209" s="9"/>
      <c r="PJE209" s="9"/>
      <c r="PJF209" s="9"/>
      <c r="PJG209" s="9"/>
      <c r="PJH209" s="9"/>
      <c r="PJI209" s="9"/>
      <c r="PJK209" s="9"/>
      <c r="PJL209" s="9"/>
      <c r="PJM209" s="9"/>
      <c r="PJN209" s="9"/>
      <c r="PJO209" s="9"/>
      <c r="PJP209" s="9"/>
      <c r="PJQ209" s="9"/>
      <c r="PJR209" s="9"/>
      <c r="PJS209" s="9"/>
      <c r="PJU209" s="9"/>
      <c r="PJV209" s="9"/>
      <c r="PJW209" s="9"/>
      <c r="PJX209" s="9"/>
      <c r="PJY209" s="9"/>
      <c r="PJZ209" s="9"/>
      <c r="PKA209" s="9"/>
      <c r="PKB209" s="9"/>
      <c r="PKC209" s="9"/>
      <c r="PKE209" s="9"/>
      <c r="PKF209" s="9"/>
      <c r="PKG209" s="9"/>
      <c r="PKH209" s="9"/>
      <c r="PKI209" s="9"/>
      <c r="PKJ209" s="9"/>
      <c r="PKK209" s="9"/>
      <c r="PKL209" s="9"/>
      <c r="PKM209" s="9"/>
      <c r="PKO209" s="9"/>
      <c r="PKP209" s="9"/>
      <c r="PKQ209" s="9"/>
      <c r="PKR209" s="9"/>
      <c r="PKS209" s="9"/>
      <c r="PKT209" s="9"/>
      <c r="PKU209" s="9"/>
      <c r="PKV209" s="9"/>
      <c r="PKW209" s="9"/>
      <c r="PKY209" s="9"/>
      <c r="PKZ209" s="9"/>
      <c r="PLA209" s="9"/>
      <c r="PLB209" s="9"/>
      <c r="PLC209" s="9"/>
      <c r="PLD209" s="9"/>
      <c r="PLE209" s="9"/>
      <c r="PLF209" s="9"/>
      <c r="PLG209" s="9"/>
      <c r="PLI209" s="9"/>
      <c r="PLJ209" s="9"/>
      <c r="PLK209" s="9"/>
      <c r="PLL209" s="9"/>
      <c r="PLM209" s="9"/>
      <c r="PLN209" s="9"/>
      <c r="PLO209" s="9"/>
      <c r="PLP209" s="9"/>
      <c r="PLQ209" s="9"/>
      <c r="PLS209" s="9"/>
      <c r="PLT209" s="9"/>
      <c r="PLU209" s="9"/>
      <c r="PLV209" s="9"/>
      <c r="PLW209" s="9"/>
      <c r="PLX209" s="9"/>
      <c r="PLY209" s="9"/>
      <c r="PLZ209" s="9"/>
      <c r="PMA209" s="9"/>
      <c r="PMC209" s="9"/>
      <c r="PMD209" s="9"/>
      <c r="PME209" s="9"/>
      <c r="PMF209" s="9"/>
      <c r="PMG209" s="9"/>
      <c r="PMH209" s="9"/>
      <c r="PMI209" s="9"/>
      <c r="PMJ209" s="9"/>
      <c r="PMK209" s="9"/>
      <c r="PMM209" s="9"/>
      <c r="PMN209" s="9"/>
      <c r="PMO209" s="9"/>
      <c r="PMP209" s="9"/>
      <c r="PMQ209" s="9"/>
      <c r="PMR209" s="9"/>
      <c r="PMS209" s="9"/>
      <c r="PMT209" s="9"/>
      <c r="PMU209" s="9"/>
      <c r="PMW209" s="9"/>
      <c r="PMX209" s="9"/>
      <c r="PMY209" s="9"/>
      <c r="PMZ209" s="9"/>
      <c r="PNA209" s="9"/>
      <c r="PNB209" s="9"/>
      <c r="PNC209" s="9"/>
      <c r="PND209" s="9"/>
      <c r="PNE209" s="9"/>
      <c r="PNG209" s="9"/>
      <c r="PNH209" s="9"/>
      <c r="PNI209" s="9"/>
      <c r="PNJ209" s="9"/>
      <c r="PNK209" s="9"/>
      <c r="PNL209" s="9"/>
      <c r="PNM209" s="9"/>
      <c r="PNN209" s="9"/>
      <c r="PNO209" s="9"/>
      <c r="PNQ209" s="9"/>
      <c r="PNR209" s="9"/>
      <c r="PNS209" s="9"/>
      <c r="PNT209" s="9"/>
      <c r="PNU209" s="9"/>
      <c r="PNV209" s="9"/>
      <c r="PNW209" s="9"/>
      <c r="PNX209" s="9"/>
      <c r="PNY209" s="9"/>
      <c r="POA209" s="9"/>
      <c r="POB209" s="9"/>
      <c r="POC209" s="9"/>
      <c r="POD209" s="9"/>
      <c r="POE209" s="9"/>
      <c r="POF209" s="9"/>
      <c r="POG209" s="9"/>
      <c r="POH209" s="9"/>
      <c r="POI209" s="9"/>
      <c r="POK209" s="9"/>
      <c r="POL209" s="9"/>
      <c r="POM209" s="9"/>
      <c r="PON209" s="9"/>
      <c r="POO209" s="9"/>
      <c r="POP209" s="9"/>
      <c r="POQ209" s="9"/>
      <c r="POR209" s="9"/>
      <c r="POS209" s="9"/>
      <c r="POU209" s="9"/>
      <c r="POV209" s="9"/>
      <c r="POW209" s="9"/>
      <c r="POX209" s="9"/>
      <c r="POY209" s="9"/>
      <c r="POZ209" s="9"/>
      <c r="PPA209" s="9"/>
      <c r="PPB209" s="9"/>
      <c r="PPC209" s="9"/>
      <c r="PPE209" s="9"/>
      <c r="PPF209" s="9"/>
      <c r="PPG209" s="9"/>
      <c r="PPH209" s="9"/>
      <c r="PPI209" s="9"/>
      <c r="PPJ209" s="9"/>
      <c r="PPK209" s="9"/>
      <c r="PPL209" s="9"/>
      <c r="PPM209" s="9"/>
      <c r="PPO209" s="9"/>
      <c r="PPP209" s="9"/>
      <c r="PPQ209" s="9"/>
      <c r="PPR209" s="9"/>
      <c r="PPS209" s="9"/>
      <c r="PPT209" s="9"/>
      <c r="PPU209" s="9"/>
      <c r="PPV209" s="9"/>
      <c r="PPW209" s="9"/>
      <c r="PPY209" s="9"/>
      <c r="PPZ209" s="9"/>
      <c r="PQA209" s="9"/>
      <c r="PQB209" s="9"/>
      <c r="PQC209" s="9"/>
      <c r="PQD209" s="9"/>
      <c r="PQE209" s="9"/>
      <c r="PQF209" s="9"/>
      <c r="PQG209" s="9"/>
      <c r="PQI209" s="9"/>
      <c r="PQJ209" s="9"/>
      <c r="PQK209" s="9"/>
      <c r="PQL209" s="9"/>
      <c r="PQM209" s="9"/>
      <c r="PQN209" s="9"/>
      <c r="PQO209" s="9"/>
      <c r="PQP209" s="9"/>
      <c r="PQQ209" s="9"/>
      <c r="PQS209" s="9"/>
      <c r="PQT209" s="9"/>
      <c r="PQU209" s="9"/>
      <c r="PQV209" s="9"/>
      <c r="PQW209" s="9"/>
      <c r="PQX209" s="9"/>
      <c r="PQY209" s="9"/>
      <c r="PQZ209" s="9"/>
      <c r="PRA209" s="9"/>
      <c r="PRC209" s="9"/>
      <c r="PRD209" s="9"/>
      <c r="PRE209" s="9"/>
      <c r="PRF209" s="9"/>
      <c r="PRG209" s="9"/>
      <c r="PRH209" s="9"/>
      <c r="PRI209" s="9"/>
      <c r="PRJ209" s="9"/>
      <c r="PRK209" s="9"/>
      <c r="PRM209" s="9"/>
      <c r="PRN209" s="9"/>
      <c r="PRO209" s="9"/>
      <c r="PRP209" s="9"/>
      <c r="PRQ209" s="9"/>
      <c r="PRR209" s="9"/>
      <c r="PRS209" s="9"/>
      <c r="PRT209" s="9"/>
      <c r="PRU209" s="9"/>
      <c r="PRW209" s="9"/>
      <c r="PRX209" s="9"/>
      <c r="PRY209" s="9"/>
      <c r="PRZ209" s="9"/>
      <c r="PSA209" s="9"/>
      <c r="PSB209" s="9"/>
      <c r="PSC209" s="9"/>
      <c r="PSD209" s="9"/>
      <c r="PSE209" s="9"/>
      <c r="PSG209" s="9"/>
      <c r="PSH209" s="9"/>
      <c r="PSI209" s="9"/>
      <c r="PSJ209" s="9"/>
      <c r="PSK209" s="9"/>
      <c r="PSL209" s="9"/>
      <c r="PSM209" s="9"/>
      <c r="PSN209" s="9"/>
      <c r="PSO209" s="9"/>
      <c r="PSQ209" s="9"/>
      <c r="PSR209" s="9"/>
      <c r="PSS209" s="9"/>
      <c r="PST209" s="9"/>
      <c r="PSU209" s="9"/>
      <c r="PSV209" s="9"/>
      <c r="PSW209" s="9"/>
      <c r="PSX209" s="9"/>
      <c r="PSY209" s="9"/>
      <c r="PTA209" s="9"/>
      <c r="PTB209" s="9"/>
      <c r="PTC209" s="9"/>
      <c r="PTD209" s="9"/>
      <c r="PTE209" s="9"/>
      <c r="PTF209" s="9"/>
      <c r="PTG209" s="9"/>
      <c r="PTH209" s="9"/>
      <c r="PTI209" s="9"/>
      <c r="PTK209" s="9"/>
      <c r="PTL209" s="9"/>
      <c r="PTM209" s="9"/>
      <c r="PTN209" s="9"/>
      <c r="PTO209" s="9"/>
      <c r="PTP209" s="9"/>
      <c r="PTQ209" s="9"/>
      <c r="PTR209" s="9"/>
      <c r="PTS209" s="9"/>
      <c r="PTU209" s="9"/>
      <c r="PTV209" s="9"/>
      <c r="PTW209" s="9"/>
      <c r="PTX209" s="9"/>
      <c r="PTY209" s="9"/>
      <c r="PTZ209" s="9"/>
      <c r="PUA209" s="9"/>
      <c r="PUB209" s="9"/>
      <c r="PUC209" s="9"/>
      <c r="PUE209" s="9"/>
      <c r="PUF209" s="9"/>
      <c r="PUG209" s="9"/>
      <c r="PUH209" s="9"/>
      <c r="PUI209" s="9"/>
      <c r="PUJ209" s="9"/>
      <c r="PUK209" s="9"/>
      <c r="PUL209" s="9"/>
      <c r="PUM209" s="9"/>
      <c r="PUO209" s="9"/>
      <c r="PUP209" s="9"/>
      <c r="PUQ209" s="9"/>
      <c r="PUR209" s="9"/>
      <c r="PUS209" s="9"/>
      <c r="PUT209" s="9"/>
      <c r="PUU209" s="9"/>
      <c r="PUV209" s="9"/>
      <c r="PUW209" s="9"/>
      <c r="PUY209" s="9"/>
      <c r="PUZ209" s="9"/>
      <c r="PVA209" s="9"/>
      <c r="PVB209" s="9"/>
      <c r="PVC209" s="9"/>
      <c r="PVD209" s="9"/>
      <c r="PVE209" s="9"/>
      <c r="PVF209" s="9"/>
      <c r="PVG209" s="9"/>
      <c r="PVI209" s="9"/>
      <c r="PVJ209" s="9"/>
      <c r="PVK209" s="9"/>
      <c r="PVL209" s="9"/>
      <c r="PVM209" s="9"/>
      <c r="PVN209" s="9"/>
      <c r="PVO209" s="9"/>
      <c r="PVP209" s="9"/>
      <c r="PVQ209" s="9"/>
      <c r="PVS209" s="9"/>
      <c r="PVT209" s="9"/>
      <c r="PVU209" s="9"/>
      <c r="PVV209" s="9"/>
      <c r="PVW209" s="9"/>
      <c r="PVX209" s="9"/>
      <c r="PVY209" s="9"/>
      <c r="PVZ209" s="9"/>
      <c r="PWA209" s="9"/>
      <c r="PWC209" s="9"/>
      <c r="PWD209" s="9"/>
      <c r="PWE209" s="9"/>
      <c r="PWF209" s="9"/>
      <c r="PWG209" s="9"/>
      <c r="PWH209" s="9"/>
      <c r="PWI209" s="9"/>
      <c r="PWJ209" s="9"/>
      <c r="PWK209" s="9"/>
      <c r="PWM209" s="9"/>
      <c r="PWN209" s="9"/>
      <c r="PWO209" s="9"/>
      <c r="PWP209" s="9"/>
      <c r="PWQ209" s="9"/>
      <c r="PWR209" s="9"/>
      <c r="PWS209" s="9"/>
      <c r="PWT209" s="9"/>
      <c r="PWU209" s="9"/>
      <c r="PWW209" s="9"/>
      <c r="PWX209" s="9"/>
      <c r="PWY209" s="9"/>
      <c r="PWZ209" s="9"/>
      <c r="PXA209" s="9"/>
      <c r="PXB209" s="9"/>
      <c r="PXC209" s="9"/>
      <c r="PXD209" s="9"/>
      <c r="PXE209" s="9"/>
      <c r="PXG209" s="9"/>
      <c r="PXH209" s="9"/>
      <c r="PXI209" s="9"/>
      <c r="PXJ209" s="9"/>
      <c r="PXK209" s="9"/>
      <c r="PXL209" s="9"/>
      <c r="PXM209" s="9"/>
      <c r="PXN209" s="9"/>
      <c r="PXO209" s="9"/>
      <c r="PXQ209" s="9"/>
      <c r="PXR209" s="9"/>
      <c r="PXS209" s="9"/>
      <c r="PXT209" s="9"/>
      <c r="PXU209" s="9"/>
      <c r="PXV209" s="9"/>
      <c r="PXW209" s="9"/>
      <c r="PXX209" s="9"/>
      <c r="PXY209" s="9"/>
      <c r="PYA209" s="9"/>
      <c r="PYB209" s="9"/>
      <c r="PYC209" s="9"/>
      <c r="PYD209" s="9"/>
      <c r="PYE209" s="9"/>
      <c r="PYF209" s="9"/>
      <c r="PYG209" s="9"/>
      <c r="PYH209" s="9"/>
      <c r="PYI209" s="9"/>
      <c r="PYK209" s="9"/>
      <c r="PYL209" s="9"/>
      <c r="PYM209" s="9"/>
      <c r="PYN209" s="9"/>
      <c r="PYO209" s="9"/>
      <c r="PYP209" s="9"/>
      <c r="PYQ209" s="9"/>
      <c r="PYR209" s="9"/>
      <c r="PYS209" s="9"/>
      <c r="PYU209" s="9"/>
      <c r="PYV209" s="9"/>
      <c r="PYW209" s="9"/>
      <c r="PYX209" s="9"/>
      <c r="PYY209" s="9"/>
      <c r="PYZ209" s="9"/>
      <c r="PZA209" s="9"/>
      <c r="PZB209" s="9"/>
      <c r="PZC209" s="9"/>
      <c r="PZE209" s="9"/>
      <c r="PZF209" s="9"/>
      <c r="PZG209" s="9"/>
      <c r="PZH209" s="9"/>
      <c r="PZI209" s="9"/>
      <c r="PZJ209" s="9"/>
      <c r="PZK209" s="9"/>
      <c r="PZL209" s="9"/>
      <c r="PZM209" s="9"/>
      <c r="PZO209" s="9"/>
      <c r="PZP209" s="9"/>
      <c r="PZQ209" s="9"/>
      <c r="PZR209" s="9"/>
      <c r="PZS209" s="9"/>
      <c r="PZT209" s="9"/>
      <c r="PZU209" s="9"/>
      <c r="PZV209" s="9"/>
      <c r="PZW209" s="9"/>
      <c r="PZY209" s="9"/>
      <c r="PZZ209" s="9"/>
      <c r="QAA209" s="9"/>
      <c r="QAB209" s="9"/>
      <c r="QAC209" s="9"/>
      <c r="QAD209" s="9"/>
      <c r="QAE209" s="9"/>
      <c r="QAF209" s="9"/>
      <c r="QAG209" s="9"/>
      <c r="QAI209" s="9"/>
      <c r="QAJ209" s="9"/>
      <c r="QAK209" s="9"/>
      <c r="QAL209" s="9"/>
      <c r="QAM209" s="9"/>
      <c r="QAN209" s="9"/>
      <c r="QAO209" s="9"/>
      <c r="QAP209" s="9"/>
      <c r="QAQ209" s="9"/>
      <c r="QAS209" s="9"/>
      <c r="QAT209" s="9"/>
      <c r="QAU209" s="9"/>
      <c r="QAV209" s="9"/>
      <c r="QAW209" s="9"/>
      <c r="QAX209" s="9"/>
      <c r="QAY209" s="9"/>
      <c r="QAZ209" s="9"/>
      <c r="QBA209" s="9"/>
      <c r="QBC209" s="9"/>
      <c r="QBD209" s="9"/>
      <c r="QBE209" s="9"/>
      <c r="QBF209" s="9"/>
      <c r="QBG209" s="9"/>
      <c r="QBH209" s="9"/>
      <c r="QBI209" s="9"/>
      <c r="QBJ209" s="9"/>
      <c r="QBK209" s="9"/>
      <c r="QBM209" s="9"/>
      <c r="QBN209" s="9"/>
      <c r="QBO209" s="9"/>
      <c r="QBP209" s="9"/>
      <c r="QBQ209" s="9"/>
      <c r="QBR209" s="9"/>
      <c r="QBS209" s="9"/>
      <c r="QBT209" s="9"/>
      <c r="QBU209" s="9"/>
      <c r="QBW209" s="9"/>
      <c r="QBX209" s="9"/>
      <c r="QBY209" s="9"/>
      <c r="QBZ209" s="9"/>
      <c r="QCA209" s="9"/>
      <c r="QCB209" s="9"/>
      <c r="QCC209" s="9"/>
      <c r="QCD209" s="9"/>
      <c r="QCE209" s="9"/>
      <c r="QCG209" s="9"/>
      <c r="QCH209" s="9"/>
      <c r="QCI209" s="9"/>
      <c r="QCJ209" s="9"/>
      <c r="QCK209" s="9"/>
      <c r="QCL209" s="9"/>
      <c r="QCM209" s="9"/>
      <c r="QCN209" s="9"/>
      <c r="QCO209" s="9"/>
      <c r="QCQ209" s="9"/>
      <c r="QCR209" s="9"/>
      <c r="QCS209" s="9"/>
      <c r="QCT209" s="9"/>
      <c r="QCU209" s="9"/>
      <c r="QCV209" s="9"/>
      <c r="QCW209" s="9"/>
      <c r="QCX209" s="9"/>
      <c r="QCY209" s="9"/>
      <c r="QDA209" s="9"/>
      <c r="QDB209" s="9"/>
      <c r="QDC209" s="9"/>
      <c r="QDD209" s="9"/>
      <c r="QDE209" s="9"/>
      <c r="QDF209" s="9"/>
      <c r="QDG209" s="9"/>
      <c r="QDH209" s="9"/>
      <c r="QDI209" s="9"/>
      <c r="QDK209" s="9"/>
      <c r="QDL209" s="9"/>
      <c r="QDM209" s="9"/>
      <c r="QDN209" s="9"/>
      <c r="QDO209" s="9"/>
      <c r="QDP209" s="9"/>
      <c r="QDQ209" s="9"/>
      <c r="QDR209" s="9"/>
      <c r="QDS209" s="9"/>
      <c r="QDU209" s="9"/>
      <c r="QDV209" s="9"/>
      <c r="QDW209" s="9"/>
      <c r="QDX209" s="9"/>
      <c r="QDY209" s="9"/>
      <c r="QDZ209" s="9"/>
      <c r="QEA209" s="9"/>
      <c r="QEB209" s="9"/>
      <c r="QEC209" s="9"/>
      <c r="QEE209" s="9"/>
      <c r="QEF209" s="9"/>
      <c r="QEG209" s="9"/>
      <c r="QEH209" s="9"/>
      <c r="QEI209" s="9"/>
      <c r="QEJ209" s="9"/>
      <c r="QEK209" s="9"/>
      <c r="QEL209" s="9"/>
      <c r="QEM209" s="9"/>
      <c r="QEO209" s="9"/>
      <c r="QEP209" s="9"/>
      <c r="QEQ209" s="9"/>
      <c r="QER209" s="9"/>
      <c r="QES209" s="9"/>
      <c r="QET209" s="9"/>
      <c r="QEU209" s="9"/>
      <c r="QEV209" s="9"/>
      <c r="QEW209" s="9"/>
      <c r="QEY209" s="9"/>
      <c r="QEZ209" s="9"/>
      <c r="QFA209" s="9"/>
      <c r="QFB209" s="9"/>
      <c r="QFC209" s="9"/>
      <c r="QFD209" s="9"/>
      <c r="QFE209" s="9"/>
      <c r="QFF209" s="9"/>
      <c r="QFG209" s="9"/>
      <c r="QFI209" s="9"/>
      <c r="QFJ209" s="9"/>
      <c r="QFK209" s="9"/>
      <c r="QFL209" s="9"/>
      <c r="QFM209" s="9"/>
      <c r="QFN209" s="9"/>
      <c r="QFO209" s="9"/>
      <c r="QFP209" s="9"/>
      <c r="QFQ209" s="9"/>
      <c r="QFS209" s="9"/>
      <c r="QFT209" s="9"/>
      <c r="QFU209" s="9"/>
      <c r="QFV209" s="9"/>
      <c r="QFW209" s="9"/>
      <c r="QFX209" s="9"/>
      <c r="QFY209" s="9"/>
      <c r="QFZ209" s="9"/>
      <c r="QGA209" s="9"/>
      <c r="QGC209" s="9"/>
      <c r="QGD209" s="9"/>
      <c r="QGE209" s="9"/>
      <c r="QGF209" s="9"/>
      <c r="QGG209" s="9"/>
      <c r="QGH209" s="9"/>
      <c r="QGI209" s="9"/>
      <c r="QGJ209" s="9"/>
      <c r="QGK209" s="9"/>
      <c r="QGM209" s="9"/>
      <c r="QGN209" s="9"/>
      <c r="QGO209" s="9"/>
      <c r="QGP209" s="9"/>
      <c r="QGQ209" s="9"/>
      <c r="QGR209" s="9"/>
      <c r="QGS209" s="9"/>
      <c r="QGT209" s="9"/>
      <c r="QGU209" s="9"/>
      <c r="QGW209" s="9"/>
      <c r="QGX209" s="9"/>
      <c r="QGY209" s="9"/>
      <c r="QGZ209" s="9"/>
      <c r="QHA209" s="9"/>
      <c r="QHB209" s="9"/>
      <c r="QHC209" s="9"/>
      <c r="QHD209" s="9"/>
      <c r="QHE209" s="9"/>
      <c r="QHG209" s="9"/>
      <c r="QHH209" s="9"/>
      <c r="QHI209" s="9"/>
      <c r="QHJ209" s="9"/>
      <c r="QHK209" s="9"/>
      <c r="QHL209" s="9"/>
      <c r="QHM209" s="9"/>
      <c r="QHN209" s="9"/>
      <c r="QHO209" s="9"/>
      <c r="QHQ209" s="9"/>
      <c r="QHR209" s="9"/>
      <c r="QHS209" s="9"/>
      <c r="QHT209" s="9"/>
      <c r="QHU209" s="9"/>
      <c r="QHV209" s="9"/>
      <c r="QHW209" s="9"/>
      <c r="QHX209" s="9"/>
      <c r="QHY209" s="9"/>
      <c r="QIA209" s="9"/>
      <c r="QIB209" s="9"/>
      <c r="QIC209" s="9"/>
      <c r="QID209" s="9"/>
      <c r="QIE209" s="9"/>
      <c r="QIF209" s="9"/>
      <c r="QIG209" s="9"/>
      <c r="QIH209" s="9"/>
      <c r="QII209" s="9"/>
      <c r="QIK209" s="9"/>
      <c r="QIL209" s="9"/>
      <c r="QIM209" s="9"/>
      <c r="QIN209" s="9"/>
      <c r="QIO209" s="9"/>
      <c r="QIP209" s="9"/>
      <c r="QIQ209" s="9"/>
      <c r="QIR209" s="9"/>
      <c r="QIS209" s="9"/>
      <c r="QIU209" s="9"/>
      <c r="QIV209" s="9"/>
      <c r="QIW209" s="9"/>
      <c r="QIX209" s="9"/>
      <c r="QIY209" s="9"/>
      <c r="QIZ209" s="9"/>
      <c r="QJA209" s="9"/>
      <c r="QJB209" s="9"/>
      <c r="QJC209" s="9"/>
      <c r="QJE209" s="9"/>
      <c r="QJF209" s="9"/>
      <c r="QJG209" s="9"/>
      <c r="QJH209" s="9"/>
      <c r="QJI209" s="9"/>
      <c r="QJJ209" s="9"/>
      <c r="QJK209" s="9"/>
      <c r="QJL209" s="9"/>
      <c r="QJM209" s="9"/>
      <c r="QJO209" s="9"/>
      <c r="QJP209" s="9"/>
      <c r="QJQ209" s="9"/>
      <c r="QJR209" s="9"/>
      <c r="QJS209" s="9"/>
      <c r="QJT209" s="9"/>
      <c r="QJU209" s="9"/>
      <c r="QJV209" s="9"/>
      <c r="QJW209" s="9"/>
      <c r="QJY209" s="9"/>
      <c r="QJZ209" s="9"/>
      <c r="QKA209" s="9"/>
      <c r="QKB209" s="9"/>
      <c r="QKC209" s="9"/>
      <c r="QKD209" s="9"/>
      <c r="QKE209" s="9"/>
      <c r="QKF209" s="9"/>
      <c r="QKG209" s="9"/>
      <c r="QKI209" s="9"/>
      <c r="QKJ209" s="9"/>
      <c r="QKK209" s="9"/>
      <c r="QKL209" s="9"/>
      <c r="QKM209" s="9"/>
      <c r="QKN209" s="9"/>
      <c r="QKO209" s="9"/>
      <c r="QKP209" s="9"/>
      <c r="QKQ209" s="9"/>
      <c r="QKS209" s="9"/>
      <c r="QKT209" s="9"/>
      <c r="QKU209" s="9"/>
      <c r="QKV209" s="9"/>
      <c r="QKW209" s="9"/>
      <c r="QKX209" s="9"/>
      <c r="QKY209" s="9"/>
      <c r="QKZ209" s="9"/>
      <c r="QLA209" s="9"/>
      <c r="QLC209" s="9"/>
      <c r="QLD209" s="9"/>
      <c r="QLE209" s="9"/>
      <c r="QLF209" s="9"/>
      <c r="QLG209" s="9"/>
      <c r="QLH209" s="9"/>
      <c r="QLI209" s="9"/>
      <c r="QLJ209" s="9"/>
      <c r="QLK209" s="9"/>
      <c r="QLM209" s="9"/>
      <c r="QLN209" s="9"/>
      <c r="QLO209" s="9"/>
      <c r="QLP209" s="9"/>
      <c r="QLQ209" s="9"/>
      <c r="QLR209" s="9"/>
      <c r="QLS209" s="9"/>
      <c r="QLT209" s="9"/>
      <c r="QLU209" s="9"/>
      <c r="QLW209" s="9"/>
      <c r="QLX209" s="9"/>
      <c r="QLY209" s="9"/>
      <c r="QLZ209" s="9"/>
      <c r="QMA209" s="9"/>
      <c r="QMB209" s="9"/>
      <c r="QMC209" s="9"/>
      <c r="QMD209" s="9"/>
      <c r="QME209" s="9"/>
      <c r="QMG209" s="9"/>
      <c r="QMH209" s="9"/>
      <c r="QMI209" s="9"/>
      <c r="QMJ209" s="9"/>
      <c r="QMK209" s="9"/>
      <c r="QML209" s="9"/>
      <c r="QMM209" s="9"/>
      <c r="QMN209" s="9"/>
      <c r="QMO209" s="9"/>
      <c r="QMQ209" s="9"/>
      <c r="QMR209" s="9"/>
      <c r="QMS209" s="9"/>
      <c r="QMT209" s="9"/>
      <c r="QMU209" s="9"/>
      <c r="QMV209" s="9"/>
      <c r="QMW209" s="9"/>
      <c r="QMX209" s="9"/>
      <c r="QMY209" s="9"/>
      <c r="QNA209" s="9"/>
      <c r="QNB209" s="9"/>
      <c r="QNC209" s="9"/>
      <c r="QND209" s="9"/>
      <c r="QNE209" s="9"/>
      <c r="QNF209" s="9"/>
      <c r="QNG209" s="9"/>
      <c r="QNH209" s="9"/>
      <c r="QNI209" s="9"/>
      <c r="QNK209" s="9"/>
      <c r="QNL209" s="9"/>
      <c r="QNM209" s="9"/>
      <c r="QNN209" s="9"/>
      <c r="QNO209" s="9"/>
      <c r="QNP209" s="9"/>
      <c r="QNQ209" s="9"/>
      <c r="QNR209" s="9"/>
      <c r="QNS209" s="9"/>
      <c r="QNU209" s="9"/>
      <c r="QNV209" s="9"/>
      <c r="QNW209" s="9"/>
      <c r="QNX209" s="9"/>
      <c r="QNY209" s="9"/>
      <c r="QNZ209" s="9"/>
      <c r="QOA209" s="9"/>
      <c r="QOB209" s="9"/>
      <c r="QOC209" s="9"/>
      <c r="QOE209" s="9"/>
      <c r="QOF209" s="9"/>
      <c r="QOG209" s="9"/>
      <c r="QOH209" s="9"/>
      <c r="QOI209" s="9"/>
      <c r="QOJ209" s="9"/>
      <c r="QOK209" s="9"/>
      <c r="QOL209" s="9"/>
      <c r="QOM209" s="9"/>
      <c r="QOO209" s="9"/>
      <c r="QOP209" s="9"/>
      <c r="QOQ209" s="9"/>
      <c r="QOR209" s="9"/>
      <c r="QOS209" s="9"/>
      <c r="QOT209" s="9"/>
      <c r="QOU209" s="9"/>
      <c r="QOV209" s="9"/>
      <c r="QOW209" s="9"/>
      <c r="QOY209" s="9"/>
      <c r="QOZ209" s="9"/>
      <c r="QPA209" s="9"/>
      <c r="QPB209" s="9"/>
      <c r="QPC209" s="9"/>
      <c r="QPD209" s="9"/>
      <c r="QPE209" s="9"/>
      <c r="QPF209" s="9"/>
      <c r="QPG209" s="9"/>
      <c r="QPI209" s="9"/>
      <c r="QPJ209" s="9"/>
      <c r="QPK209" s="9"/>
      <c r="QPL209" s="9"/>
      <c r="QPM209" s="9"/>
      <c r="QPN209" s="9"/>
      <c r="QPO209" s="9"/>
      <c r="QPP209" s="9"/>
      <c r="QPQ209" s="9"/>
      <c r="QPS209" s="9"/>
      <c r="QPT209" s="9"/>
      <c r="QPU209" s="9"/>
      <c r="QPV209" s="9"/>
      <c r="QPW209" s="9"/>
      <c r="QPX209" s="9"/>
      <c r="QPY209" s="9"/>
      <c r="QPZ209" s="9"/>
      <c r="QQA209" s="9"/>
      <c r="QQC209" s="9"/>
      <c r="QQD209" s="9"/>
      <c r="QQE209" s="9"/>
      <c r="QQF209" s="9"/>
      <c r="QQG209" s="9"/>
      <c r="QQH209" s="9"/>
      <c r="QQI209" s="9"/>
      <c r="QQJ209" s="9"/>
      <c r="QQK209" s="9"/>
      <c r="QQM209" s="9"/>
      <c r="QQN209" s="9"/>
      <c r="QQO209" s="9"/>
      <c r="QQP209" s="9"/>
      <c r="QQQ209" s="9"/>
      <c r="QQR209" s="9"/>
      <c r="QQS209" s="9"/>
      <c r="QQT209" s="9"/>
      <c r="QQU209" s="9"/>
      <c r="QQW209" s="9"/>
      <c r="QQX209" s="9"/>
      <c r="QQY209" s="9"/>
      <c r="QQZ209" s="9"/>
      <c r="QRA209" s="9"/>
      <c r="QRB209" s="9"/>
      <c r="QRC209" s="9"/>
      <c r="QRD209" s="9"/>
      <c r="QRE209" s="9"/>
      <c r="QRG209" s="9"/>
      <c r="QRH209" s="9"/>
      <c r="QRI209" s="9"/>
      <c r="QRJ209" s="9"/>
      <c r="QRK209" s="9"/>
      <c r="QRL209" s="9"/>
      <c r="QRM209" s="9"/>
      <c r="QRN209" s="9"/>
      <c r="QRO209" s="9"/>
      <c r="QRQ209" s="9"/>
      <c r="QRR209" s="9"/>
      <c r="QRS209" s="9"/>
      <c r="QRT209" s="9"/>
      <c r="QRU209" s="9"/>
      <c r="QRV209" s="9"/>
      <c r="QRW209" s="9"/>
      <c r="QRX209" s="9"/>
      <c r="QRY209" s="9"/>
      <c r="QSA209" s="9"/>
      <c r="QSB209" s="9"/>
      <c r="QSC209" s="9"/>
      <c r="QSD209" s="9"/>
      <c r="QSE209" s="9"/>
      <c r="QSF209" s="9"/>
      <c r="QSG209" s="9"/>
      <c r="QSH209" s="9"/>
      <c r="QSI209" s="9"/>
      <c r="QSK209" s="9"/>
      <c r="QSL209" s="9"/>
      <c r="QSM209" s="9"/>
      <c r="QSN209" s="9"/>
      <c r="QSO209" s="9"/>
      <c r="QSP209" s="9"/>
      <c r="QSQ209" s="9"/>
      <c r="QSR209" s="9"/>
      <c r="QSS209" s="9"/>
      <c r="QSU209" s="9"/>
      <c r="QSV209" s="9"/>
      <c r="QSW209" s="9"/>
      <c r="QSX209" s="9"/>
      <c r="QSY209" s="9"/>
      <c r="QSZ209" s="9"/>
      <c r="QTA209" s="9"/>
      <c r="QTB209" s="9"/>
      <c r="QTC209" s="9"/>
      <c r="QTE209" s="9"/>
      <c r="QTF209" s="9"/>
      <c r="QTG209" s="9"/>
      <c r="QTH209" s="9"/>
      <c r="QTI209" s="9"/>
      <c r="QTJ209" s="9"/>
      <c r="QTK209" s="9"/>
      <c r="QTL209" s="9"/>
      <c r="QTM209" s="9"/>
      <c r="QTO209" s="9"/>
      <c r="QTP209" s="9"/>
      <c r="QTQ209" s="9"/>
      <c r="QTR209" s="9"/>
      <c r="QTS209" s="9"/>
      <c r="QTT209" s="9"/>
      <c r="QTU209" s="9"/>
      <c r="QTV209" s="9"/>
      <c r="QTW209" s="9"/>
      <c r="QTY209" s="9"/>
      <c r="QTZ209" s="9"/>
      <c r="QUA209" s="9"/>
      <c r="QUB209" s="9"/>
      <c r="QUC209" s="9"/>
      <c r="QUD209" s="9"/>
      <c r="QUE209" s="9"/>
      <c r="QUF209" s="9"/>
      <c r="QUG209" s="9"/>
      <c r="QUI209" s="9"/>
      <c r="QUJ209" s="9"/>
      <c r="QUK209" s="9"/>
      <c r="QUL209" s="9"/>
      <c r="QUM209" s="9"/>
      <c r="QUN209" s="9"/>
      <c r="QUO209" s="9"/>
      <c r="QUP209" s="9"/>
      <c r="QUQ209" s="9"/>
      <c r="QUS209" s="9"/>
      <c r="QUT209" s="9"/>
      <c r="QUU209" s="9"/>
      <c r="QUV209" s="9"/>
      <c r="QUW209" s="9"/>
      <c r="QUX209" s="9"/>
      <c r="QUY209" s="9"/>
      <c r="QUZ209" s="9"/>
      <c r="QVA209" s="9"/>
      <c r="QVC209" s="9"/>
      <c r="QVD209" s="9"/>
      <c r="QVE209" s="9"/>
      <c r="QVF209" s="9"/>
      <c r="QVG209" s="9"/>
      <c r="QVH209" s="9"/>
      <c r="QVI209" s="9"/>
      <c r="QVJ209" s="9"/>
      <c r="QVK209" s="9"/>
      <c r="QVM209" s="9"/>
      <c r="QVN209" s="9"/>
      <c r="QVO209" s="9"/>
      <c r="QVP209" s="9"/>
      <c r="QVQ209" s="9"/>
      <c r="QVR209" s="9"/>
      <c r="QVS209" s="9"/>
      <c r="QVT209" s="9"/>
      <c r="QVU209" s="9"/>
      <c r="QVW209" s="9"/>
      <c r="QVX209" s="9"/>
      <c r="QVY209" s="9"/>
      <c r="QVZ209" s="9"/>
      <c r="QWA209" s="9"/>
      <c r="QWB209" s="9"/>
      <c r="QWC209" s="9"/>
      <c r="QWD209" s="9"/>
      <c r="QWE209" s="9"/>
      <c r="QWG209" s="9"/>
      <c r="QWH209" s="9"/>
      <c r="QWI209" s="9"/>
      <c r="QWJ209" s="9"/>
      <c r="QWK209" s="9"/>
      <c r="QWL209" s="9"/>
      <c r="QWM209" s="9"/>
      <c r="QWN209" s="9"/>
      <c r="QWO209" s="9"/>
      <c r="QWQ209" s="9"/>
      <c r="QWR209" s="9"/>
      <c r="QWS209" s="9"/>
      <c r="QWT209" s="9"/>
      <c r="QWU209" s="9"/>
      <c r="QWV209" s="9"/>
      <c r="QWW209" s="9"/>
      <c r="QWX209" s="9"/>
      <c r="QWY209" s="9"/>
      <c r="QXA209" s="9"/>
      <c r="QXB209" s="9"/>
      <c r="QXC209" s="9"/>
      <c r="QXD209" s="9"/>
      <c r="QXE209" s="9"/>
      <c r="QXF209" s="9"/>
      <c r="QXG209" s="9"/>
      <c r="QXH209" s="9"/>
      <c r="QXI209" s="9"/>
      <c r="QXK209" s="9"/>
      <c r="QXL209" s="9"/>
      <c r="QXM209" s="9"/>
      <c r="QXN209" s="9"/>
      <c r="QXO209" s="9"/>
      <c r="QXP209" s="9"/>
      <c r="QXQ209" s="9"/>
      <c r="QXR209" s="9"/>
      <c r="QXS209" s="9"/>
      <c r="QXU209" s="9"/>
      <c r="QXV209" s="9"/>
      <c r="QXW209" s="9"/>
      <c r="QXX209" s="9"/>
      <c r="QXY209" s="9"/>
      <c r="QXZ209" s="9"/>
      <c r="QYA209" s="9"/>
      <c r="QYB209" s="9"/>
      <c r="QYC209" s="9"/>
      <c r="QYE209" s="9"/>
      <c r="QYF209" s="9"/>
      <c r="QYG209" s="9"/>
      <c r="QYH209" s="9"/>
      <c r="QYI209" s="9"/>
      <c r="QYJ209" s="9"/>
      <c r="QYK209" s="9"/>
      <c r="QYL209" s="9"/>
      <c r="QYM209" s="9"/>
      <c r="QYO209" s="9"/>
      <c r="QYP209" s="9"/>
      <c r="QYQ209" s="9"/>
      <c r="QYR209" s="9"/>
      <c r="QYS209" s="9"/>
      <c r="QYT209" s="9"/>
      <c r="QYU209" s="9"/>
      <c r="QYV209" s="9"/>
      <c r="QYW209" s="9"/>
      <c r="QYY209" s="9"/>
      <c r="QYZ209" s="9"/>
      <c r="QZA209" s="9"/>
      <c r="QZB209" s="9"/>
      <c r="QZC209" s="9"/>
      <c r="QZD209" s="9"/>
      <c r="QZE209" s="9"/>
      <c r="QZF209" s="9"/>
      <c r="QZG209" s="9"/>
      <c r="QZI209" s="9"/>
      <c r="QZJ209" s="9"/>
      <c r="QZK209" s="9"/>
      <c r="QZL209" s="9"/>
      <c r="QZM209" s="9"/>
      <c r="QZN209" s="9"/>
      <c r="QZO209" s="9"/>
      <c r="QZP209" s="9"/>
      <c r="QZQ209" s="9"/>
      <c r="QZS209" s="9"/>
      <c r="QZT209" s="9"/>
      <c r="QZU209" s="9"/>
      <c r="QZV209" s="9"/>
      <c r="QZW209" s="9"/>
      <c r="QZX209" s="9"/>
      <c r="QZY209" s="9"/>
      <c r="QZZ209" s="9"/>
      <c r="RAA209" s="9"/>
      <c r="RAC209" s="9"/>
      <c r="RAD209" s="9"/>
      <c r="RAE209" s="9"/>
      <c r="RAF209" s="9"/>
      <c r="RAG209" s="9"/>
      <c r="RAH209" s="9"/>
      <c r="RAI209" s="9"/>
      <c r="RAJ209" s="9"/>
      <c r="RAK209" s="9"/>
      <c r="RAM209" s="9"/>
      <c r="RAN209" s="9"/>
      <c r="RAO209" s="9"/>
      <c r="RAP209" s="9"/>
      <c r="RAQ209" s="9"/>
      <c r="RAR209" s="9"/>
      <c r="RAS209" s="9"/>
      <c r="RAT209" s="9"/>
      <c r="RAU209" s="9"/>
      <c r="RAW209" s="9"/>
      <c r="RAX209" s="9"/>
      <c r="RAY209" s="9"/>
      <c r="RAZ209" s="9"/>
      <c r="RBA209" s="9"/>
      <c r="RBB209" s="9"/>
      <c r="RBC209" s="9"/>
      <c r="RBD209" s="9"/>
      <c r="RBE209" s="9"/>
      <c r="RBG209" s="9"/>
      <c r="RBH209" s="9"/>
      <c r="RBI209" s="9"/>
      <c r="RBJ209" s="9"/>
      <c r="RBK209" s="9"/>
      <c r="RBL209" s="9"/>
      <c r="RBM209" s="9"/>
      <c r="RBN209" s="9"/>
      <c r="RBO209" s="9"/>
      <c r="RBQ209" s="9"/>
      <c r="RBR209" s="9"/>
      <c r="RBS209" s="9"/>
      <c r="RBT209" s="9"/>
      <c r="RBU209" s="9"/>
      <c r="RBV209" s="9"/>
      <c r="RBW209" s="9"/>
      <c r="RBX209" s="9"/>
      <c r="RBY209" s="9"/>
      <c r="RCA209" s="9"/>
      <c r="RCB209" s="9"/>
      <c r="RCC209" s="9"/>
      <c r="RCD209" s="9"/>
      <c r="RCE209" s="9"/>
      <c r="RCF209" s="9"/>
      <c r="RCG209" s="9"/>
      <c r="RCH209" s="9"/>
      <c r="RCI209" s="9"/>
      <c r="RCK209" s="9"/>
      <c r="RCL209" s="9"/>
      <c r="RCM209" s="9"/>
      <c r="RCN209" s="9"/>
      <c r="RCO209" s="9"/>
      <c r="RCP209" s="9"/>
      <c r="RCQ209" s="9"/>
      <c r="RCR209" s="9"/>
      <c r="RCS209" s="9"/>
      <c r="RCU209" s="9"/>
      <c r="RCV209" s="9"/>
      <c r="RCW209" s="9"/>
      <c r="RCX209" s="9"/>
      <c r="RCY209" s="9"/>
      <c r="RCZ209" s="9"/>
      <c r="RDA209" s="9"/>
      <c r="RDB209" s="9"/>
      <c r="RDC209" s="9"/>
      <c r="RDE209" s="9"/>
      <c r="RDF209" s="9"/>
      <c r="RDG209" s="9"/>
      <c r="RDH209" s="9"/>
      <c r="RDI209" s="9"/>
      <c r="RDJ209" s="9"/>
      <c r="RDK209" s="9"/>
      <c r="RDL209" s="9"/>
      <c r="RDM209" s="9"/>
      <c r="RDO209" s="9"/>
      <c r="RDP209" s="9"/>
      <c r="RDQ209" s="9"/>
      <c r="RDR209" s="9"/>
      <c r="RDS209" s="9"/>
      <c r="RDT209" s="9"/>
      <c r="RDU209" s="9"/>
      <c r="RDV209" s="9"/>
      <c r="RDW209" s="9"/>
      <c r="RDY209" s="9"/>
      <c r="RDZ209" s="9"/>
      <c r="REA209" s="9"/>
      <c r="REB209" s="9"/>
      <c r="REC209" s="9"/>
      <c r="RED209" s="9"/>
      <c r="REE209" s="9"/>
      <c r="REF209" s="9"/>
      <c r="REG209" s="9"/>
      <c r="REI209" s="9"/>
      <c r="REJ209" s="9"/>
      <c r="REK209" s="9"/>
      <c r="REL209" s="9"/>
      <c r="REM209" s="9"/>
      <c r="REN209" s="9"/>
      <c r="REO209" s="9"/>
      <c r="REP209" s="9"/>
      <c r="REQ209" s="9"/>
      <c r="RES209" s="9"/>
      <c r="RET209" s="9"/>
      <c r="REU209" s="9"/>
      <c r="REV209" s="9"/>
      <c r="REW209" s="9"/>
      <c r="REX209" s="9"/>
      <c r="REY209" s="9"/>
      <c r="REZ209" s="9"/>
      <c r="RFA209" s="9"/>
      <c r="RFC209" s="9"/>
      <c r="RFD209" s="9"/>
      <c r="RFE209" s="9"/>
      <c r="RFF209" s="9"/>
      <c r="RFG209" s="9"/>
      <c r="RFH209" s="9"/>
      <c r="RFI209" s="9"/>
      <c r="RFJ209" s="9"/>
      <c r="RFK209" s="9"/>
      <c r="RFM209" s="9"/>
      <c r="RFN209" s="9"/>
      <c r="RFO209" s="9"/>
      <c r="RFP209" s="9"/>
      <c r="RFQ209" s="9"/>
      <c r="RFR209" s="9"/>
      <c r="RFS209" s="9"/>
      <c r="RFT209" s="9"/>
      <c r="RFU209" s="9"/>
      <c r="RFW209" s="9"/>
      <c r="RFX209" s="9"/>
      <c r="RFY209" s="9"/>
      <c r="RFZ209" s="9"/>
      <c r="RGA209" s="9"/>
      <c r="RGB209" s="9"/>
      <c r="RGC209" s="9"/>
      <c r="RGD209" s="9"/>
      <c r="RGE209" s="9"/>
      <c r="RGG209" s="9"/>
      <c r="RGH209" s="9"/>
      <c r="RGI209" s="9"/>
      <c r="RGJ209" s="9"/>
      <c r="RGK209" s="9"/>
      <c r="RGL209" s="9"/>
      <c r="RGM209" s="9"/>
      <c r="RGN209" s="9"/>
      <c r="RGO209" s="9"/>
      <c r="RGQ209" s="9"/>
      <c r="RGR209" s="9"/>
      <c r="RGS209" s="9"/>
      <c r="RGT209" s="9"/>
      <c r="RGU209" s="9"/>
      <c r="RGV209" s="9"/>
      <c r="RGW209" s="9"/>
      <c r="RGX209" s="9"/>
      <c r="RGY209" s="9"/>
      <c r="RHA209" s="9"/>
      <c r="RHB209" s="9"/>
      <c r="RHC209" s="9"/>
      <c r="RHD209" s="9"/>
      <c r="RHE209" s="9"/>
      <c r="RHF209" s="9"/>
      <c r="RHG209" s="9"/>
      <c r="RHH209" s="9"/>
      <c r="RHI209" s="9"/>
      <c r="RHK209" s="9"/>
      <c r="RHL209" s="9"/>
      <c r="RHM209" s="9"/>
      <c r="RHN209" s="9"/>
      <c r="RHO209" s="9"/>
      <c r="RHP209" s="9"/>
      <c r="RHQ209" s="9"/>
      <c r="RHR209" s="9"/>
      <c r="RHS209" s="9"/>
      <c r="RHU209" s="9"/>
      <c r="RHV209" s="9"/>
      <c r="RHW209" s="9"/>
      <c r="RHX209" s="9"/>
      <c r="RHY209" s="9"/>
      <c r="RHZ209" s="9"/>
      <c r="RIA209" s="9"/>
      <c r="RIB209" s="9"/>
      <c r="RIC209" s="9"/>
      <c r="RIE209" s="9"/>
      <c r="RIF209" s="9"/>
      <c r="RIG209" s="9"/>
      <c r="RIH209" s="9"/>
      <c r="RII209" s="9"/>
      <c r="RIJ209" s="9"/>
      <c r="RIK209" s="9"/>
      <c r="RIL209" s="9"/>
      <c r="RIM209" s="9"/>
      <c r="RIO209" s="9"/>
      <c r="RIP209" s="9"/>
      <c r="RIQ209" s="9"/>
      <c r="RIR209" s="9"/>
      <c r="RIS209" s="9"/>
      <c r="RIT209" s="9"/>
      <c r="RIU209" s="9"/>
      <c r="RIV209" s="9"/>
      <c r="RIW209" s="9"/>
      <c r="RIY209" s="9"/>
      <c r="RIZ209" s="9"/>
      <c r="RJA209" s="9"/>
      <c r="RJB209" s="9"/>
      <c r="RJC209" s="9"/>
      <c r="RJD209" s="9"/>
      <c r="RJE209" s="9"/>
      <c r="RJF209" s="9"/>
      <c r="RJG209" s="9"/>
      <c r="RJI209" s="9"/>
      <c r="RJJ209" s="9"/>
      <c r="RJK209" s="9"/>
      <c r="RJL209" s="9"/>
      <c r="RJM209" s="9"/>
      <c r="RJN209" s="9"/>
      <c r="RJO209" s="9"/>
      <c r="RJP209" s="9"/>
      <c r="RJQ209" s="9"/>
      <c r="RJS209" s="9"/>
      <c r="RJT209" s="9"/>
      <c r="RJU209" s="9"/>
      <c r="RJV209" s="9"/>
      <c r="RJW209" s="9"/>
      <c r="RJX209" s="9"/>
      <c r="RJY209" s="9"/>
      <c r="RJZ209" s="9"/>
      <c r="RKA209" s="9"/>
      <c r="RKC209" s="9"/>
      <c r="RKD209" s="9"/>
      <c r="RKE209" s="9"/>
      <c r="RKF209" s="9"/>
      <c r="RKG209" s="9"/>
      <c r="RKH209" s="9"/>
      <c r="RKI209" s="9"/>
      <c r="RKJ209" s="9"/>
      <c r="RKK209" s="9"/>
      <c r="RKM209" s="9"/>
      <c r="RKN209" s="9"/>
      <c r="RKO209" s="9"/>
      <c r="RKP209" s="9"/>
      <c r="RKQ209" s="9"/>
      <c r="RKR209" s="9"/>
      <c r="RKS209" s="9"/>
      <c r="RKT209" s="9"/>
      <c r="RKU209" s="9"/>
      <c r="RKW209" s="9"/>
      <c r="RKX209" s="9"/>
      <c r="RKY209" s="9"/>
      <c r="RKZ209" s="9"/>
      <c r="RLA209" s="9"/>
      <c r="RLB209" s="9"/>
      <c r="RLC209" s="9"/>
      <c r="RLD209" s="9"/>
      <c r="RLE209" s="9"/>
      <c r="RLG209" s="9"/>
      <c r="RLH209" s="9"/>
      <c r="RLI209" s="9"/>
      <c r="RLJ209" s="9"/>
      <c r="RLK209" s="9"/>
      <c r="RLL209" s="9"/>
      <c r="RLM209" s="9"/>
      <c r="RLN209" s="9"/>
      <c r="RLO209" s="9"/>
      <c r="RLQ209" s="9"/>
      <c r="RLR209" s="9"/>
      <c r="RLS209" s="9"/>
      <c r="RLT209" s="9"/>
      <c r="RLU209" s="9"/>
      <c r="RLV209" s="9"/>
      <c r="RLW209" s="9"/>
      <c r="RLX209" s="9"/>
      <c r="RLY209" s="9"/>
      <c r="RMA209" s="9"/>
      <c r="RMB209" s="9"/>
      <c r="RMC209" s="9"/>
      <c r="RMD209" s="9"/>
      <c r="RME209" s="9"/>
      <c r="RMF209" s="9"/>
      <c r="RMG209" s="9"/>
      <c r="RMH209" s="9"/>
      <c r="RMI209" s="9"/>
      <c r="RMK209" s="9"/>
      <c r="RML209" s="9"/>
      <c r="RMM209" s="9"/>
      <c r="RMN209" s="9"/>
      <c r="RMO209" s="9"/>
      <c r="RMP209" s="9"/>
      <c r="RMQ209" s="9"/>
      <c r="RMR209" s="9"/>
      <c r="RMS209" s="9"/>
      <c r="RMU209" s="9"/>
      <c r="RMV209" s="9"/>
      <c r="RMW209" s="9"/>
      <c r="RMX209" s="9"/>
      <c r="RMY209" s="9"/>
      <c r="RMZ209" s="9"/>
      <c r="RNA209" s="9"/>
      <c r="RNB209" s="9"/>
      <c r="RNC209" s="9"/>
      <c r="RNE209" s="9"/>
      <c r="RNF209" s="9"/>
      <c r="RNG209" s="9"/>
      <c r="RNH209" s="9"/>
      <c r="RNI209" s="9"/>
      <c r="RNJ209" s="9"/>
      <c r="RNK209" s="9"/>
      <c r="RNL209" s="9"/>
      <c r="RNM209" s="9"/>
      <c r="RNO209" s="9"/>
      <c r="RNP209" s="9"/>
      <c r="RNQ209" s="9"/>
      <c r="RNR209" s="9"/>
      <c r="RNS209" s="9"/>
      <c r="RNT209" s="9"/>
      <c r="RNU209" s="9"/>
      <c r="RNV209" s="9"/>
      <c r="RNW209" s="9"/>
      <c r="RNY209" s="9"/>
      <c r="RNZ209" s="9"/>
      <c r="ROA209" s="9"/>
      <c r="ROB209" s="9"/>
      <c r="ROC209" s="9"/>
      <c r="ROD209" s="9"/>
      <c r="ROE209" s="9"/>
      <c r="ROF209" s="9"/>
      <c r="ROG209" s="9"/>
      <c r="ROI209" s="9"/>
      <c r="ROJ209" s="9"/>
      <c r="ROK209" s="9"/>
      <c r="ROL209" s="9"/>
      <c r="ROM209" s="9"/>
      <c r="RON209" s="9"/>
      <c r="ROO209" s="9"/>
      <c r="ROP209" s="9"/>
      <c r="ROQ209" s="9"/>
      <c r="ROS209" s="9"/>
      <c r="ROT209" s="9"/>
      <c r="ROU209" s="9"/>
      <c r="ROV209" s="9"/>
      <c r="ROW209" s="9"/>
      <c r="ROX209" s="9"/>
      <c r="ROY209" s="9"/>
      <c r="ROZ209" s="9"/>
      <c r="RPA209" s="9"/>
      <c r="RPC209" s="9"/>
      <c r="RPD209" s="9"/>
      <c r="RPE209" s="9"/>
      <c r="RPF209" s="9"/>
      <c r="RPG209" s="9"/>
      <c r="RPH209" s="9"/>
      <c r="RPI209" s="9"/>
      <c r="RPJ209" s="9"/>
      <c r="RPK209" s="9"/>
      <c r="RPM209" s="9"/>
      <c r="RPN209" s="9"/>
      <c r="RPO209" s="9"/>
      <c r="RPP209" s="9"/>
      <c r="RPQ209" s="9"/>
      <c r="RPR209" s="9"/>
      <c r="RPS209" s="9"/>
      <c r="RPT209" s="9"/>
      <c r="RPU209" s="9"/>
      <c r="RPW209" s="9"/>
      <c r="RPX209" s="9"/>
      <c r="RPY209" s="9"/>
      <c r="RPZ209" s="9"/>
      <c r="RQA209" s="9"/>
      <c r="RQB209" s="9"/>
      <c r="RQC209" s="9"/>
      <c r="RQD209" s="9"/>
      <c r="RQE209" s="9"/>
      <c r="RQG209" s="9"/>
      <c r="RQH209" s="9"/>
      <c r="RQI209" s="9"/>
      <c r="RQJ209" s="9"/>
      <c r="RQK209" s="9"/>
      <c r="RQL209" s="9"/>
      <c r="RQM209" s="9"/>
      <c r="RQN209" s="9"/>
      <c r="RQO209" s="9"/>
      <c r="RQQ209" s="9"/>
      <c r="RQR209" s="9"/>
      <c r="RQS209" s="9"/>
      <c r="RQT209" s="9"/>
      <c r="RQU209" s="9"/>
      <c r="RQV209" s="9"/>
      <c r="RQW209" s="9"/>
      <c r="RQX209" s="9"/>
      <c r="RQY209" s="9"/>
      <c r="RRA209" s="9"/>
      <c r="RRB209" s="9"/>
      <c r="RRC209" s="9"/>
      <c r="RRD209" s="9"/>
      <c r="RRE209" s="9"/>
      <c r="RRF209" s="9"/>
      <c r="RRG209" s="9"/>
      <c r="RRH209" s="9"/>
      <c r="RRI209" s="9"/>
      <c r="RRK209" s="9"/>
      <c r="RRL209" s="9"/>
      <c r="RRM209" s="9"/>
      <c r="RRN209" s="9"/>
      <c r="RRO209" s="9"/>
      <c r="RRP209" s="9"/>
      <c r="RRQ209" s="9"/>
      <c r="RRR209" s="9"/>
      <c r="RRS209" s="9"/>
      <c r="RRU209" s="9"/>
      <c r="RRV209" s="9"/>
      <c r="RRW209" s="9"/>
      <c r="RRX209" s="9"/>
      <c r="RRY209" s="9"/>
      <c r="RRZ209" s="9"/>
      <c r="RSA209" s="9"/>
      <c r="RSB209" s="9"/>
      <c r="RSC209" s="9"/>
      <c r="RSE209" s="9"/>
      <c r="RSF209" s="9"/>
      <c r="RSG209" s="9"/>
      <c r="RSH209" s="9"/>
      <c r="RSI209" s="9"/>
      <c r="RSJ209" s="9"/>
      <c r="RSK209" s="9"/>
      <c r="RSL209" s="9"/>
      <c r="RSM209" s="9"/>
      <c r="RSO209" s="9"/>
      <c r="RSP209" s="9"/>
      <c r="RSQ209" s="9"/>
      <c r="RSR209" s="9"/>
      <c r="RSS209" s="9"/>
      <c r="RST209" s="9"/>
      <c r="RSU209" s="9"/>
      <c r="RSV209" s="9"/>
      <c r="RSW209" s="9"/>
      <c r="RSY209" s="9"/>
      <c r="RSZ209" s="9"/>
      <c r="RTA209" s="9"/>
      <c r="RTB209" s="9"/>
      <c r="RTC209" s="9"/>
      <c r="RTD209" s="9"/>
      <c r="RTE209" s="9"/>
      <c r="RTF209" s="9"/>
      <c r="RTG209" s="9"/>
      <c r="RTI209" s="9"/>
      <c r="RTJ209" s="9"/>
      <c r="RTK209" s="9"/>
      <c r="RTL209" s="9"/>
      <c r="RTM209" s="9"/>
      <c r="RTN209" s="9"/>
      <c r="RTO209" s="9"/>
      <c r="RTP209" s="9"/>
      <c r="RTQ209" s="9"/>
      <c r="RTS209" s="9"/>
      <c r="RTT209" s="9"/>
      <c r="RTU209" s="9"/>
      <c r="RTV209" s="9"/>
      <c r="RTW209" s="9"/>
      <c r="RTX209" s="9"/>
      <c r="RTY209" s="9"/>
      <c r="RTZ209" s="9"/>
      <c r="RUA209" s="9"/>
      <c r="RUC209" s="9"/>
      <c r="RUD209" s="9"/>
      <c r="RUE209" s="9"/>
      <c r="RUF209" s="9"/>
      <c r="RUG209" s="9"/>
      <c r="RUH209" s="9"/>
      <c r="RUI209" s="9"/>
      <c r="RUJ209" s="9"/>
      <c r="RUK209" s="9"/>
      <c r="RUM209" s="9"/>
      <c r="RUN209" s="9"/>
      <c r="RUO209" s="9"/>
      <c r="RUP209" s="9"/>
      <c r="RUQ209" s="9"/>
      <c r="RUR209" s="9"/>
      <c r="RUS209" s="9"/>
      <c r="RUT209" s="9"/>
      <c r="RUU209" s="9"/>
      <c r="RUW209" s="9"/>
      <c r="RUX209" s="9"/>
      <c r="RUY209" s="9"/>
      <c r="RUZ209" s="9"/>
      <c r="RVA209" s="9"/>
      <c r="RVB209" s="9"/>
      <c r="RVC209" s="9"/>
      <c r="RVD209" s="9"/>
      <c r="RVE209" s="9"/>
      <c r="RVG209" s="9"/>
      <c r="RVH209" s="9"/>
      <c r="RVI209" s="9"/>
      <c r="RVJ209" s="9"/>
      <c r="RVK209" s="9"/>
      <c r="RVL209" s="9"/>
      <c r="RVM209" s="9"/>
      <c r="RVN209" s="9"/>
      <c r="RVO209" s="9"/>
      <c r="RVQ209" s="9"/>
      <c r="RVR209" s="9"/>
      <c r="RVS209" s="9"/>
      <c r="RVT209" s="9"/>
      <c r="RVU209" s="9"/>
      <c r="RVV209" s="9"/>
      <c r="RVW209" s="9"/>
      <c r="RVX209" s="9"/>
      <c r="RVY209" s="9"/>
      <c r="RWA209" s="9"/>
      <c r="RWB209" s="9"/>
      <c r="RWC209" s="9"/>
      <c r="RWD209" s="9"/>
      <c r="RWE209" s="9"/>
      <c r="RWF209" s="9"/>
      <c r="RWG209" s="9"/>
      <c r="RWH209" s="9"/>
      <c r="RWI209" s="9"/>
      <c r="RWK209" s="9"/>
      <c r="RWL209" s="9"/>
      <c r="RWM209" s="9"/>
      <c r="RWN209" s="9"/>
      <c r="RWO209" s="9"/>
      <c r="RWP209" s="9"/>
      <c r="RWQ209" s="9"/>
      <c r="RWR209" s="9"/>
      <c r="RWS209" s="9"/>
      <c r="RWU209" s="9"/>
      <c r="RWV209" s="9"/>
      <c r="RWW209" s="9"/>
      <c r="RWX209" s="9"/>
      <c r="RWY209" s="9"/>
      <c r="RWZ209" s="9"/>
      <c r="RXA209" s="9"/>
      <c r="RXB209" s="9"/>
      <c r="RXC209" s="9"/>
      <c r="RXE209" s="9"/>
      <c r="RXF209" s="9"/>
      <c r="RXG209" s="9"/>
      <c r="RXH209" s="9"/>
      <c r="RXI209" s="9"/>
      <c r="RXJ209" s="9"/>
      <c r="RXK209" s="9"/>
      <c r="RXL209" s="9"/>
      <c r="RXM209" s="9"/>
      <c r="RXO209" s="9"/>
      <c r="RXP209" s="9"/>
      <c r="RXQ209" s="9"/>
      <c r="RXR209" s="9"/>
      <c r="RXS209" s="9"/>
      <c r="RXT209" s="9"/>
      <c r="RXU209" s="9"/>
      <c r="RXV209" s="9"/>
      <c r="RXW209" s="9"/>
      <c r="RXY209" s="9"/>
      <c r="RXZ209" s="9"/>
      <c r="RYA209" s="9"/>
      <c r="RYB209" s="9"/>
      <c r="RYC209" s="9"/>
      <c r="RYD209" s="9"/>
      <c r="RYE209" s="9"/>
      <c r="RYF209" s="9"/>
      <c r="RYG209" s="9"/>
      <c r="RYI209" s="9"/>
      <c r="RYJ209" s="9"/>
      <c r="RYK209" s="9"/>
      <c r="RYL209" s="9"/>
      <c r="RYM209" s="9"/>
      <c r="RYN209" s="9"/>
      <c r="RYO209" s="9"/>
      <c r="RYP209" s="9"/>
      <c r="RYQ209" s="9"/>
      <c r="RYS209" s="9"/>
      <c r="RYT209" s="9"/>
      <c r="RYU209" s="9"/>
      <c r="RYV209" s="9"/>
      <c r="RYW209" s="9"/>
      <c r="RYX209" s="9"/>
      <c r="RYY209" s="9"/>
      <c r="RYZ209" s="9"/>
      <c r="RZA209" s="9"/>
      <c r="RZC209" s="9"/>
      <c r="RZD209" s="9"/>
      <c r="RZE209" s="9"/>
      <c r="RZF209" s="9"/>
      <c r="RZG209" s="9"/>
      <c r="RZH209" s="9"/>
      <c r="RZI209" s="9"/>
      <c r="RZJ209" s="9"/>
      <c r="RZK209" s="9"/>
      <c r="RZM209" s="9"/>
      <c r="RZN209" s="9"/>
      <c r="RZO209" s="9"/>
      <c r="RZP209" s="9"/>
      <c r="RZQ209" s="9"/>
      <c r="RZR209" s="9"/>
      <c r="RZS209" s="9"/>
      <c r="RZT209" s="9"/>
      <c r="RZU209" s="9"/>
      <c r="RZW209" s="9"/>
      <c r="RZX209" s="9"/>
      <c r="RZY209" s="9"/>
      <c r="RZZ209" s="9"/>
      <c r="SAA209" s="9"/>
      <c r="SAB209" s="9"/>
      <c r="SAC209" s="9"/>
      <c r="SAD209" s="9"/>
      <c r="SAE209" s="9"/>
      <c r="SAG209" s="9"/>
      <c r="SAH209" s="9"/>
      <c r="SAI209" s="9"/>
      <c r="SAJ209" s="9"/>
      <c r="SAK209" s="9"/>
      <c r="SAL209" s="9"/>
      <c r="SAM209" s="9"/>
      <c r="SAN209" s="9"/>
      <c r="SAO209" s="9"/>
      <c r="SAQ209" s="9"/>
      <c r="SAR209" s="9"/>
      <c r="SAS209" s="9"/>
      <c r="SAT209" s="9"/>
      <c r="SAU209" s="9"/>
      <c r="SAV209" s="9"/>
      <c r="SAW209" s="9"/>
      <c r="SAX209" s="9"/>
      <c r="SAY209" s="9"/>
      <c r="SBA209" s="9"/>
      <c r="SBB209" s="9"/>
      <c r="SBC209" s="9"/>
      <c r="SBD209" s="9"/>
      <c r="SBE209" s="9"/>
      <c r="SBF209" s="9"/>
      <c r="SBG209" s="9"/>
      <c r="SBH209" s="9"/>
      <c r="SBI209" s="9"/>
      <c r="SBK209" s="9"/>
      <c r="SBL209" s="9"/>
      <c r="SBM209" s="9"/>
      <c r="SBN209" s="9"/>
      <c r="SBO209" s="9"/>
      <c r="SBP209" s="9"/>
      <c r="SBQ209" s="9"/>
      <c r="SBR209" s="9"/>
      <c r="SBS209" s="9"/>
      <c r="SBU209" s="9"/>
      <c r="SBV209" s="9"/>
      <c r="SBW209" s="9"/>
      <c r="SBX209" s="9"/>
      <c r="SBY209" s="9"/>
      <c r="SBZ209" s="9"/>
      <c r="SCA209" s="9"/>
      <c r="SCB209" s="9"/>
      <c r="SCC209" s="9"/>
      <c r="SCE209" s="9"/>
      <c r="SCF209" s="9"/>
      <c r="SCG209" s="9"/>
      <c r="SCH209" s="9"/>
      <c r="SCI209" s="9"/>
      <c r="SCJ209" s="9"/>
      <c r="SCK209" s="9"/>
      <c r="SCL209" s="9"/>
      <c r="SCM209" s="9"/>
      <c r="SCO209" s="9"/>
      <c r="SCP209" s="9"/>
      <c r="SCQ209" s="9"/>
      <c r="SCR209" s="9"/>
      <c r="SCS209" s="9"/>
      <c r="SCT209" s="9"/>
      <c r="SCU209" s="9"/>
      <c r="SCV209" s="9"/>
      <c r="SCW209" s="9"/>
      <c r="SCY209" s="9"/>
      <c r="SCZ209" s="9"/>
      <c r="SDA209" s="9"/>
      <c r="SDB209" s="9"/>
      <c r="SDC209" s="9"/>
      <c r="SDD209" s="9"/>
      <c r="SDE209" s="9"/>
      <c r="SDF209" s="9"/>
      <c r="SDG209" s="9"/>
      <c r="SDI209" s="9"/>
      <c r="SDJ209" s="9"/>
      <c r="SDK209" s="9"/>
      <c r="SDL209" s="9"/>
      <c r="SDM209" s="9"/>
      <c r="SDN209" s="9"/>
      <c r="SDO209" s="9"/>
      <c r="SDP209" s="9"/>
      <c r="SDQ209" s="9"/>
      <c r="SDS209" s="9"/>
      <c r="SDT209" s="9"/>
      <c r="SDU209" s="9"/>
      <c r="SDV209" s="9"/>
      <c r="SDW209" s="9"/>
      <c r="SDX209" s="9"/>
      <c r="SDY209" s="9"/>
      <c r="SDZ209" s="9"/>
      <c r="SEA209" s="9"/>
      <c r="SEC209" s="9"/>
      <c r="SED209" s="9"/>
      <c r="SEE209" s="9"/>
      <c r="SEF209" s="9"/>
      <c r="SEG209" s="9"/>
      <c r="SEH209" s="9"/>
      <c r="SEI209" s="9"/>
      <c r="SEJ209" s="9"/>
      <c r="SEK209" s="9"/>
      <c r="SEM209" s="9"/>
      <c r="SEN209" s="9"/>
      <c r="SEO209" s="9"/>
      <c r="SEP209" s="9"/>
      <c r="SEQ209" s="9"/>
      <c r="SER209" s="9"/>
      <c r="SES209" s="9"/>
      <c r="SET209" s="9"/>
      <c r="SEU209" s="9"/>
      <c r="SEW209" s="9"/>
      <c r="SEX209" s="9"/>
      <c r="SEY209" s="9"/>
      <c r="SEZ209" s="9"/>
      <c r="SFA209" s="9"/>
      <c r="SFB209" s="9"/>
      <c r="SFC209" s="9"/>
      <c r="SFD209" s="9"/>
      <c r="SFE209" s="9"/>
      <c r="SFG209" s="9"/>
      <c r="SFH209" s="9"/>
      <c r="SFI209" s="9"/>
      <c r="SFJ209" s="9"/>
      <c r="SFK209" s="9"/>
      <c r="SFL209" s="9"/>
      <c r="SFM209" s="9"/>
      <c r="SFN209" s="9"/>
      <c r="SFO209" s="9"/>
      <c r="SFQ209" s="9"/>
      <c r="SFR209" s="9"/>
      <c r="SFS209" s="9"/>
      <c r="SFT209" s="9"/>
      <c r="SFU209" s="9"/>
      <c r="SFV209" s="9"/>
      <c r="SFW209" s="9"/>
      <c r="SFX209" s="9"/>
      <c r="SFY209" s="9"/>
      <c r="SGA209" s="9"/>
      <c r="SGB209" s="9"/>
      <c r="SGC209" s="9"/>
      <c r="SGD209" s="9"/>
      <c r="SGE209" s="9"/>
      <c r="SGF209" s="9"/>
      <c r="SGG209" s="9"/>
      <c r="SGH209" s="9"/>
      <c r="SGI209" s="9"/>
      <c r="SGK209" s="9"/>
      <c r="SGL209" s="9"/>
      <c r="SGM209" s="9"/>
      <c r="SGN209" s="9"/>
      <c r="SGO209" s="9"/>
      <c r="SGP209" s="9"/>
      <c r="SGQ209" s="9"/>
      <c r="SGR209" s="9"/>
      <c r="SGS209" s="9"/>
      <c r="SGU209" s="9"/>
      <c r="SGV209" s="9"/>
      <c r="SGW209" s="9"/>
      <c r="SGX209" s="9"/>
      <c r="SGY209" s="9"/>
      <c r="SGZ209" s="9"/>
      <c r="SHA209" s="9"/>
      <c r="SHB209" s="9"/>
      <c r="SHC209" s="9"/>
      <c r="SHE209" s="9"/>
      <c r="SHF209" s="9"/>
      <c r="SHG209" s="9"/>
      <c r="SHH209" s="9"/>
      <c r="SHI209" s="9"/>
      <c r="SHJ209" s="9"/>
      <c r="SHK209" s="9"/>
      <c r="SHL209" s="9"/>
      <c r="SHM209" s="9"/>
      <c r="SHO209" s="9"/>
      <c r="SHP209" s="9"/>
      <c r="SHQ209" s="9"/>
      <c r="SHR209" s="9"/>
      <c r="SHS209" s="9"/>
      <c r="SHT209" s="9"/>
      <c r="SHU209" s="9"/>
      <c r="SHV209" s="9"/>
      <c r="SHW209" s="9"/>
      <c r="SHY209" s="9"/>
      <c r="SHZ209" s="9"/>
      <c r="SIA209" s="9"/>
      <c r="SIB209" s="9"/>
      <c r="SIC209" s="9"/>
      <c r="SID209" s="9"/>
      <c r="SIE209" s="9"/>
      <c r="SIF209" s="9"/>
      <c r="SIG209" s="9"/>
      <c r="SII209" s="9"/>
      <c r="SIJ209" s="9"/>
      <c r="SIK209" s="9"/>
      <c r="SIL209" s="9"/>
      <c r="SIM209" s="9"/>
      <c r="SIN209" s="9"/>
      <c r="SIO209" s="9"/>
      <c r="SIP209" s="9"/>
      <c r="SIQ209" s="9"/>
      <c r="SIS209" s="9"/>
      <c r="SIT209" s="9"/>
      <c r="SIU209" s="9"/>
      <c r="SIV209" s="9"/>
      <c r="SIW209" s="9"/>
      <c r="SIX209" s="9"/>
      <c r="SIY209" s="9"/>
      <c r="SIZ209" s="9"/>
      <c r="SJA209" s="9"/>
      <c r="SJC209" s="9"/>
      <c r="SJD209" s="9"/>
      <c r="SJE209" s="9"/>
      <c r="SJF209" s="9"/>
      <c r="SJG209" s="9"/>
      <c r="SJH209" s="9"/>
      <c r="SJI209" s="9"/>
      <c r="SJJ209" s="9"/>
      <c r="SJK209" s="9"/>
      <c r="SJM209" s="9"/>
      <c r="SJN209" s="9"/>
      <c r="SJO209" s="9"/>
      <c r="SJP209" s="9"/>
      <c r="SJQ209" s="9"/>
      <c r="SJR209" s="9"/>
      <c r="SJS209" s="9"/>
      <c r="SJT209" s="9"/>
      <c r="SJU209" s="9"/>
      <c r="SJW209" s="9"/>
      <c r="SJX209" s="9"/>
      <c r="SJY209" s="9"/>
      <c r="SJZ209" s="9"/>
      <c r="SKA209" s="9"/>
      <c r="SKB209" s="9"/>
      <c r="SKC209" s="9"/>
      <c r="SKD209" s="9"/>
      <c r="SKE209" s="9"/>
      <c r="SKG209" s="9"/>
      <c r="SKH209" s="9"/>
      <c r="SKI209" s="9"/>
      <c r="SKJ209" s="9"/>
      <c r="SKK209" s="9"/>
      <c r="SKL209" s="9"/>
      <c r="SKM209" s="9"/>
      <c r="SKN209" s="9"/>
      <c r="SKO209" s="9"/>
      <c r="SKQ209" s="9"/>
      <c r="SKR209" s="9"/>
      <c r="SKS209" s="9"/>
      <c r="SKT209" s="9"/>
      <c r="SKU209" s="9"/>
      <c r="SKV209" s="9"/>
      <c r="SKW209" s="9"/>
      <c r="SKX209" s="9"/>
      <c r="SKY209" s="9"/>
      <c r="SLA209" s="9"/>
      <c r="SLB209" s="9"/>
      <c r="SLC209" s="9"/>
      <c r="SLD209" s="9"/>
      <c r="SLE209" s="9"/>
      <c r="SLF209" s="9"/>
      <c r="SLG209" s="9"/>
      <c r="SLH209" s="9"/>
      <c r="SLI209" s="9"/>
      <c r="SLK209" s="9"/>
      <c r="SLL209" s="9"/>
      <c r="SLM209" s="9"/>
      <c r="SLN209" s="9"/>
      <c r="SLO209" s="9"/>
      <c r="SLP209" s="9"/>
      <c r="SLQ209" s="9"/>
      <c r="SLR209" s="9"/>
      <c r="SLS209" s="9"/>
      <c r="SLU209" s="9"/>
      <c r="SLV209" s="9"/>
      <c r="SLW209" s="9"/>
      <c r="SLX209" s="9"/>
      <c r="SLY209" s="9"/>
      <c r="SLZ209" s="9"/>
      <c r="SMA209" s="9"/>
      <c r="SMB209" s="9"/>
      <c r="SMC209" s="9"/>
      <c r="SME209" s="9"/>
      <c r="SMF209" s="9"/>
      <c r="SMG209" s="9"/>
      <c r="SMH209" s="9"/>
      <c r="SMI209" s="9"/>
      <c r="SMJ209" s="9"/>
      <c r="SMK209" s="9"/>
      <c r="SML209" s="9"/>
      <c r="SMM209" s="9"/>
      <c r="SMO209" s="9"/>
      <c r="SMP209" s="9"/>
      <c r="SMQ209" s="9"/>
      <c r="SMR209" s="9"/>
      <c r="SMS209" s="9"/>
      <c r="SMT209" s="9"/>
      <c r="SMU209" s="9"/>
      <c r="SMV209" s="9"/>
      <c r="SMW209" s="9"/>
      <c r="SMY209" s="9"/>
      <c r="SMZ209" s="9"/>
      <c r="SNA209" s="9"/>
      <c r="SNB209" s="9"/>
      <c r="SNC209" s="9"/>
      <c r="SND209" s="9"/>
      <c r="SNE209" s="9"/>
      <c r="SNF209" s="9"/>
      <c r="SNG209" s="9"/>
      <c r="SNI209" s="9"/>
      <c r="SNJ209" s="9"/>
      <c r="SNK209" s="9"/>
      <c r="SNL209" s="9"/>
      <c r="SNM209" s="9"/>
      <c r="SNN209" s="9"/>
      <c r="SNO209" s="9"/>
      <c r="SNP209" s="9"/>
      <c r="SNQ209" s="9"/>
      <c r="SNS209" s="9"/>
      <c r="SNT209" s="9"/>
      <c r="SNU209" s="9"/>
      <c r="SNV209" s="9"/>
      <c r="SNW209" s="9"/>
      <c r="SNX209" s="9"/>
      <c r="SNY209" s="9"/>
      <c r="SNZ209" s="9"/>
      <c r="SOA209" s="9"/>
      <c r="SOC209" s="9"/>
      <c r="SOD209" s="9"/>
      <c r="SOE209" s="9"/>
      <c r="SOF209" s="9"/>
      <c r="SOG209" s="9"/>
      <c r="SOH209" s="9"/>
      <c r="SOI209" s="9"/>
      <c r="SOJ209" s="9"/>
      <c r="SOK209" s="9"/>
      <c r="SOM209" s="9"/>
      <c r="SON209" s="9"/>
      <c r="SOO209" s="9"/>
      <c r="SOP209" s="9"/>
      <c r="SOQ209" s="9"/>
      <c r="SOR209" s="9"/>
      <c r="SOS209" s="9"/>
      <c r="SOT209" s="9"/>
      <c r="SOU209" s="9"/>
      <c r="SOW209" s="9"/>
      <c r="SOX209" s="9"/>
      <c r="SOY209" s="9"/>
      <c r="SOZ209" s="9"/>
      <c r="SPA209" s="9"/>
      <c r="SPB209" s="9"/>
      <c r="SPC209" s="9"/>
      <c r="SPD209" s="9"/>
      <c r="SPE209" s="9"/>
      <c r="SPG209" s="9"/>
      <c r="SPH209" s="9"/>
      <c r="SPI209" s="9"/>
      <c r="SPJ209" s="9"/>
      <c r="SPK209" s="9"/>
      <c r="SPL209" s="9"/>
      <c r="SPM209" s="9"/>
      <c r="SPN209" s="9"/>
      <c r="SPO209" s="9"/>
      <c r="SPQ209" s="9"/>
      <c r="SPR209" s="9"/>
      <c r="SPS209" s="9"/>
      <c r="SPT209" s="9"/>
      <c r="SPU209" s="9"/>
      <c r="SPV209" s="9"/>
      <c r="SPW209" s="9"/>
      <c r="SPX209" s="9"/>
      <c r="SPY209" s="9"/>
      <c r="SQA209" s="9"/>
      <c r="SQB209" s="9"/>
      <c r="SQC209" s="9"/>
      <c r="SQD209" s="9"/>
      <c r="SQE209" s="9"/>
      <c r="SQF209" s="9"/>
      <c r="SQG209" s="9"/>
      <c r="SQH209" s="9"/>
      <c r="SQI209" s="9"/>
      <c r="SQK209" s="9"/>
      <c r="SQL209" s="9"/>
      <c r="SQM209" s="9"/>
      <c r="SQN209" s="9"/>
      <c r="SQO209" s="9"/>
      <c r="SQP209" s="9"/>
      <c r="SQQ209" s="9"/>
      <c r="SQR209" s="9"/>
      <c r="SQS209" s="9"/>
      <c r="SQU209" s="9"/>
      <c r="SQV209" s="9"/>
      <c r="SQW209" s="9"/>
      <c r="SQX209" s="9"/>
      <c r="SQY209" s="9"/>
      <c r="SQZ209" s="9"/>
      <c r="SRA209" s="9"/>
      <c r="SRB209" s="9"/>
      <c r="SRC209" s="9"/>
      <c r="SRE209" s="9"/>
      <c r="SRF209" s="9"/>
      <c r="SRG209" s="9"/>
      <c r="SRH209" s="9"/>
      <c r="SRI209" s="9"/>
      <c r="SRJ209" s="9"/>
      <c r="SRK209" s="9"/>
      <c r="SRL209" s="9"/>
      <c r="SRM209" s="9"/>
      <c r="SRO209" s="9"/>
      <c r="SRP209" s="9"/>
      <c r="SRQ209" s="9"/>
      <c r="SRR209" s="9"/>
      <c r="SRS209" s="9"/>
      <c r="SRT209" s="9"/>
      <c r="SRU209" s="9"/>
      <c r="SRV209" s="9"/>
      <c r="SRW209" s="9"/>
      <c r="SRY209" s="9"/>
      <c r="SRZ209" s="9"/>
      <c r="SSA209" s="9"/>
      <c r="SSB209" s="9"/>
      <c r="SSC209" s="9"/>
      <c r="SSD209" s="9"/>
      <c r="SSE209" s="9"/>
      <c r="SSF209" s="9"/>
      <c r="SSG209" s="9"/>
      <c r="SSI209" s="9"/>
      <c r="SSJ209" s="9"/>
      <c r="SSK209" s="9"/>
      <c r="SSL209" s="9"/>
      <c r="SSM209" s="9"/>
      <c r="SSN209" s="9"/>
      <c r="SSO209" s="9"/>
      <c r="SSP209" s="9"/>
      <c r="SSQ209" s="9"/>
      <c r="SSS209" s="9"/>
      <c r="SST209" s="9"/>
      <c r="SSU209" s="9"/>
      <c r="SSV209" s="9"/>
      <c r="SSW209" s="9"/>
      <c r="SSX209" s="9"/>
      <c r="SSY209" s="9"/>
      <c r="SSZ209" s="9"/>
      <c r="STA209" s="9"/>
      <c r="STC209" s="9"/>
      <c r="STD209" s="9"/>
      <c r="STE209" s="9"/>
      <c r="STF209" s="9"/>
      <c r="STG209" s="9"/>
      <c r="STH209" s="9"/>
      <c r="STI209" s="9"/>
      <c r="STJ209" s="9"/>
      <c r="STK209" s="9"/>
      <c r="STM209" s="9"/>
      <c r="STN209" s="9"/>
      <c r="STO209" s="9"/>
      <c r="STP209" s="9"/>
      <c r="STQ209" s="9"/>
      <c r="STR209" s="9"/>
      <c r="STS209" s="9"/>
      <c r="STT209" s="9"/>
      <c r="STU209" s="9"/>
      <c r="STW209" s="9"/>
      <c r="STX209" s="9"/>
      <c r="STY209" s="9"/>
      <c r="STZ209" s="9"/>
      <c r="SUA209" s="9"/>
      <c r="SUB209" s="9"/>
      <c r="SUC209" s="9"/>
      <c r="SUD209" s="9"/>
      <c r="SUE209" s="9"/>
      <c r="SUG209" s="9"/>
      <c r="SUH209" s="9"/>
      <c r="SUI209" s="9"/>
      <c r="SUJ209" s="9"/>
      <c r="SUK209" s="9"/>
      <c r="SUL209" s="9"/>
      <c r="SUM209" s="9"/>
      <c r="SUN209" s="9"/>
      <c r="SUO209" s="9"/>
      <c r="SUQ209" s="9"/>
      <c r="SUR209" s="9"/>
      <c r="SUS209" s="9"/>
      <c r="SUT209" s="9"/>
      <c r="SUU209" s="9"/>
      <c r="SUV209" s="9"/>
      <c r="SUW209" s="9"/>
      <c r="SUX209" s="9"/>
      <c r="SUY209" s="9"/>
      <c r="SVA209" s="9"/>
      <c r="SVB209" s="9"/>
      <c r="SVC209" s="9"/>
      <c r="SVD209" s="9"/>
      <c r="SVE209" s="9"/>
      <c r="SVF209" s="9"/>
      <c r="SVG209" s="9"/>
      <c r="SVH209" s="9"/>
      <c r="SVI209" s="9"/>
      <c r="SVK209" s="9"/>
      <c r="SVL209" s="9"/>
      <c r="SVM209" s="9"/>
      <c r="SVN209" s="9"/>
      <c r="SVO209" s="9"/>
      <c r="SVP209" s="9"/>
      <c r="SVQ209" s="9"/>
      <c r="SVR209" s="9"/>
      <c r="SVS209" s="9"/>
      <c r="SVU209" s="9"/>
      <c r="SVV209" s="9"/>
      <c r="SVW209" s="9"/>
      <c r="SVX209" s="9"/>
      <c r="SVY209" s="9"/>
      <c r="SVZ209" s="9"/>
      <c r="SWA209" s="9"/>
      <c r="SWB209" s="9"/>
      <c r="SWC209" s="9"/>
      <c r="SWE209" s="9"/>
      <c r="SWF209" s="9"/>
      <c r="SWG209" s="9"/>
      <c r="SWH209" s="9"/>
      <c r="SWI209" s="9"/>
      <c r="SWJ209" s="9"/>
      <c r="SWK209" s="9"/>
      <c r="SWL209" s="9"/>
      <c r="SWM209" s="9"/>
      <c r="SWO209" s="9"/>
      <c r="SWP209" s="9"/>
      <c r="SWQ209" s="9"/>
      <c r="SWR209" s="9"/>
      <c r="SWS209" s="9"/>
      <c r="SWT209" s="9"/>
      <c r="SWU209" s="9"/>
      <c r="SWV209" s="9"/>
      <c r="SWW209" s="9"/>
      <c r="SWY209" s="9"/>
      <c r="SWZ209" s="9"/>
      <c r="SXA209" s="9"/>
      <c r="SXB209" s="9"/>
      <c r="SXC209" s="9"/>
      <c r="SXD209" s="9"/>
      <c r="SXE209" s="9"/>
      <c r="SXF209" s="9"/>
      <c r="SXG209" s="9"/>
      <c r="SXI209" s="9"/>
      <c r="SXJ209" s="9"/>
      <c r="SXK209" s="9"/>
      <c r="SXL209" s="9"/>
      <c r="SXM209" s="9"/>
      <c r="SXN209" s="9"/>
      <c r="SXO209" s="9"/>
      <c r="SXP209" s="9"/>
      <c r="SXQ209" s="9"/>
      <c r="SXS209" s="9"/>
      <c r="SXT209" s="9"/>
      <c r="SXU209" s="9"/>
      <c r="SXV209" s="9"/>
      <c r="SXW209" s="9"/>
      <c r="SXX209" s="9"/>
      <c r="SXY209" s="9"/>
      <c r="SXZ209" s="9"/>
      <c r="SYA209" s="9"/>
      <c r="SYC209" s="9"/>
      <c r="SYD209" s="9"/>
      <c r="SYE209" s="9"/>
      <c r="SYF209" s="9"/>
      <c r="SYG209" s="9"/>
      <c r="SYH209" s="9"/>
      <c r="SYI209" s="9"/>
      <c r="SYJ209" s="9"/>
      <c r="SYK209" s="9"/>
      <c r="SYM209" s="9"/>
      <c r="SYN209" s="9"/>
      <c r="SYO209" s="9"/>
      <c r="SYP209" s="9"/>
      <c r="SYQ209" s="9"/>
      <c r="SYR209" s="9"/>
      <c r="SYS209" s="9"/>
      <c r="SYT209" s="9"/>
      <c r="SYU209" s="9"/>
      <c r="SYW209" s="9"/>
      <c r="SYX209" s="9"/>
      <c r="SYY209" s="9"/>
      <c r="SYZ209" s="9"/>
      <c r="SZA209" s="9"/>
      <c r="SZB209" s="9"/>
      <c r="SZC209" s="9"/>
      <c r="SZD209" s="9"/>
      <c r="SZE209" s="9"/>
      <c r="SZG209" s="9"/>
      <c r="SZH209" s="9"/>
      <c r="SZI209" s="9"/>
      <c r="SZJ209" s="9"/>
      <c r="SZK209" s="9"/>
      <c r="SZL209" s="9"/>
      <c r="SZM209" s="9"/>
      <c r="SZN209" s="9"/>
      <c r="SZO209" s="9"/>
      <c r="SZQ209" s="9"/>
      <c r="SZR209" s="9"/>
      <c r="SZS209" s="9"/>
      <c r="SZT209" s="9"/>
      <c r="SZU209" s="9"/>
      <c r="SZV209" s="9"/>
      <c r="SZW209" s="9"/>
      <c r="SZX209" s="9"/>
      <c r="SZY209" s="9"/>
      <c r="TAA209" s="9"/>
      <c r="TAB209" s="9"/>
      <c r="TAC209" s="9"/>
      <c r="TAD209" s="9"/>
      <c r="TAE209" s="9"/>
      <c r="TAF209" s="9"/>
      <c r="TAG209" s="9"/>
      <c r="TAH209" s="9"/>
      <c r="TAI209" s="9"/>
      <c r="TAK209" s="9"/>
      <c r="TAL209" s="9"/>
      <c r="TAM209" s="9"/>
      <c r="TAN209" s="9"/>
      <c r="TAO209" s="9"/>
      <c r="TAP209" s="9"/>
      <c r="TAQ209" s="9"/>
      <c r="TAR209" s="9"/>
      <c r="TAS209" s="9"/>
      <c r="TAU209" s="9"/>
      <c r="TAV209" s="9"/>
      <c r="TAW209" s="9"/>
      <c r="TAX209" s="9"/>
      <c r="TAY209" s="9"/>
      <c r="TAZ209" s="9"/>
      <c r="TBA209" s="9"/>
      <c r="TBB209" s="9"/>
      <c r="TBC209" s="9"/>
      <c r="TBE209" s="9"/>
      <c r="TBF209" s="9"/>
      <c r="TBG209" s="9"/>
      <c r="TBH209" s="9"/>
      <c r="TBI209" s="9"/>
      <c r="TBJ209" s="9"/>
      <c r="TBK209" s="9"/>
      <c r="TBL209" s="9"/>
      <c r="TBM209" s="9"/>
      <c r="TBO209" s="9"/>
      <c r="TBP209" s="9"/>
      <c r="TBQ209" s="9"/>
      <c r="TBR209" s="9"/>
      <c r="TBS209" s="9"/>
      <c r="TBT209" s="9"/>
      <c r="TBU209" s="9"/>
      <c r="TBV209" s="9"/>
      <c r="TBW209" s="9"/>
      <c r="TBY209" s="9"/>
      <c r="TBZ209" s="9"/>
      <c r="TCA209" s="9"/>
      <c r="TCB209" s="9"/>
      <c r="TCC209" s="9"/>
      <c r="TCD209" s="9"/>
      <c r="TCE209" s="9"/>
      <c r="TCF209" s="9"/>
      <c r="TCG209" s="9"/>
      <c r="TCI209" s="9"/>
      <c r="TCJ209" s="9"/>
      <c r="TCK209" s="9"/>
      <c r="TCL209" s="9"/>
      <c r="TCM209" s="9"/>
      <c r="TCN209" s="9"/>
      <c r="TCO209" s="9"/>
      <c r="TCP209" s="9"/>
      <c r="TCQ209" s="9"/>
      <c r="TCS209" s="9"/>
      <c r="TCT209" s="9"/>
      <c r="TCU209" s="9"/>
      <c r="TCV209" s="9"/>
      <c r="TCW209" s="9"/>
      <c r="TCX209" s="9"/>
      <c r="TCY209" s="9"/>
      <c r="TCZ209" s="9"/>
      <c r="TDA209" s="9"/>
      <c r="TDC209" s="9"/>
      <c r="TDD209" s="9"/>
      <c r="TDE209" s="9"/>
      <c r="TDF209" s="9"/>
      <c r="TDG209" s="9"/>
      <c r="TDH209" s="9"/>
      <c r="TDI209" s="9"/>
      <c r="TDJ209" s="9"/>
      <c r="TDK209" s="9"/>
      <c r="TDM209" s="9"/>
      <c r="TDN209" s="9"/>
      <c r="TDO209" s="9"/>
      <c r="TDP209" s="9"/>
      <c r="TDQ209" s="9"/>
      <c r="TDR209" s="9"/>
      <c r="TDS209" s="9"/>
      <c r="TDT209" s="9"/>
      <c r="TDU209" s="9"/>
      <c r="TDW209" s="9"/>
      <c r="TDX209" s="9"/>
      <c r="TDY209" s="9"/>
      <c r="TDZ209" s="9"/>
      <c r="TEA209" s="9"/>
      <c r="TEB209" s="9"/>
      <c r="TEC209" s="9"/>
      <c r="TED209" s="9"/>
      <c r="TEE209" s="9"/>
      <c r="TEG209" s="9"/>
      <c r="TEH209" s="9"/>
      <c r="TEI209" s="9"/>
      <c r="TEJ209" s="9"/>
      <c r="TEK209" s="9"/>
      <c r="TEL209" s="9"/>
      <c r="TEM209" s="9"/>
      <c r="TEN209" s="9"/>
      <c r="TEO209" s="9"/>
      <c r="TEQ209" s="9"/>
      <c r="TER209" s="9"/>
      <c r="TES209" s="9"/>
      <c r="TET209" s="9"/>
      <c r="TEU209" s="9"/>
      <c r="TEV209" s="9"/>
      <c r="TEW209" s="9"/>
      <c r="TEX209" s="9"/>
      <c r="TEY209" s="9"/>
      <c r="TFA209" s="9"/>
      <c r="TFB209" s="9"/>
      <c r="TFC209" s="9"/>
      <c r="TFD209" s="9"/>
      <c r="TFE209" s="9"/>
      <c r="TFF209" s="9"/>
      <c r="TFG209" s="9"/>
      <c r="TFH209" s="9"/>
      <c r="TFI209" s="9"/>
      <c r="TFK209" s="9"/>
      <c r="TFL209" s="9"/>
      <c r="TFM209" s="9"/>
      <c r="TFN209" s="9"/>
      <c r="TFO209" s="9"/>
      <c r="TFP209" s="9"/>
      <c r="TFQ209" s="9"/>
      <c r="TFR209" s="9"/>
      <c r="TFS209" s="9"/>
      <c r="TFU209" s="9"/>
      <c r="TFV209" s="9"/>
      <c r="TFW209" s="9"/>
      <c r="TFX209" s="9"/>
      <c r="TFY209" s="9"/>
      <c r="TFZ209" s="9"/>
      <c r="TGA209" s="9"/>
      <c r="TGB209" s="9"/>
      <c r="TGC209" s="9"/>
      <c r="TGE209" s="9"/>
      <c r="TGF209" s="9"/>
      <c r="TGG209" s="9"/>
      <c r="TGH209" s="9"/>
      <c r="TGI209" s="9"/>
      <c r="TGJ209" s="9"/>
      <c r="TGK209" s="9"/>
      <c r="TGL209" s="9"/>
      <c r="TGM209" s="9"/>
      <c r="TGO209" s="9"/>
      <c r="TGP209" s="9"/>
      <c r="TGQ209" s="9"/>
      <c r="TGR209" s="9"/>
      <c r="TGS209" s="9"/>
      <c r="TGT209" s="9"/>
      <c r="TGU209" s="9"/>
      <c r="TGV209" s="9"/>
      <c r="TGW209" s="9"/>
      <c r="TGY209" s="9"/>
      <c r="TGZ209" s="9"/>
      <c r="THA209" s="9"/>
      <c r="THB209" s="9"/>
      <c r="THC209" s="9"/>
      <c r="THD209" s="9"/>
      <c r="THE209" s="9"/>
      <c r="THF209" s="9"/>
      <c r="THG209" s="9"/>
      <c r="THI209" s="9"/>
      <c r="THJ209" s="9"/>
      <c r="THK209" s="9"/>
      <c r="THL209" s="9"/>
      <c r="THM209" s="9"/>
      <c r="THN209" s="9"/>
      <c r="THO209" s="9"/>
      <c r="THP209" s="9"/>
      <c r="THQ209" s="9"/>
      <c r="THS209" s="9"/>
      <c r="THT209" s="9"/>
      <c r="THU209" s="9"/>
      <c r="THV209" s="9"/>
      <c r="THW209" s="9"/>
      <c r="THX209" s="9"/>
      <c r="THY209" s="9"/>
      <c r="THZ209" s="9"/>
      <c r="TIA209" s="9"/>
      <c r="TIC209" s="9"/>
      <c r="TID209" s="9"/>
      <c r="TIE209" s="9"/>
      <c r="TIF209" s="9"/>
      <c r="TIG209" s="9"/>
      <c r="TIH209" s="9"/>
      <c r="TII209" s="9"/>
      <c r="TIJ209" s="9"/>
      <c r="TIK209" s="9"/>
      <c r="TIM209" s="9"/>
      <c r="TIN209" s="9"/>
      <c r="TIO209" s="9"/>
      <c r="TIP209" s="9"/>
      <c r="TIQ209" s="9"/>
      <c r="TIR209" s="9"/>
      <c r="TIS209" s="9"/>
      <c r="TIT209" s="9"/>
      <c r="TIU209" s="9"/>
      <c r="TIW209" s="9"/>
      <c r="TIX209" s="9"/>
      <c r="TIY209" s="9"/>
      <c r="TIZ209" s="9"/>
      <c r="TJA209" s="9"/>
      <c r="TJB209" s="9"/>
      <c r="TJC209" s="9"/>
      <c r="TJD209" s="9"/>
      <c r="TJE209" s="9"/>
      <c r="TJG209" s="9"/>
      <c r="TJH209" s="9"/>
      <c r="TJI209" s="9"/>
      <c r="TJJ209" s="9"/>
      <c r="TJK209" s="9"/>
      <c r="TJL209" s="9"/>
      <c r="TJM209" s="9"/>
      <c r="TJN209" s="9"/>
      <c r="TJO209" s="9"/>
      <c r="TJQ209" s="9"/>
      <c r="TJR209" s="9"/>
      <c r="TJS209" s="9"/>
      <c r="TJT209" s="9"/>
      <c r="TJU209" s="9"/>
      <c r="TJV209" s="9"/>
      <c r="TJW209" s="9"/>
      <c r="TJX209" s="9"/>
      <c r="TJY209" s="9"/>
      <c r="TKA209" s="9"/>
      <c r="TKB209" s="9"/>
      <c r="TKC209" s="9"/>
      <c r="TKD209" s="9"/>
      <c r="TKE209" s="9"/>
      <c r="TKF209" s="9"/>
      <c r="TKG209" s="9"/>
      <c r="TKH209" s="9"/>
      <c r="TKI209" s="9"/>
      <c r="TKK209" s="9"/>
      <c r="TKL209" s="9"/>
      <c r="TKM209" s="9"/>
      <c r="TKN209" s="9"/>
      <c r="TKO209" s="9"/>
      <c r="TKP209" s="9"/>
      <c r="TKQ209" s="9"/>
      <c r="TKR209" s="9"/>
      <c r="TKS209" s="9"/>
      <c r="TKU209" s="9"/>
      <c r="TKV209" s="9"/>
      <c r="TKW209" s="9"/>
      <c r="TKX209" s="9"/>
      <c r="TKY209" s="9"/>
      <c r="TKZ209" s="9"/>
      <c r="TLA209" s="9"/>
      <c r="TLB209" s="9"/>
      <c r="TLC209" s="9"/>
      <c r="TLE209" s="9"/>
      <c r="TLF209" s="9"/>
      <c r="TLG209" s="9"/>
      <c r="TLH209" s="9"/>
      <c r="TLI209" s="9"/>
      <c r="TLJ209" s="9"/>
      <c r="TLK209" s="9"/>
      <c r="TLL209" s="9"/>
      <c r="TLM209" s="9"/>
      <c r="TLO209" s="9"/>
      <c r="TLP209" s="9"/>
      <c r="TLQ209" s="9"/>
      <c r="TLR209" s="9"/>
      <c r="TLS209" s="9"/>
      <c r="TLT209" s="9"/>
      <c r="TLU209" s="9"/>
      <c r="TLV209" s="9"/>
      <c r="TLW209" s="9"/>
      <c r="TLY209" s="9"/>
      <c r="TLZ209" s="9"/>
      <c r="TMA209" s="9"/>
      <c r="TMB209" s="9"/>
      <c r="TMC209" s="9"/>
      <c r="TMD209" s="9"/>
      <c r="TME209" s="9"/>
      <c r="TMF209" s="9"/>
      <c r="TMG209" s="9"/>
      <c r="TMI209" s="9"/>
      <c r="TMJ209" s="9"/>
      <c r="TMK209" s="9"/>
      <c r="TML209" s="9"/>
      <c r="TMM209" s="9"/>
      <c r="TMN209" s="9"/>
      <c r="TMO209" s="9"/>
      <c r="TMP209" s="9"/>
      <c r="TMQ209" s="9"/>
      <c r="TMS209" s="9"/>
      <c r="TMT209" s="9"/>
      <c r="TMU209" s="9"/>
      <c r="TMV209" s="9"/>
      <c r="TMW209" s="9"/>
      <c r="TMX209" s="9"/>
      <c r="TMY209" s="9"/>
      <c r="TMZ209" s="9"/>
      <c r="TNA209" s="9"/>
      <c r="TNC209" s="9"/>
      <c r="TND209" s="9"/>
      <c r="TNE209" s="9"/>
      <c r="TNF209" s="9"/>
      <c r="TNG209" s="9"/>
      <c r="TNH209" s="9"/>
      <c r="TNI209" s="9"/>
      <c r="TNJ209" s="9"/>
      <c r="TNK209" s="9"/>
      <c r="TNM209" s="9"/>
      <c r="TNN209" s="9"/>
      <c r="TNO209" s="9"/>
      <c r="TNP209" s="9"/>
      <c r="TNQ209" s="9"/>
      <c r="TNR209" s="9"/>
      <c r="TNS209" s="9"/>
      <c r="TNT209" s="9"/>
      <c r="TNU209" s="9"/>
      <c r="TNW209" s="9"/>
      <c r="TNX209" s="9"/>
      <c r="TNY209" s="9"/>
      <c r="TNZ209" s="9"/>
      <c r="TOA209" s="9"/>
      <c r="TOB209" s="9"/>
      <c r="TOC209" s="9"/>
      <c r="TOD209" s="9"/>
      <c r="TOE209" s="9"/>
      <c r="TOG209" s="9"/>
      <c r="TOH209" s="9"/>
      <c r="TOI209" s="9"/>
      <c r="TOJ209" s="9"/>
      <c r="TOK209" s="9"/>
      <c r="TOL209" s="9"/>
      <c r="TOM209" s="9"/>
      <c r="TON209" s="9"/>
      <c r="TOO209" s="9"/>
      <c r="TOQ209" s="9"/>
      <c r="TOR209" s="9"/>
      <c r="TOS209" s="9"/>
      <c r="TOT209" s="9"/>
      <c r="TOU209" s="9"/>
      <c r="TOV209" s="9"/>
      <c r="TOW209" s="9"/>
      <c r="TOX209" s="9"/>
      <c r="TOY209" s="9"/>
      <c r="TPA209" s="9"/>
      <c r="TPB209" s="9"/>
      <c r="TPC209" s="9"/>
      <c r="TPD209" s="9"/>
      <c r="TPE209" s="9"/>
      <c r="TPF209" s="9"/>
      <c r="TPG209" s="9"/>
      <c r="TPH209" s="9"/>
      <c r="TPI209" s="9"/>
      <c r="TPK209" s="9"/>
      <c r="TPL209" s="9"/>
      <c r="TPM209" s="9"/>
      <c r="TPN209" s="9"/>
      <c r="TPO209" s="9"/>
      <c r="TPP209" s="9"/>
      <c r="TPQ209" s="9"/>
      <c r="TPR209" s="9"/>
      <c r="TPS209" s="9"/>
      <c r="TPU209" s="9"/>
      <c r="TPV209" s="9"/>
      <c r="TPW209" s="9"/>
      <c r="TPX209" s="9"/>
      <c r="TPY209" s="9"/>
      <c r="TPZ209" s="9"/>
      <c r="TQA209" s="9"/>
      <c r="TQB209" s="9"/>
      <c r="TQC209" s="9"/>
      <c r="TQE209" s="9"/>
      <c r="TQF209" s="9"/>
      <c r="TQG209" s="9"/>
      <c r="TQH209" s="9"/>
      <c r="TQI209" s="9"/>
      <c r="TQJ209" s="9"/>
      <c r="TQK209" s="9"/>
      <c r="TQL209" s="9"/>
      <c r="TQM209" s="9"/>
      <c r="TQO209" s="9"/>
      <c r="TQP209" s="9"/>
      <c r="TQQ209" s="9"/>
      <c r="TQR209" s="9"/>
      <c r="TQS209" s="9"/>
      <c r="TQT209" s="9"/>
      <c r="TQU209" s="9"/>
      <c r="TQV209" s="9"/>
      <c r="TQW209" s="9"/>
      <c r="TQY209" s="9"/>
      <c r="TQZ209" s="9"/>
      <c r="TRA209" s="9"/>
      <c r="TRB209" s="9"/>
      <c r="TRC209" s="9"/>
      <c r="TRD209" s="9"/>
      <c r="TRE209" s="9"/>
      <c r="TRF209" s="9"/>
      <c r="TRG209" s="9"/>
      <c r="TRI209" s="9"/>
      <c r="TRJ209" s="9"/>
      <c r="TRK209" s="9"/>
      <c r="TRL209" s="9"/>
      <c r="TRM209" s="9"/>
      <c r="TRN209" s="9"/>
      <c r="TRO209" s="9"/>
      <c r="TRP209" s="9"/>
      <c r="TRQ209" s="9"/>
      <c r="TRS209" s="9"/>
      <c r="TRT209" s="9"/>
      <c r="TRU209" s="9"/>
      <c r="TRV209" s="9"/>
      <c r="TRW209" s="9"/>
      <c r="TRX209" s="9"/>
      <c r="TRY209" s="9"/>
      <c r="TRZ209" s="9"/>
      <c r="TSA209" s="9"/>
      <c r="TSC209" s="9"/>
      <c r="TSD209" s="9"/>
      <c r="TSE209" s="9"/>
      <c r="TSF209" s="9"/>
      <c r="TSG209" s="9"/>
      <c r="TSH209" s="9"/>
      <c r="TSI209" s="9"/>
      <c r="TSJ209" s="9"/>
      <c r="TSK209" s="9"/>
      <c r="TSM209" s="9"/>
      <c r="TSN209" s="9"/>
      <c r="TSO209" s="9"/>
      <c r="TSP209" s="9"/>
      <c r="TSQ209" s="9"/>
      <c r="TSR209" s="9"/>
      <c r="TSS209" s="9"/>
      <c r="TST209" s="9"/>
      <c r="TSU209" s="9"/>
      <c r="TSW209" s="9"/>
      <c r="TSX209" s="9"/>
      <c r="TSY209" s="9"/>
      <c r="TSZ209" s="9"/>
      <c r="TTA209" s="9"/>
      <c r="TTB209" s="9"/>
      <c r="TTC209" s="9"/>
      <c r="TTD209" s="9"/>
      <c r="TTE209" s="9"/>
      <c r="TTG209" s="9"/>
      <c r="TTH209" s="9"/>
      <c r="TTI209" s="9"/>
      <c r="TTJ209" s="9"/>
      <c r="TTK209" s="9"/>
      <c r="TTL209" s="9"/>
      <c r="TTM209" s="9"/>
      <c r="TTN209" s="9"/>
      <c r="TTO209" s="9"/>
      <c r="TTQ209" s="9"/>
      <c r="TTR209" s="9"/>
      <c r="TTS209" s="9"/>
      <c r="TTT209" s="9"/>
      <c r="TTU209" s="9"/>
      <c r="TTV209" s="9"/>
      <c r="TTW209" s="9"/>
      <c r="TTX209" s="9"/>
      <c r="TTY209" s="9"/>
      <c r="TUA209" s="9"/>
      <c r="TUB209" s="9"/>
      <c r="TUC209" s="9"/>
      <c r="TUD209" s="9"/>
      <c r="TUE209" s="9"/>
      <c r="TUF209" s="9"/>
      <c r="TUG209" s="9"/>
      <c r="TUH209" s="9"/>
      <c r="TUI209" s="9"/>
      <c r="TUK209" s="9"/>
      <c r="TUL209" s="9"/>
      <c r="TUM209" s="9"/>
      <c r="TUN209" s="9"/>
      <c r="TUO209" s="9"/>
      <c r="TUP209" s="9"/>
      <c r="TUQ209" s="9"/>
      <c r="TUR209" s="9"/>
      <c r="TUS209" s="9"/>
      <c r="TUU209" s="9"/>
      <c r="TUV209" s="9"/>
      <c r="TUW209" s="9"/>
      <c r="TUX209" s="9"/>
      <c r="TUY209" s="9"/>
      <c r="TUZ209" s="9"/>
      <c r="TVA209" s="9"/>
      <c r="TVB209" s="9"/>
      <c r="TVC209" s="9"/>
      <c r="TVE209" s="9"/>
      <c r="TVF209" s="9"/>
      <c r="TVG209" s="9"/>
      <c r="TVH209" s="9"/>
      <c r="TVI209" s="9"/>
      <c r="TVJ209" s="9"/>
      <c r="TVK209" s="9"/>
      <c r="TVL209" s="9"/>
      <c r="TVM209" s="9"/>
      <c r="TVO209" s="9"/>
      <c r="TVP209" s="9"/>
      <c r="TVQ209" s="9"/>
      <c r="TVR209" s="9"/>
      <c r="TVS209" s="9"/>
      <c r="TVT209" s="9"/>
      <c r="TVU209" s="9"/>
      <c r="TVV209" s="9"/>
      <c r="TVW209" s="9"/>
      <c r="TVY209" s="9"/>
      <c r="TVZ209" s="9"/>
      <c r="TWA209" s="9"/>
      <c r="TWB209" s="9"/>
      <c r="TWC209" s="9"/>
      <c r="TWD209" s="9"/>
      <c r="TWE209" s="9"/>
      <c r="TWF209" s="9"/>
      <c r="TWG209" s="9"/>
      <c r="TWI209" s="9"/>
      <c r="TWJ209" s="9"/>
      <c r="TWK209" s="9"/>
      <c r="TWL209" s="9"/>
      <c r="TWM209" s="9"/>
      <c r="TWN209" s="9"/>
      <c r="TWO209" s="9"/>
      <c r="TWP209" s="9"/>
      <c r="TWQ209" s="9"/>
      <c r="TWS209" s="9"/>
      <c r="TWT209" s="9"/>
      <c r="TWU209" s="9"/>
      <c r="TWV209" s="9"/>
      <c r="TWW209" s="9"/>
      <c r="TWX209" s="9"/>
      <c r="TWY209" s="9"/>
      <c r="TWZ209" s="9"/>
      <c r="TXA209" s="9"/>
      <c r="TXC209" s="9"/>
      <c r="TXD209" s="9"/>
      <c r="TXE209" s="9"/>
      <c r="TXF209" s="9"/>
      <c r="TXG209" s="9"/>
      <c r="TXH209" s="9"/>
      <c r="TXI209" s="9"/>
      <c r="TXJ209" s="9"/>
      <c r="TXK209" s="9"/>
      <c r="TXM209" s="9"/>
      <c r="TXN209" s="9"/>
      <c r="TXO209" s="9"/>
      <c r="TXP209" s="9"/>
      <c r="TXQ209" s="9"/>
      <c r="TXR209" s="9"/>
      <c r="TXS209" s="9"/>
      <c r="TXT209" s="9"/>
      <c r="TXU209" s="9"/>
      <c r="TXW209" s="9"/>
      <c r="TXX209" s="9"/>
      <c r="TXY209" s="9"/>
      <c r="TXZ209" s="9"/>
      <c r="TYA209" s="9"/>
      <c r="TYB209" s="9"/>
      <c r="TYC209" s="9"/>
      <c r="TYD209" s="9"/>
      <c r="TYE209" s="9"/>
      <c r="TYG209" s="9"/>
      <c r="TYH209" s="9"/>
      <c r="TYI209" s="9"/>
      <c r="TYJ209" s="9"/>
      <c r="TYK209" s="9"/>
      <c r="TYL209" s="9"/>
      <c r="TYM209" s="9"/>
      <c r="TYN209" s="9"/>
      <c r="TYO209" s="9"/>
      <c r="TYQ209" s="9"/>
      <c r="TYR209" s="9"/>
      <c r="TYS209" s="9"/>
      <c r="TYT209" s="9"/>
      <c r="TYU209" s="9"/>
      <c r="TYV209" s="9"/>
      <c r="TYW209" s="9"/>
      <c r="TYX209" s="9"/>
      <c r="TYY209" s="9"/>
      <c r="TZA209" s="9"/>
      <c r="TZB209" s="9"/>
      <c r="TZC209" s="9"/>
      <c r="TZD209" s="9"/>
      <c r="TZE209" s="9"/>
      <c r="TZF209" s="9"/>
      <c r="TZG209" s="9"/>
      <c r="TZH209" s="9"/>
      <c r="TZI209" s="9"/>
      <c r="TZK209" s="9"/>
      <c r="TZL209" s="9"/>
      <c r="TZM209" s="9"/>
      <c r="TZN209" s="9"/>
      <c r="TZO209" s="9"/>
      <c r="TZP209" s="9"/>
      <c r="TZQ209" s="9"/>
      <c r="TZR209" s="9"/>
      <c r="TZS209" s="9"/>
      <c r="TZU209" s="9"/>
      <c r="TZV209" s="9"/>
      <c r="TZW209" s="9"/>
      <c r="TZX209" s="9"/>
      <c r="TZY209" s="9"/>
      <c r="TZZ209" s="9"/>
      <c r="UAA209" s="9"/>
      <c r="UAB209" s="9"/>
      <c r="UAC209" s="9"/>
      <c r="UAE209" s="9"/>
      <c r="UAF209" s="9"/>
      <c r="UAG209" s="9"/>
      <c r="UAH209" s="9"/>
      <c r="UAI209" s="9"/>
      <c r="UAJ209" s="9"/>
      <c r="UAK209" s="9"/>
      <c r="UAL209" s="9"/>
      <c r="UAM209" s="9"/>
      <c r="UAO209" s="9"/>
      <c r="UAP209" s="9"/>
      <c r="UAQ209" s="9"/>
      <c r="UAR209" s="9"/>
      <c r="UAS209" s="9"/>
      <c r="UAT209" s="9"/>
      <c r="UAU209" s="9"/>
      <c r="UAV209" s="9"/>
      <c r="UAW209" s="9"/>
      <c r="UAY209" s="9"/>
      <c r="UAZ209" s="9"/>
      <c r="UBA209" s="9"/>
      <c r="UBB209" s="9"/>
      <c r="UBC209" s="9"/>
      <c r="UBD209" s="9"/>
      <c r="UBE209" s="9"/>
      <c r="UBF209" s="9"/>
      <c r="UBG209" s="9"/>
      <c r="UBI209" s="9"/>
      <c r="UBJ209" s="9"/>
      <c r="UBK209" s="9"/>
      <c r="UBL209" s="9"/>
      <c r="UBM209" s="9"/>
      <c r="UBN209" s="9"/>
      <c r="UBO209" s="9"/>
      <c r="UBP209" s="9"/>
      <c r="UBQ209" s="9"/>
      <c r="UBS209" s="9"/>
      <c r="UBT209" s="9"/>
      <c r="UBU209" s="9"/>
      <c r="UBV209" s="9"/>
      <c r="UBW209" s="9"/>
      <c r="UBX209" s="9"/>
      <c r="UBY209" s="9"/>
      <c r="UBZ209" s="9"/>
      <c r="UCA209" s="9"/>
      <c r="UCC209" s="9"/>
      <c r="UCD209" s="9"/>
      <c r="UCE209" s="9"/>
      <c r="UCF209" s="9"/>
      <c r="UCG209" s="9"/>
      <c r="UCH209" s="9"/>
      <c r="UCI209" s="9"/>
      <c r="UCJ209" s="9"/>
      <c r="UCK209" s="9"/>
      <c r="UCM209" s="9"/>
      <c r="UCN209" s="9"/>
      <c r="UCO209" s="9"/>
      <c r="UCP209" s="9"/>
      <c r="UCQ209" s="9"/>
      <c r="UCR209" s="9"/>
      <c r="UCS209" s="9"/>
      <c r="UCT209" s="9"/>
      <c r="UCU209" s="9"/>
      <c r="UCW209" s="9"/>
      <c r="UCX209" s="9"/>
      <c r="UCY209" s="9"/>
      <c r="UCZ209" s="9"/>
      <c r="UDA209" s="9"/>
      <c r="UDB209" s="9"/>
      <c r="UDC209" s="9"/>
      <c r="UDD209" s="9"/>
      <c r="UDE209" s="9"/>
      <c r="UDG209" s="9"/>
      <c r="UDH209" s="9"/>
      <c r="UDI209" s="9"/>
      <c r="UDJ209" s="9"/>
      <c r="UDK209" s="9"/>
      <c r="UDL209" s="9"/>
      <c r="UDM209" s="9"/>
      <c r="UDN209" s="9"/>
      <c r="UDO209" s="9"/>
      <c r="UDQ209" s="9"/>
      <c r="UDR209" s="9"/>
      <c r="UDS209" s="9"/>
      <c r="UDT209" s="9"/>
      <c r="UDU209" s="9"/>
      <c r="UDV209" s="9"/>
      <c r="UDW209" s="9"/>
      <c r="UDX209" s="9"/>
      <c r="UDY209" s="9"/>
      <c r="UEA209" s="9"/>
      <c r="UEB209" s="9"/>
      <c r="UEC209" s="9"/>
      <c r="UED209" s="9"/>
      <c r="UEE209" s="9"/>
      <c r="UEF209" s="9"/>
      <c r="UEG209" s="9"/>
      <c r="UEH209" s="9"/>
      <c r="UEI209" s="9"/>
      <c r="UEK209" s="9"/>
      <c r="UEL209" s="9"/>
      <c r="UEM209" s="9"/>
      <c r="UEN209" s="9"/>
      <c r="UEO209" s="9"/>
      <c r="UEP209" s="9"/>
      <c r="UEQ209" s="9"/>
      <c r="UER209" s="9"/>
      <c r="UES209" s="9"/>
      <c r="UEU209" s="9"/>
      <c r="UEV209" s="9"/>
      <c r="UEW209" s="9"/>
      <c r="UEX209" s="9"/>
      <c r="UEY209" s="9"/>
      <c r="UEZ209" s="9"/>
      <c r="UFA209" s="9"/>
      <c r="UFB209" s="9"/>
      <c r="UFC209" s="9"/>
      <c r="UFE209" s="9"/>
      <c r="UFF209" s="9"/>
      <c r="UFG209" s="9"/>
      <c r="UFH209" s="9"/>
      <c r="UFI209" s="9"/>
      <c r="UFJ209" s="9"/>
      <c r="UFK209" s="9"/>
      <c r="UFL209" s="9"/>
      <c r="UFM209" s="9"/>
      <c r="UFO209" s="9"/>
      <c r="UFP209" s="9"/>
      <c r="UFQ209" s="9"/>
      <c r="UFR209" s="9"/>
      <c r="UFS209" s="9"/>
      <c r="UFT209" s="9"/>
      <c r="UFU209" s="9"/>
      <c r="UFV209" s="9"/>
      <c r="UFW209" s="9"/>
      <c r="UFY209" s="9"/>
      <c r="UFZ209" s="9"/>
      <c r="UGA209" s="9"/>
      <c r="UGB209" s="9"/>
      <c r="UGC209" s="9"/>
      <c r="UGD209" s="9"/>
      <c r="UGE209" s="9"/>
      <c r="UGF209" s="9"/>
      <c r="UGG209" s="9"/>
      <c r="UGI209" s="9"/>
      <c r="UGJ209" s="9"/>
      <c r="UGK209" s="9"/>
      <c r="UGL209" s="9"/>
      <c r="UGM209" s="9"/>
      <c r="UGN209" s="9"/>
      <c r="UGO209" s="9"/>
      <c r="UGP209" s="9"/>
      <c r="UGQ209" s="9"/>
      <c r="UGS209" s="9"/>
      <c r="UGT209" s="9"/>
      <c r="UGU209" s="9"/>
      <c r="UGV209" s="9"/>
      <c r="UGW209" s="9"/>
      <c r="UGX209" s="9"/>
      <c r="UGY209" s="9"/>
      <c r="UGZ209" s="9"/>
      <c r="UHA209" s="9"/>
      <c r="UHC209" s="9"/>
      <c r="UHD209" s="9"/>
      <c r="UHE209" s="9"/>
      <c r="UHF209" s="9"/>
      <c r="UHG209" s="9"/>
      <c r="UHH209" s="9"/>
      <c r="UHI209" s="9"/>
      <c r="UHJ209" s="9"/>
      <c r="UHK209" s="9"/>
      <c r="UHM209" s="9"/>
      <c r="UHN209" s="9"/>
      <c r="UHO209" s="9"/>
      <c r="UHP209" s="9"/>
      <c r="UHQ209" s="9"/>
      <c r="UHR209" s="9"/>
      <c r="UHS209" s="9"/>
      <c r="UHT209" s="9"/>
      <c r="UHU209" s="9"/>
      <c r="UHW209" s="9"/>
      <c r="UHX209" s="9"/>
      <c r="UHY209" s="9"/>
      <c r="UHZ209" s="9"/>
      <c r="UIA209" s="9"/>
      <c r="UIB209" s="9"/>
      <c r="UIC209" s="9"/>
      <c r="UID209" s="9"/>
      <c r="UIE209" s="9"/>
      <c r="UIG209" s="9"/>
      <c r="UIH209" s="9"/>
      <c r="UII209" s="9"/>
      <c r="UIJ209" s="9"/>
      <c r="UIK209" s="9"/>
      <c r="UIL209" s="9"/>
      <c r="UIM209" s="9"/>
      <c r="UIN209" s="9"/>
      <c r="UIO209" s="9"/>
      <c r="UIQ209" s="9"/>
      <c r="UIR209" s="9"/>
      <c r="UIS209" s="9"/>
      <c r="UIT209" s="9"/>
      <c r="UIU209" s="9"/>
      <c r="UIV209" s="9"/>
      <c r="UIW209" s="9"/>
      <c r="UIX209" s="9"/>
      <c r="UIY209" s="9"/>
      <c r="UJA209" s="9"/>
      <c r="UJB209" s="9"/>
      <c r="UJC209" s="9"/>
      <c r="UJD209" s="9"/>
      <c r="UJE209" s="9"/>
      <c r="UJF209" s="9"/>
      <c r="UJG209" s="9"/>
      <c r="UJH209" s="9"/>
      <c r="UJI209" s="9"/>
      <c r="UJK209" s="9"/>
      <c r="UJL209" s="9"/>
      <c r="UJM209" s="9"/>
      <c r="UJN209" s="9"/>
      <c r="UJO209" s="9"/>
      <c r="UJP209" s="9"/>
      <c r="UJQ209" s="9"/>
      <c r="UJR209" s="9"/>
      <c r="UJS209" s="9"/>
      <c r="UJU209" s="9"/>
      <c r="UJV209" s="9"/>
      <c r="UJW209" s="9"/>
      <c r="UJX209" s="9"/>
      <c r="UJY209" s="9"/>
      <c r="UJZ209" s="9"/>
      <c r="UKA209" s="9"/>
      <c r="UKB209" s="9"/>
      <c r="UKC209" s="9"/>
      <c r="UKE209" s="9"/>
      <c r="UKF209" s="9"/>
      <c r="UKG209" s="9"/>
      <c r="UKH209" s="9"/>
      <c r="UKI209" s="9"/>
      <c r="UKJ209" s="9"/>
      <c r="UKK209" s="9"/>
      <c r="UKL209" s="9"/>
      <c r="UKM209" s="9"/>
      <c r="UKO209" s="9"/>
      <c r="UKP209" s="9"/>
      <c r="UKQ209" s="9"/>
      <c r="UKR209" s="9"/>
      <c r="UKS209" s="9"/>
      <c r="UKT209" s="9"/>
      <c r="UKU209" s="9"/>
      <c r="UKV209" s="9"/>
      <c r="UKW209" s="9"/>
      <c r="UKY209" s="9"/>
      <c r="UKZ209" s="9"/>
      <c r="ULA209" s="9"/>
      <c r="ULB209" s="9"/>
      <c r="ULC209" s="9"/>
      <c r="ULD209" s="9"/>
      <c r="ULE209" s="9"/>
      <c r="ULF209" s="9"/>
      <c r="ULG209" s="9"/>
      <c r="ULI209" s="9"/>
      <c r="ULJ209" s="9"/>
      <c r="ULK209" s="9"/>
      <c r="ULL209" s="9"/>
      <c r="ULM209" s="9"/>
      <c r="ULN209" s="9"/>
      <c r="ULO209" s="9"/>
      <c r="ULP209" s="9"/>
      <c r="ULQ209" s="9"/>
      <c r="ULS209" s="9"/>
      <c r="ULT209" s="9"/>
      <c r="ULU209" s="9"/>
      <c r="ULV209" s="9"/>
      <c r="ULW209" s="9"/>
      <c r="ULX209" s="9"/>
      <c r="ULY209" s="9"/>
      <c r="ULZ209" s="9"/>
      <c r="UMA209" s="9"/>
      <c r="UMC209" s="9"/>
      <c r="UMD209" s="9"/>
      <c r="UME209" s="9"/>
      <c r="UMF209" s="9"/>
      <c r="UMG209" s="9"/>
      <c r="UMH209" s="9"/>
      <c r="UMI209" s="9"/>
      <c r="UMJ209" s="9"/>
      <c r="UMK209" s="9"/>
      <c r="UMM209" s="9"/>
      <c r="UMN209" s="9"/>
      <c r="UMO209" s="9"/>
      <c r="UMP209" s="9"/>
      <c r="UMQ209" s="9"/>
      <c r="UMR209" s="9"/>
      <c r="UMS209" s="9"/>
      <c r="UMT209" s="9"/>
      <c r="UMU209" s="9"/>
      <c r="UMW209" s="9"/>
      <c r="UMX209" s="9"/>
      <c r="UMY209" s="9"/>
      <c r="UMZ209" s="9"/>
      <c r="UNA209" s="9"/>
      <c r="UNB209" s="9"/>
      <c r="UNC209" s="9"/>
      <c r="UND209" s="9"/>
      <c r="UNE209" s="9"/>
      <c r="UNG209" s="9"/>
      <c r="UNH209" s="9"/>
      <c r="UNI209" s="9"/>
      <c r="UNJ209" s="9"/>
      <c r="UNK209" s="9"/>
      <c r="UNL209" s="9"/>
      <c r="UNM209" s="9"/>
      <c r="UNN209" s="9"/>
      <c r="UNO209" s="9"/>
      <c r="UNQ209" s="9"/>
      <c r="UNR209" s="9"/>
      <c r="UNS209" s="9"/>
      <c r="UNT209" s="9"/>
      <c r="UNU209" s="9"/>
      <c r="UNV209" s="9"/>
      <c r="UNW209" s="9"/>
      <c r="UNX209" s="9"/>
      <c r="UNY209" s="9"/>
      <c r="UOA209" s="9"/>
      <c r="UOB209" s="9"/>
      <c r="UOC209" s="9"/>
      <c r="UOD209" s="9"/>
      <c r="UOE209" s="9"/>
      <c r="UOF209" s="9"/>
      <c r="UOG209" s="9"/>
      <c r="UOH209" s="9"/>
      <c r="UOI209" s="9"/>
      <c r="UOK209" s="9"/>
      <c r="UOL209" s="9"/>
      <c r="UOM209" s="9"/>
      <c r="UON209" s="9"/>
      <c r="UOO209" s="9"/>
      <c r="UOP209" s="9"/>
      <c r="UOQ209" s="9"/>
      <c r="UOR209" s="9"/>
      <c r="UOS209" s="9"/>
      <c r="UOU209" s="9"/>
      <c r="UOV209" s="9"/>
      <c r="UOW209" s="9"/>
      <c r="UOX209" s="9"/>
      <c r="UOY209" s="9"/>
      <c r="UOZ209" s="9"/>
      <c r="UPA209" s="9"/>
      <c r="UPB209" s="9"/>
      <c r="UPC209" s="9"/>
      <c r="UPE209" s="9"/>
      <c r="UPF209" s="9"/>
      <c r="UPG209" s="9"/>
      <c r="UPH209" s="9"/>
      <c r="UPI209" s="9"/>
      <c r="UPJ209" s="9"/>
      <c r="UPK209" s="9"/>
      <c r="UPL209" s="9"/>
      <c r="UPM209" s="9"/>
      <c r="UPO209" s="9"/>
      <c r="UPP209" s="9"/>
      <c r="UPQ209" s="9"/>
      <c r="UPR209" s="9"/>
      <c r="UPS209" s="9"/>
      <c r="UPT209" s="9"/>
      <c r="UPU209" s="9"/>
      <c r="UPV209" s="9"/>
      <c r="UPW209" s="9"/>
      <c r="UPY209" s="9"/>
      <c r="UPZ209" s="9"/>
      <c r="UQA209" s="9"/>
      <c r="UQB209" s="9"/>
      <c r="UQC209" s="9"/>
      <c r="UQD209" s="9"/>
      <c r="UQE209" s="9"/>
      <c r="UQF209" s="9"/>
      <c r="UQG209" s="9"/>
      <c r="UQI209" s="9"/>
      <c r="UQJ209" s="9"/>
      <c r="UQK209" s="9"/>
      <c r="UQL209" s="9"/>
      <c r="UQM209" s="9"/>
      <c r="UQN209" s="9"/>
      <c r="UQO209" s="9"/>
      <c r="UQP209" s="9"/>
      <c r="UQQ209" s="9"/>
      <c r="UQS209" s="9"/>
      <c r="UQT209" s="9"/>
      <c r="UQU209" s="9"/>
      <c r="UQV209" s="9"/>
      <c r="UQW209" s="9"/>
      <c r="UQX209" s="9"/>
      <c r="UQY209" s="9"/>
      <c r="UQZ209" s="9"/>
      <c r="URA209" s="9"/>
      <c r="URC209" s="9"/>
      <c r="URD209" s="9"/>
      <c r="URE209" s="9"/>
      <c r="URF209" s="9"/>
      <c r="URG209" s="9"/>
      <c r="URH209" s="9"/>
      <c r="URI209" s="9"/>
      <c r="URJ209" s="9"/>
      <c r="URK209" s="9"/>
      <c r="URM209" s="9"/>
      <c r="URN209" s="9"/>
      <c r="URO209" s="9"/>
      <c r="URP209" s="9"/>
      <c r="URQ209" s="9"/>
      <c r="URR209" s="9"/>
      <c r="URS209" s="9"/>
      <c r="URT209" s="9"/>
      <c r="URU209" s="9"/>
      <c r="URW209" s="9"/>
      <c r="URX209" s="9"/>
      <c r="URY209" s="9"/>
      <c r="URZ209" s="9"/>
      <c r="USA209" s="9"/>
      <c r="USB209" s="9"/>
      <c r="USC209" s="9"/>
      <c r="USD209" s="9"/>
      <c r="USE209" s="9"/>
      <c r="USG209" s="9"/>
      <c r="USH209" s="9"/>
      <c r="USI209" s="9"/>
      <c r="USJ209" s="9"/>
      <c r="USK209" s="9"/>
      <c r="USL209" s="9"/>
      <c r="USM209" s="9"/>
      <c r="USN209" s="9"/>
      <c r="USO209" s="9"/>
      <c r="USQ209" s="9"/>
      <c r="USR209" s="9"/>
      <c r="USS209" s="9"/>
      <c r="UST209" s="9"/>
      <c r="USU209" s="9"/>
      <c r="USV209" s="9"/>
      <c r="USW209" s="9"/>
      <c r="USX209" s="9"/>
      <c r="USY209" s="9"/>
      <c r="UTA209" s="9"/>
      <c r="UTB209" s="9"/>
      <c r="UTC209" s="9"/>
      <c r="UTD209" s="9"/>
      <c r="UTE209" s="9"/>
      <c r="UTF209" s="9"/>
      <c r="UTG209" s="9"/>
      <c r="UTH209" s="9"/>
      <c r="UTI209" s="9"/>
      <c r="UTK209" s="9"/>
      <c r="UTL209" s="9"/>
      <c r="UTM209" s="9"/>
      <c r="UTN209" s="9"/>
      <c r="UTO209" s="9"/>
      <c r="UTP209" s="9"/>
      <c r="UTQ209" s="9"/>
      <c r="UTR209" s="9"/>
      <c r="UTS209" s="9"/>
      <c r="UTU209" s="9"/>
      <c r="UTV209" s="9"/>
      <c r="UTW209" s="9"/>
      <c r="UTX209" s="9"/>
      <c r="UTY209" s="9"/>
      <c r="UTZ209" s="9"/>
      <c r="UUA209" s="9"/>
      <c r="UUB209" s="9"/>
      <c r="UUC209" s="9"/>
      <c r="UUE209" s="9"/>
      <c r="UUF209" s="9"/>
      <c r="UUG209" s="9"/>
      <c r="UUH209" s="9"/>
      <c r="UUI209" s="9"/>
      <c r="UUJ209" s="9"/>
      <c r="UUK209" s="9"/>
      <c r="UUL209" s="9"/>
      <c r="UUM209" s="9"/>
      <c r="UUO209" s="9"/>
      <c r="UUP209" s="9"/>
      <c r="UUQ209" s="9"/>
      <c r="UUR209" s="9"/>
      <c r="UUS209" s="9"/>
      <c r="UUT209" s="9"/>
      <c r="UUU209" s="9"/>
      <c r="UUV209" s="9"/>
      <c r="UUW209" s="9"/>
      <c r="UUY209" s="9"/>
      <c r="UUZ209" s="9"/>
      <c r="UVA209" s="9"/>
      <c r="UVB209" s="9"/>
      <c r="UVC209" s="9"/>
      <c r="UVD209" s="9"/>
      <c r="UVE209" s="9"/>
      <c r="UVF209" s="9"/>
      <c r="UVG209" s="9"/>
      <c r="UVI209" s="9"/>
      <c r="UVJ209" s="9"/>
      <c r="UVK209" s="9"/>
      <c r="UVL209" s="9"/>
      <c r="UVM209" s="9"/>
      <c r="UVN209" s="9"/>
      <c r="UVO209" s="9"/>
      <c r="UVP209" s="9"/>
      <c r="UVQ209" s="9"/>
      <c r="UVS209" s="9"/>
      <c r="UVT209" s="9"/>
      <c r="UVU209" s="9"/>
      <c r="UVV209" s="9"/>
      <c r="UVW209" s="9"/>
      <c r="UVX209" s="9"/>
      <c r="UVY209" s="9"/>
      <c r="UVZ209" s="9"/>
      <c r="UWA209" s="9"/>
      <c r="UWC209" s="9"/>
      <c r="UWD209" s="9"/>
      <c r="UWE209" s="9"/>
      <c r="UWF209" s="9"/>
      <c r="UWG209" s="9"/>
      <c r="UWH209" s="9"/>
      <c r="UWI209" s="9"/>
      <c r="UWJ209" s="9"/>
      <c r="UWK209" s="9"/>
      <c r="UWM209" s="9"/>
      <c r="UWN209" s="9"/>
      <c r="UWO209" s="9"/>
      <c r="UWP209" s="9"/>
      <c r="UWQ209" s="9"/>
      <c r="UWR209" s="9"/>
      <c r="UWS209" s="9"/>
      <c r="UWT209" s="9"/>
      <c r="UWU209" s="9"/>
      <c r="UWW209" s="9"/>
      <c r="UWX209" s="9"/>
      <c r="UWY209" s="9"/>
      <c r="UWZ209" s="9"/>
      <c r="UXA209" s="9"/>
      <c r="UXB209" s="9"/>
      <c r="UXC209" s="9"/>
      <c r="UXD209" s="9"/>
      <c r="UXE209" s="9"/>
      <c r="UXG209" s="9"/>
      <c r="UXH209" s="9"/>
      <c r="UXI209" s="9"/>
      <c r="UXJ209" s="9"/>
      <c r="UXK209" s="9"/>
      <c r="UXL209" s="9"/>
      <c r="UXM209" s="9"/>
      <c r="UXN209" s="9"/>
      <c r="UXO209" s="9"/>
      <c r="UXQ209" s="9"/>
      <c r="UXR209" s="9"/>
      <c r="UXS209" s="9"/>
      <c r="UXT209" s="9"/>
      <c r="UXU209" s="9"/>
      <c r="UXV209" s="9"/>
      <c r="UXW209" s="9"/>
      <c r="UXX209" s="9"/>
      <c r="UXY209" s="9"/>
      <c r="UYA209" s="9"/>
      <c r="UYB209" s="9"/>
      <c r="UYC209" s="9"/>
      <c r="UYD209" s="9"/>
      <c r="UYE209" s="9"/>
      <c r="UYF209" s="9"/>
      <c r="UYG209" s="9"/>
      <c r="UYH209" s="9"/>
      <c r="UYI209" s="9"/>
      <c r="UYK209" s="9"/>
      <c r="UYL209" s="9"/>
      <c r="UYM209" s="9"/>
      <c r="UYN209" s="9"/>
      <c r="UYO209" s="9"/>
      <c r="UYP209" s="9"/>
      <c r="UYQ209" s="9"/>
      <c r="UYR209" s="9"/>
      <c r="UYS209" s="9"/>
      <c r="UYU209" s="9"/>
      <c r="UYV209" s="9"/>
      <c r="UYW209" s="9"/>
      <c r="UYX209" s="9"/>
      <c r="UYY209" s="9"/>
      <c r="UYZ209" s="9"/>
      <c r="UZA209" s="9"/>
      <c r="UZB209" s="9"/>
      <c r="UZC209" s="9"/>
      <c r="UZE209" s="9"/>
      <c r="UZF209" s="9"/>
      <c r="UZG209" s="9"/>
      <c r="UZH209" s="9"/>
      <c r="UZI209" s="9"/>
      <c r="UZJ209" s="9"/>
      <c r="UZK209" s="9"/>
      <c r="UZL209" s="9"/>
      <c r="UZM209" s="9"/>
      <c r="UZO209" s="9"/>
      <c r="UZP209" s="9"/>
      <c r="UZQ209" s="9"/>
      <c r="UZR209" s="9"/>
      <c r="UZS209" s="9"/>
      <c r="UZT209" s="9"/>
      <c r="UZU209" s="9"/>
      <c r="UZV209" s="9"/>
      <c r="UZW209" s="9"/>
      <c r="UZY209" s="9"/>
      <c r="UZZ209" s="9"/>
      <c r="VAA209" s="9"/>
      <c r="VAB209" s="9"/>
      <c r="VAC209" s="9"/>
      <c r="VAD209" s="9"/>
      <c r="VAE209" s="9"/>
      <c r="VAF209" s="9"/>
      <c r="VAG209" s="9"/>
      <c r="VAI209" s="9"/>
      <c r="VAJ209" s="9"/>
      <c r="VAK209" s="9"/>
      <c r="VAL209" s="9"/>
      <c r="VAM209" s="9"/>
      <c r="VAN209" s="9"/>
      <c r="VAO209" s="9"/>
      <c r="VAP209" s="9"/>
      <c r="VAQ209" s="9"/>
      <c r="VAS209" s="9"/>
      <c r="VAT209" s="9"/>
      <c r="VAU209" s="9"/>
      <c r="VAV209" s="9"/>
      <c r="VAW209" s="9"/>
      <c r="VAX209" s="9"/>
      <c r="VAY209" s="9"/>
      <c r="VAZ209" s="9"/>
      <c r="VBA209" s="9"/>
      <c r="VBC209" s="9"/>
      <c r="VBD209" s="9"/>
      <c r="VBE209" s="9"/>
      <c r="VBF209" s="9"/>
      <c r="VBG209" s="9"/>
      <c r="VBH209" s="9"/>
      <c r="VBI209" s="9"/>
      <c r="VBJ209" s="9"/>
      <c r="VBK209" s="9"/>
      <c r="VBM209" s="9"/>
      <c r="VBN209" s="9"/>
      <c r="VBO209" s="9"/>
      <c r="VBP209" s="9"/>
      <c r="VBQ209" s="9"/>
      <c r="VBR209" s="9"/>
      <c r="VBS209" s="9"/>
      <c r="VBT209" s="9"/>
      <c r="VBU209" s="9"/>
      <c r="VBW209" s="9"/>
      <c r="VBX209" s="9"/>
      <c r="VBY209" s="9"/>
      <c r="VBZ209" s="9"/>
      <c r="VCA209" s="9"/>
      <c r="VCB209" s="9"/>
      <c r="VCC209" s="9"/>
      <c r="VCD209" s="9"/>
      <c r="VCE209" s="9"/>
      <c r="VCG209" s="9"/>
      <c r="VCH209" s="9"/>
      <c r="VCI209" s="9"/>
      <c r="VCJ209" s="9"/>
      <c r="VCK209" s="9"/>
      <c r="VCL209" s="9"/>
      <c r="VCM209" s="9"/>
      <c r="VCN209" s="9"/>
      <c r="VCO209" s="9"/>
      <c r="VCQ209" s="9"/>
      <c r="VCR209" s="9"/>
      <c r="VCS209" s="9"/>
      <c r="VCT209" s="9"/>
      <c r="VCU209" s="9"/>
      <c r="VCV209" s="9"/>
      <c r="VCW209" s="9"/>
      <c r="VCX209" s="9"/>
      <c r="VCY209" s="9"/>
      <c r="VDA209" s="9"/>
      <c r="VDB209" s="9"/>
      <c r="VDC209" s="9"/>
      <c r="VDD209" s="9"/>
      <c r="VDE209" s="9"/>
      <c r="VDF209" s="9"/>
      <c r="VDG209" s="9"/>
      <c r="VDH209" s="9"/>
      <c r="VDI209" s="9"/>
      <c r="VDK209" s="9"/>
      <c r="VDL209" s="9"/>
      <c r="VDM209" s="9"/>
      <c r="VDN209" s="9"/>
      <c r="VDO209" s="9"/>
      <c r="VDP209" s="9"/>
      <c r="VDQ209" s="9"/>
      <c r="VDR209" s="9"/>
      <c r="VDS209" s="9"/>
      <c r="VDU209" s="9"/>
      <c r="VDV209" s="9"/>
      <c r="VDW209" s="9"/>
      <c r="VDX209" s="9"/>
      <c r="VDY209" s="9"/>
      <c r="VDZ209" s="9"/>
      <c r="VEA209" s="9"/>
      <c r="VEB209" s="9"/>
      <c r="VEC209" s="9"/>
      <c r="VEE209" s="9"/>
      <c r="VEF209" s="9"/>
      <c r="VEG209" s="9"/>
      <c r="VEH209" s="9"/>
      <c r="VEI209" s="9"/>
      <c r="VEJ209" s="9"/>
      <c r="VEK209" s="9"/>
      <c r="VEL209" s="9"/>
      <c r="VEM209" s="9"/>
      <c r="VEO209" s="9"/>
      <c r="VEP209" s="9"/>
      <c r="VEQ209" s="9"/>
      <c r="VER209" s="9"/>
      <c r="VES209" s="9"/>
      <c r="VET209" s="9"/>
      <c r="VEU209" s="9"/>
      <c r="VEV209" s="9"/>
      <c r="VEW209" s="9"/>
      <c r="VEY209" s="9"/>
      <c r="VEZ209" s="9"/>
      <c r="VFA209" s="9"/>
      <c r="VFB209" s="9"/>
      <c r="VFC209" s="9"/>
      <c r="VFD209" s="9"/>
      <c r="VFE209" s="9"/>
      <c r="VFF209" s="9"/>
      <c r="VFG209" s="9"/>
      <c r="VFI209" s="9"/>
      <c r="VFJ209" s="9"/>
      <c r="VFK209" s="9"/>
      <c r="VFL209" s="9"/>
      <c r="VFM209" s="9"/>
      <c r="VFN209" s="9"/>
      <c r="VFO209" s="9"/>
      <c r="VFP209" s="9"/>
      <c r="VFQ209" s="9"/>
      <c r="VFS209" s="9"/>
      <c r="VFT209" s="9"/>
      <c r="VFU209" s="9"/>
      <c r="VFV209" s="9"/>
      <c r="VFW209" s="9"/>
      <c r="VFX209" s="9"/>
      <c r="VFY209" s="9"/>
      <c r="VFZ209" s="9"/>
      <c r="VGA209" s="9"/>
      <c r="VGC209" s="9"/>
      <c r="VGD209" s="9"/>
      <c r="VGE209" s="9"/>
      <c r="VGF209" s="9"/>
      <c r="VGG209" s="9"/>
      <c r="VGH209" s="9"/>
      <c r="VGI209" s="9"/>
      <c r="VGJ209" s="9"/>
      <c r="VGK209" s="9"/>
      <c r="VGM209" s="9"/>
      <c r="VGN209" s="9"/>
      <c r="VGO209" s="9"/>
      <c r="VGP209" s="9"/>
      <c r="VGQ209" s="9"/>
      <c r="VGR209" s="9"/>
      <c r="VGS209" s="9"/>
      <c r="VGT209" s="9"/>
      <c r="VGU209" s="9"/>
      <c r="VGW209" s="9"/>
      <c r="VGX209" s="9"/>
      <c r="VGY209" s="9"/>
      <c r="VGZ209" s="9"/>
      <c r="VHA209" s="9"/>
      <c r="VHB209" s="9"/>
      <c r="VHC209" s="9"/>
      <c r="VHD209" s="9"/>
      <c r="VHE209" s="9"/>
      <c r="VHG209" s="9"/>
      <c r="VHH209" s="9"/>
      <c r="VHI209" s="9"/>
      <c r="VHJ209" s="9"/>
      <c r="VHK209" s="9"/>
      <c r="VHL209" s="9"/>
      <c r="VHM209" s="9"/>
      <c r="VHN209" s="9"/>
      <c r="VHO209" s="9"/>
      <c r="VHQ209" s="9"/>
      <c r="VHR209" s="9"/>
      <c r="VHS209" s="9"/>
      <c r="VHT209" s="9"/>
      <c r="VHU209" s="9"/>
      <c r="VHV209" s="9"/>
      <c r="VHW209" s="9"/>
      <c r="VHX209" s="9"/>
      <c r="VHY209" s="9"/>
      <c r="VIA209" s="9"/>
      <c r="VIB209" s="9"/>
      <c r="VIC209" s="9"/>
      <c r="VID209" s="9"/>
      <c r="VIE209" s="9"/>
      <c r="VIF209" s="9"/>
      <c r="VIG209" s="9"/>
      <c r="VIH209" s="9"/>
      <c r="VII209" s="9"/>
      <c r="VIK209" s="9"/>
      <c r="VIL209" s="9"/>
      <c r="VIM209" s="9"/>
      <c r="VIN209" s="9"/>
      <c r="VIO209" s="9"/>
      <c r="VIP209" s="9"/>
      <c r="VIQ209" s="9"/>
      <c r="VIR209" s="9"/>
      <c r="VIS209" s="9"/>
      <c r="VIU209" s="9"/>
      <c r="VIV209" s="9"/>
      <c r="VIW209" s="9"/>
      <c r="VIX209" s="9"/>
      <c r="VIY209" s="9"/>
      <c r="VIZ209" s="9"/>
      <c r="VJA209" s="9"/>
      <c r="VJB209" s="9"/>
      <c r="VJC209" s="9"/>
      <c r="VJE209" s="9"/>
      <c r="VJF209" s="9"/>
      <c r="VJG209" s="9"/>
      <c r="VJH209" s="9"/>
      <c r="VJI209" s="9"/>
      <c r="VJJ209" s="9"/>
      <c r="VJK209" s="9"/>
      <c r="VJL209" s="9"/>
      <c r="VJM209" s="9"/>
      <c r="VJO209" s="9"/>
      <c r="VJP209" s="9"/>
      <c r="VJQ209" s="9"/>
      <c r="VJR209" s="9"/>
      <c r="VJS209" s="9"/>
      <c r="VJT209" s="9"/>
      <c r="VJU209" s="9"/>
      <c r="VJV209" s="9"/>
      <c r="VJW209" s="9"/>
      <c r="VJY209" s="9"/>
      <c r="VJZ209" s="9"/>
      <c r="VKA209" s="9"/>
      <c r="VKB209" s="9"/>
      <c r="VKC209" s="9"/>
      <c r="VKD209" s="9"/>
      <c r="VKE209" s="9"/>
      <c r="VKF209" s="9"/>
      <c r="VKG209" s="9"/>
      <c r="VKI209" s="9"/>
      <c r="VKJ209" s="9"/>
      <c r="VKK209" s="9"/>
      <c r="VKL209" s="9"/>
      <c r="VKM209" s="9"/>
      <c r="VKN209" s="9"/>
      <c r="VKO209" s="9"/>
      <c r="VKP209" s="9"/>
      <c r="VKQ209" s="9"/>
      <c r="VKS209" s="9"/>
      <c r="VKT209" s="9"/>
      <c r="VKU209" s="9"/>
      <c r="VKV209" s="9"/>
      <c r="VKW209" s="9"/>
      <c r="VKX209" s="9"/>
      <c r="VKY209" s="9"/>
      <c r="VKZ209" s="9"/>
      <c r="VLA209" s="9"/>
      <c r="VLC209" s="9"/>
      <c r="VLD209" s="9"/>
      <c r="VLE209" s="9"/>
      <c r="VLF209" s="9"/>
      <c r="VLG209" s="9"/>
      <c r="VLH209" s="9"/>
      <c r="VLI209" s="9"/>
      <c r="VLJ209" s="9"/>
      <c r="VLK209" s="9"/>
      <c r="VLM209" s="9"/>
      <c r="VLN209" s="9"/>
      <c r="VLO209" s="9"/>
      <c r="VLP209" s="9"/>
      <c r="VLQ209" s="9"/>
      <c r="VLR209" s="9"/>
      <c r="VLS209" s="9"/>
      <c r="VLT209" s="9"/>
      <c r="VLU209" s="9"/>
      <c r="VLW209" s="9"/>
      <c r="VLX209" s="9"/>
      <c r="VLY209" s="9"/>
      <c r="VLZ209" s="9"/>
      <c r="VMA209" s="9"/>
      <c r="VMB209" s="9"/>
      <c r="VMC209" s="9"/>
      <c r="VMD209" s="9"/>
      <c r="VME209" s="9"/>
      <c r="VMG209" s="9"/>
      <c r="VMH209" s="9"/>
      <c r="VMI209" s="9"/>
      <c r="VMJ209" s="9"/>
      <c r="VMK209" s="9"/>
      <c r="VML209" s="9"/>
      <c r="VMM209" s="9"/>
      <c r="VMN209" s="9"/>
      <c r="VMO209" s="9"/>
      <c r="VMQ209" s="9"/>
      <c r="VMR209" s="9"/>
      <c r="VMS209" s="9"/>
      <c r="VMT209" s="9"/>
      <c r="VMU209" s="9"/>
      <c r="VMV209" s="9"/>
      <c r="VMW209" s="9"/>
      <c r="VMX209" s="9"/>
      <c r="VMY209" s="9"/>
      <c r="VNA209" s="9"/>
      <c r="VNB209" s="9"/>
      <c r="VNC209" s="9"/>
      <c r="VND209" s="9"/>
      <c r="VNE209" s="9"/>
      <c r="VNF209" s="9"/>
      <c r="VNG209" s="9"/>
      <c r="VNH209" s="9"/>
      <c r="VNI209" s="9"/>
      <c r="VNK209" s="9"/>
      <c r="VNL209" s="9"/>
      <c r="VNM209" s="9"/>
      <c r="VNN209" s="9"/>
      <c r="VNO209" s="9"/>
      <c r="VNP209" s="9"/>
      <c r="VNQ209" s="9"/>
      <c r="VNR209" s="9"/>
      <c r="VNS209" s="9"/>
      <c r="VNU209" s="9"/>
      <c r="VNV209" s="9"/>
      <c r="VNW209" s="9"/>
      <c r="VNX209" s="9"/>
      <c r="VNY209" s="9"/>
      <c r="VNZ209" s="9"/>
      <c r="VOA209" s="9"/>
      <c r="VOB209" s="9"/>
      <c r="VOC209" s="9"/>
      <c r="VOE209" s="9"/>
      <c r="VOF209" s="9"/>
      <c r="VOG209" s="9"/>
      <c r="VOH209" s="9"/>
      <c r="VOI209" s="9"/>
      <c r="VOJ209" s="9"/>
      <c r="VOK209" s="9"/>
      <c r="VOL209" s="9"/>
      <c r="VOM209" s="9"/>
      <c r="VOO209" s="9"/>
      <c r="VOP209" s="9"/>
      <c r="VOQ209" s="9"/>
      <c r="VOR209" s="9"/>
      <c r="VOS209" s="9"/>
      <c r="VOT209" s="9"/>
      <c r="VOU209" s="9"/>
      <c r="VOV209" s="9"/>
      <c r="VOW209" s="9"/>
      <c r="VOY209" s="9"/>
      <c r="VOZ209" s="9"/>
      <c r="VPA209" s="9"/>
      <c r="VPB209" s="9"/>
      <c r="VPC209" s="9"/>
      <c r="VPD209" s="9"/>
      <c r="VPE209" s="9"/>
      <c r="VPF209" s="9"/>
      <c r="VPG209" s="9"/>
      <c r="VPI209" s="9"/>
      <c r="VPJ209" s="9"/>
      <c r="VPK209" s="9"/>
      <c r="VPL209" s="9"/>
      <c r="VPM209" s="9"/>
      <c r="VPN209" s="9"/>
      <c r="VPO209" s="9"/>
      <c r="VPP209" s="9"/>
      <c r="VPQ209" s="9"/>
      <c r="VPS209" s="9"/>
      <c r="VPT209" s="9"/>
      <c r="VPU209" s="9"/>
      <c r="VPV209" s="9"/>
      <c r="VPW209" s="9"/>
      <c r="VPX209" s="9"/>
      <c r="VPY209" s="9"/>
      <c r="VPZ209" s="9"/>
      <c r="VQA209" s="9"/>
      <c r="VQC209" s="9"/>
      <c r="VQD209" s="9"/>
      <c r="VQE209" s="9"/>
      <c r="VQF209" s="9"/>
      <c r="VQG209" s="9"/>
      <c r="VQH209" s="9"/>
      <c r="VQI209" s="9"/>
      <c r="VQJ209" s="9"/>
      <c r="VQK209" s="9"/>
      <c r="VQM209" s="9"/>
      <c r="VQN209" s="9"/>
      <c r="VQO209" s="9"/>
      <c r="VQP209" s="9"/>
      <c r="VQQ209" s="9"/>
      <c r="VQR209" s="9"/>
      <c r="VQS209" s="9"/>
      <c r="VQT209" s="9"/>
      <c r="VQU209" s="9"/>
      <c r="VQW209" s="9"/>
      <c r="VQX209" s="9"/>
      <c r="VQY209" s="9"/>
      <c r="VQZ209" s="9"/>
      <c r="VRA209" s="9"/>
      <c r="VRB209" s="9"/>
      <c r="VRC209" s="9"/>
      <c r="VRD209" s="9"/>
      <c r="VRE209" s="9"/>
      <c r="VRG209" s="9"/>
      <c r="VRH209" s="9"/>
      <c r="VRI209" s="9"/>
      <c r="VRJ209" s="9"/>
      <c r="VRK209" s="9"/>
      <c r="VRL209" s="9"/>
      <c r="VRM209" s="9"/>
      <c r="VRN209" s="9"/>
      <c r="VRO209" s="9"/>
      <c r="VRQ209" s="9"/>
      <c r="VRR209" s="9"/>
      <c r="VRS209" s="9"/>
      <c r="VRT209" s="9"/>
      <c r="VRU209" s="9"/>
      <c r="VRV209" s="9"/>
      <c r="VRW209" s="9"/>
      <c r="VRX209" s="9"/>
      <c r="VRY209" s="9"/>
      <c r="VSA209" s="9"/>
      <c r="VSB209" s="9"/>
      <c r="VSC209" s="9"/>
      <c r="VSD209" s="9"/>
      <c r="VSE209" s="9"/>
      <c r="VSF209" s="9"/>
      <c r="VSG209" s="9"/>
      <c r="VSH209" s="9"/>
      <c r="VSI209" s="9"/>
      <c r="VSK209" s="9"/>
      <c r="VSL209" s="9"/>
      <c r="VSM209" s="9"/>
      <c r="VSN209" s="9"/>
      <c r="VSO209" s="9"/>
      <c r="VSP209" s="9"/>
      <c r="VSQ209" s="9"/>
      <c r="VSR209" s="9"/>
      <c r="VSS209" s="9"/>
      <c r="VSU209" s="9"/>
      <c r="VSV209" s="9"/>
      <c r="VSW209" s="9"/>
      <c r="VSX209" s="9"/>
      <c r="VSY209" s="9"/>
      <c r="VSZ209" s="9"/>
      <c r="VTA209" s="9"/>
      <c r="VTB209" s="9"/>
      <c r="VTC209" s="9"/>
      <c r="VTE209" s="9"/>
      <c r="VTF209" s="9"/>
      <c r="VTG209" s="9"/>
      <c r="VTH209" s="9"/>
      <c r="VTI209" s="9"/>
      <c r="VTJ209" s="9"/>
      <c r="VTK209" s="9"/>
      <c r="VTL209" s="9"/>
      <c r="VTM209" s="9"/>
      <c r="VTO209" s="9"/>
      <c r="VTP209" s="9"/>
      <c r="VTQ209" s="9"/>
      <c r="VTR209" s="9"/>
      <c r="VTS209" s="9"/>
      <c r="VTT209" s="9"/>
      <c r="VTU209" s="9"/>
      <c r="VTV209" s="9"/>
      <c r="VTW209" s="9"/>
      <c r="VTY209" s="9"/>
      <c r="VTZ209" s="9"/>
      <c r="VUA209" s="9"/>
      <c r="VUB209" s="9"/>
      <c r="VUC209" s="9"/>
      <c r="VUD209" s="9"/>
      <c r="VUE209" s="9"/>
      <c r="VUF209" s="9"/>
      <c r="VUG209" s="9"/>
      <c r="VUI209" s="9"/>
      <c r="VUJ209" s="9"/>
      <c r="VUK209" s="9"/>
      <c r="VUL209" s="9"/>
      <c r="VUM209" s="9"/>
      <c r="VUN209" s="9"/>
      <c r="VUO209" s="9"/>
      <c r="VUP209" s="9"/>
      <c r="VUQ209" s="9"/>
      <c r="VUS209" s="9"/>
      <c r="VUT209" s="9"/>
      <c r="VUU209" s="9"/>
      <c r="VUV209" s="9"/>
      <c r="VUW209" s="9"/>
      <c r="VUX209" s="9"/>
      <c r="VUY209" s="9"/>
      <c r="VUZ209" s="9"/>
      <c r="VVA209" s="9"/>
      <c r="VVC209" s="9"/>
      <c r="VVD209" s="9"/>
      <c r="VVE209" s="9"/>
      <c r="VVF209" s="9"/>
      <c r="VVG209" s="9"/>
      <c r="VVH209" s="9"/>
      <c r="VVI209" s="9"/>
      <c r="VVJ209" s="9"/>
      <c r="VVK209" s="9"/>
      <c r="VVM209" s="9"/>
      <c r="VVN209" s="9"/>
      <c r="VVO209" s="9"/>
      <c r="VVP209" s="9"/>
      <c r="VVQ209" s="9"/>
      <c r="VVR209" s="9"/>
      <c r="VVS209" s="9"/>
      <c r="VVT209" s="9"/>
      <c r="VVU209" s="9"/>
      <c r="VVW209" s="9"/>
      <c r="VVX209" s="9"/>
      <c r="VVY209" s="9"/>
      <c r="VVZ209" s="9"/>
      <c r="VWA209" s="9"/>
      <c r="VWB209" s="9"/>
      <c r="VWC209" s="9"/>
      <c r="VWD209" s="9"/>
      <c r="VWE209" s="9"/>
      <c r="VWG209" s="9"/>
      <c r="VWH209" s="9"/>
      <c r="VWI209" s="9"/>
      <c r="VWJ209" s="9"/>
      <c r="VWK209" s="9"/>
      <c r="VWL209" s="9"/>
      <c r="VWM209" s="9"/>
      <c r="VWN209" s="9"/>
      <c r="VWO209" s="9"/>
      <c r="VWQ209" s="9"/>
      <c r="VWR209" s="9"/>
      <c r="VWS209" s="9"/>
      <c r="VWT209" s="9"/>
      <c r="VWU209" s="9"/>
      <c r="VWV209" s="9"/>
      <c r="VWW209" s="9"/>
      <c r="VWX209" s="9"/>
      <c r="VWY209" s="9"/>
      <c r="VXA209" s="9"/>
      <c r="VXB209" s="9"/>
      <c r="VXC209" s="9"/>
      <c r="VXD209" s="9"/>
      <c r="VXE209" s="9"/>
      <c r="VXF209" s="9"/>
      <c r="VXG209" s="9"/>
      <c r="VXH209" s="9"/>
      <c r="VXI209" s="9"/>
      <c r="VXK209" s="9"/>
      <c r="VXL209" s="9"/>
      <c r="VXM209" s="9"/>
      <c r="VXN209" s="9"/>
      <c r="VXO209" s="9"/>
      <c r="VXP209" s="9"/>
      <c r="VXQ209" s="9"/>
      <c r="VXR209" s="9"/>
      <c r="VXS209" s="9"/>
      <c r="VXU209" s="9"/>
      <c r="VXV209" s="9"/>
      <c r="VXW209" s="9"/>
      <c r="VXX209" s="9"/>
      <c r="VXY209" s="9"/>
      <c r="VXZ209" s="9"/>
      <c r="VYA209" s="9"/>
      <c r="VYB209" s="9"/>
      <c r="VYC209" s="9"/>
      <c r="VYE209" s="9"/>
      <c r="VYF209" s="9"/>
      <c r="VYG209" s="9"/>
      <c r="VYH209" s="9"/>
      <c r="VYI209" s="9"/>
      <c r="VYJ209" s="9"/>
      <c r="VYK209" s="9"/>
      <c r="VYL209" s="9"/>
      <c r="VYM209" s="9"/>
      <c r="VYO209" s="9"/>
      <c r="VYP209" s="9"/>
      <c r="VYQ209" s="9"/>
      <c r="VYR209" s="9"/>
      <c r="VYS209" s="9"/>
      <c r="VYT209" s="9"/>
      <c r="VYU209" s="9"/>
      <c r="VYV209" s="9"/>
      <c r="VYW209" s="9"/>
      <c r="VYY209" s="9"/>
      <c r="VYZ209" s="9"/>
      <c r="VZA209" s="9"/>
      <c r="VZB209" s="9"/>
      <c r="VZC209" s="9"/>
      <c r="VZD209" s="9"/>
      <c r="VZE209" s="9"/>
      <c r="VZF209" s="9"/>
      <c r="VZG209" s="9"/>
      <c r="VZI209" s="9"/>
      <c r="VZJ209" s="9"/>
      <c r="VZK209" s="9"/>
      <c r="VZL209" s="9"/>
      <c r="VZM209" s="9"/>
      <c r="VZN209" s="9"/>
      <c r="VZO209" s="9"/>
      <c r="VZP209" s="9"/>
      <c r="VZQ209" s="9"/>
      <c r="VZS209" s="9"/>
      <c r="VZT209" s="9"/>
      <c r="VZU209" s="9"/>
      <c r="VZV209" s="9"/>
      <c r="VZW209" s="9"/>
      <c r="VZX209" s="9"/>
      <c r="VZY209" s="9"/>
      <c r="VZZ209" s="9"/>
      <c r="WAA209" s="9"/>
      <c r="WAC209" s="9"/>
      <c r="WAD209" s="9"/>
      <c r="WAE209" s="9"/>
      <c r="WAF209" s="9"/>
      <c r="WAG209" s="9"/>
      <c r="WAH209" s="9"/>
      <c r="WAI209" s="9"/>
      <c r="WAJ209" s="9"/>
      <c r="WAK209" s="9"/>
      <c r="WAM209" s="9"/>
      <c r="WAN209" s="9"/>
      <c r="WAO209" s="9"/>
      <c r="WAP209" s="9"/>
      <c r="WAQ209" s="9"/>
      <c r="WAR209" s="9"/>
      <c r="WAS209" s="9"/>
      <c r="WAT209" s="9"/>
      <c r="WAU209" s="9"/>
      <c r="WAW209" s="9"/>
      <c r="WAX209" s="9"/>
      <c r="WAY209" s="9"/>
      <c r="WAZ209" s="9"/>
      <c r="WBA209" s="9"/>
      <c r="WBB209" s="9"/>
      <c r="WBC209" s="9"/>
      <c r="WBD209" s="9"/>
      <c r="WBE209" s="9"/>
      <c r="WBG209" s="9"/>
      <c r="WBH209" s="9"/>
      <c r="WBI209" s="9"/>
      <c r="WBJ209" s="9"/>
      <c r="WBK209" s="9"/>
      <c r="WBL209" s="9"/>
      <c r="WBM209" s="9"/>
      <c r="WBN209" s="9"/>
      <c r="WBO209" s="9"/>
      <c r="WBQ209" s="9"/>
      <c r="WBR209" s="9"/>
      <c r="WBS209" s="9"/>
      <c r="WBT209" s="9"/>
      <c r="WBU209" s="9"/>
      <c r="WBV209" s="9"/>
      <c r="WBW209" s="9"/>
      <c r="WBX209" s="9"/>
      <c r="WBY209" s="9"/>
      <c r="WCA209" s="9"/>
      <c r="WCB209" s="9"/>
      <c r="WCC209" s="9"/>
      <c r="WCD209" s="9"/>
      <c r="WCE209" s="9"/>
      <c r="WCF209" s="9"/>
      <c r="WCG209" s="9"/>
      <c r="WCH209" s="9"/>
      <c r="WCI209" s="9"/>
      <c r="WCK209" s="9"/>
      <c r="WCL209" s="9"/>
      <c r="WCM209" s="9"/>
      <c r="WCN209" s="9"/>
      <c r="WCO209" s="9"/>
      <c r="WCP209" s="9"/>
      <c r="WCQ209" s="9"/>
      <c r="WCR209" s="9"/>
      <c r="WCS209" s="9"/>
      <c r="WCU209" s="9"/>
      <c r="WCV209" s="9"/>
      <c r="WCW209" s="9"/>
      <c r="WCX209" s="9"/>
      <c r="WCY209" s="9"/>
      <c r="WCZ209" s="9"/>
      <c r="WDA209" s="9"/>
      <c r="WDB209" s="9"/>
      <c r="WDC209" s="9"/>
      <c r="WDE209" s="9"/>
      <c r="WDF209" s="9"/>
      <c r="WDG209" s="9"/>
      <c r="WDH209" s="9"/>
      <c r="WDI209" s="9"/>
      <c r="WDJ209" s="9"/>
      <c r="WDK209" s="9"/>
      <c r="WDL209" s="9"/>
      <c r="WDM209" s="9"/>
      <c r="WDO209" s="9"/>
      <c r="WDP209" s="9"/>
      <c r="WDQ209" s="9"/>
      <c r="WDR209" s="9"/>
      <c r="WDS209" s="9"/>
      <c r="WDT209" s="9"/>
      <c r="WDU209" s="9"/>
      <c r="WDV209" s="9"/>
      <c r="WDW209" s="9"/>
      <c r="WDY209" s="9"/>
      <c r="WDZ209" s="9"/>
      <c r="WEA209" s="9"/>
      <c r="WEB209" s="9"/>
      <c r="WEC209" s="9"/>
      <c r="WED209" s="9"/>
      <c r="WEE209" s="9"/>
      <c r="WEF209" s="9"/>
      <c r="WEG209" s="9"/>
      <c r="WEI209" s="9"/>
      <c r="WEJ209" s="9"/>
      <c r="WEK209" s="9"/>
      <c r="WEL209" s="9"/>
      <c r="WEM209" s="9"/>
      <c r="WEN209" s="9"/>
      <c r="WEO209" s="9"/>
      <c r="WEP209" s="9"/>
      <c r="WEQ209" s="9"/>
      <c r="WES209" s="9"/>
      <c r="WET209" s="9"/>
      <c r="WEU209" s="9"/>
      <c r="WEV209" s="9"/>
      <c r="WEW209" s="9"/>
      <c r="WEX209" s="9"/>
      <c r="WEY209" s="9"/>
      <c r="WEZ209" s="9"/>
      <c r="WFA209" s="9"/>
      <c r="WFC209" s="9"/>
      <c r="WFD209" s="9"/>
      <c r="WFE209" s="9"/>
      <c r="WFF209" s="9"/>
      <c r="WFG209" s="9"/>
      <c r="WFH209" s="9"/>
      <c r="WFI209" s="9"/>
      <c r="WFJ209" s="9"/>
      <c r="WFK209" s="9"/>
      <c r="WFM209" s="9"/>
      <c r="WFN209" s="9"/>
      <c r="WFO209" s="9"/>
      <c r="WFP209" s="9"/>
      <c r="WFQ209" s="9"/>
      <c r="WFR209" s="9"/>
      <c r="WFS209" s="9"/>
      <c r="WFT209" s="9"/>
      <c r="WFU209" s="9"/>
      <c r="WFW209" s="9"/>
      <c r="WFX209" s="9"/>
      <c r="WFY209" s="9"/>
      <c r="WFZ209" s="9"/>
      <c r="WGA209" s="9"/>
      <c r="WGB209" s="9"/>
      <c r="WGC209" s="9"/>
      <c r="WGD209" s="9"/>
      <c r="WGE209" s="9"/>
      <c r="WGG209" s="9"/>
      <c r="WGH209" s="9"/>
      <c r="WGI209" s="9"/>
      <c r="WGJ209" s="9"/>
      <c r="WGK209" s="9"/>
      <c r="WGL209" s="9"/>
      <c r="WGM209" s="9"/>
      <c r="WGN209" s="9"/>
      <c r="WGO209" s="9"/>
      <c r="WGQ209" s="9"/>
      <c r="WGR209" s="9"/>
      <c r="WGS209" s="9"/>
      <c r="WGT209" s="9"/>
      <c r="WGU209" s="9"/>
      <c r="WGV209" s="9"/>
      <c r="WGW209" s="9"/>
      <c r="WGX209" s="9"/>
      <c r="WGY209" s="9"/>
      <c r="WHA209" s="9"/>
      <c r="WHB209" s="9"/>
      <c r="WHC209" s="9"/>
      <c r="WHD209" s="9"/>
      <c r="WHE209" s="9"/>
      <c r="WHF209" s="9"/>
      <c r="WHG209" s="9"/>
      <c r="WHH209" s="9"/>
      <c r="WHI209" s="9"/>
      <c r="WHK209" s="9"/>
      <c r="WHL209" s="9"/>
      <c r="WHM209" s="9"/>
      <c r="WHN209" s="9"/>
      <c r="WHO209" s="9"/>
      <c r="WHP209" s="9"/>
      <c r="WHQ209" s="9"/>
      <c r="WHR209" s="9"/>
      <c r="WHS209" s="9"/>
      <c r="WHU209" s="9"/>
      <c r="WHV209" s="9"/>
      <c r="WHW209" s="9"/>
      <c r="WHX209" s="9"/>
      <c r="WHY209" s="9"/>
      <c r="WHZ209" s="9"/>
      <c r="WIA209" s="9"/>
      <c r="WIB209" s="9"/>
      <c r="WIC209" s="9"/>
      <c r="WIE209" s="9"/>
      <c r="WIF209" s="9"/>
      <c r="WIG209" s="9"/>
      <c r="WIH209" s="9"/>
      <c r="WII209" s="9"/>
      <c r="WIJ209" s="9"/>
      <c r="WIK209" s="9"/>
      <c r="WIL209" s="9"/>
      <c r="WIM209" s="9"/>
      <c r="WIO209" s="9"/>
      <c r="WIP209" s="9"/>
      <c r="WIQ209" s="9"/>
      <c r="WIR209" s="9"/>
      <c r="WIS209" s="9"/>
      <c r="WIT209" s="9"/>
      <c r="WIU209" s="9"/>
      <c r="WIV209" s="9"/>
      <c r="WIW209" s="9"/>
      <c r="WIY209" s="9"/>
      <c r="WIZ209" s="9"/>
      <c r="WJA209" s="9"/>
      <c r="WJB209" s="9"/>
      <c r="WJC209" s="9"/>
      <c r="WJD209" s="9"/>
      <c r="WJE209" s="9"/>
      <c r="WJF209" s="9"/>
      <c r="WJG209" s="9"/>
      <c r="WJI209" s="9"/>
      <c r="WJJ209" s="9"/>
      <c r="WJK209" s="9"/>
      <c r="WJL209" s="9"/>
      <c r="WJM209" s="9"/>
      <c r="WJN209" s="9"/>
      <c r="WJO209" s="9"/>
      <c r="WJP209" s="9"/>
      <c r="WJQ209" s="9"/>
      <c r="WJS209" s="9"/>
      <c r="WJT209" s="9"/>
      <c r="WJU209" s="9"/>
      <c r="WJV209" s="9"/>
      <c r="WJW209" s="9"/>
      <c r="WJX209" s="9"/>
      <c r="WJY209" s="9"/>
      <c r="WJZ209" s="9"/>
      <c r="WKA209" s="9"/>
      <c r="WKC209" s="9"/>
      <c r="WKD209" s="9"/>
      <c r="WKE209" s="9"/>
      <c r="WKF209" s="9"/>
      <c r="WKG209" s="9"/>
      <c r="WKH209" s="9"/>
      <c r="WKI209" s="9"/>
      <c r="WKJ209" s="9"/>
      <c r="WKK209" s="9"/>
      <c r="WKM209" s="9"/>
      <c r="WKN209" s="9"/>
      <c r="WKO209" s="9"/>
      <c r="WKP209" s="9"/>
      <c r="WKQ209" s="9"/>
      <c r="WKR209" s="9"/>
      <c r="WKS209" s="9"/>
      <c r="WKT209" s="9"/>
      <c r="WKU209" s="9"/>
      <c r="WKW209" s="9"/>
      <c r="WKX209" s="9"/>
      <c r="WKY209" s="9"/>
      <c r="WKZ209" s="9"/>
      <c r="WLA209" s="9"/>
      <c r="WLB209" s="9"/>
      <c r="WLC209" s="9"/>
      <c r="WLD209" s="9"/>
      <c r="WLE209" s="9"/>
      <c r="WLG209" s="9"/>
      <c r="WLH209" s="9"/>
      <c r="WLI209" s="9"/>
      <c r="WLJ209" s="9"/>
      <c r="WLK209" s="9"/>
      <c r="WLL209" s="9"/>
      <c r="WLM209" s="9"/>
      <c r="WLN209" s="9"/>
      <c r="WLO209" s="9"/>
      <c r="WLQ209" s="9"/>
      <c r="WLR209" s="9"/>
      <c r="WLS209" s="9"/>
      <c r="WLT209" s="9"/>
      <c r="WLU209" s="9"/>
      <c r="WLV209" s="9"/>
      <c r="WLW209" s="9"/>
      <c r="WLX209" s="9"/>
      <c r="WLY209" s="9"/>
      <c r="WMA209" s="9"/>
      <c r="WMB209" s="9"/>
      <c r="WMC209" s="9"/>
      <c r="WMD209" s="9"/>
      <c r="WME209" s="9"/>
      <c r="WMF209" s="9"/>
      <c r="WMG209" s="9"/>
      <c r="WMH209" s="9"/>
      <c r="WMI209" s="9"/>
      <c r="WMK209" s="9"/>
      <c r="WML209" s="9"/>
      <c r="WMM209" s="9"/>
      <c r="WMN209" s="9"/>
      <c r="WMO209" s="9"/>
      <c r="WMP209" s="9"/>
      <c r="WMQ209" s="9"/>
      <c r="WMR209" s="9"/>
      <c r="WMS209" s="9"/>
      <c r="WMU209" s="9"/>
      <c r="WMV209" s="9"/>
      <c r="WMW209" s="9"/>
      <c r="WMX209" s="9"/>
      <c r="WMY209" s="9"/>
      <c r="WMZ209" s="9"/>
      <c r="WNA209" s="9"/>
      <c r="WNB209" s="9"/>
      <c r="WNC209" s="9"/>
      <c r="WNE209" s="9"/>
      <c r="WNF209" s="9"/>
      <c r="WNG209" s="9"/>
      <c r="WNH209" s="9"/>
      <c r="WNI209" s="9"/>
      <c r="WNJ209" s="9"/>
      <c r="WNK209" s="9"/>
      <c r="WNL209" s="9"/>
      <c r="WNM209" s="9"/>
      <c r="WNO209" s="9"/>
      <c r="WNP209" s="9"/>
      <c r="WNQ209" s="9"/>
      <c r="WNR209" s="9"/>
      <c r="WNS209" s="9"/>
      <c r="WNT209" s="9"/>
      <c r="WNU209" s="9"/>
      <c r="WNV209" s="9"/>
      <c r="WNW209" s="9"/>
      <c r="WNY209" s="9"/>
      <c r="WNZ209" s="9"/>
      <c r="WOA209" s="9"/>
      <c r="WOB209" s="9"/>
      <c r="WOC209" s="9"/>
      <c r="WOD209" s="9"/>
      <c r="WOE209" s="9"/>
      <c r="WOF209" s="9"/>
      <c r="WOG209" s="9"/>
      <c r="WOI209" s="9"/>
      <c r="WOJ209" s="9"/>
      <c r="WOK209" s="9"/>
      <c r="WOL209" s="9"/>
      <c r="WOM209" s="9"/>
      <c r="WON209" s="9"/>
      <c r="WOO209" s="9"/>
      <c r="WOP209" s="9"/>
      <c r="WOQ209" s="9"/>
      <c r="WOS209" s="9"/>
      <c r="WOT209" s="9"/>
      <c r="WOU209" s="9"/>
      <c r="WOV209" s="9"/>
      <c r="WOW209" s="9"/>
      <c r="WOX209" s="9"/>
      <c r="WOY209" s="9"/>
      <c r="WOZ209" s="9"/>
      <c r="WPA209" s="9"/>
      <c r="WPC209" s="9"/>
      <c r="WPD209" s="9"/>
      <c r="WPE209" s="9"/>
      <c r="WPF209" s="9"/>
      <c r="WPG209" s="9"/>
      <c r="WPH209" s="9"/>
      <c r="WPI209" s="9"/>
      <c r="WPJ209" s="9"/>
      <c r="WPK209" s="9"/>
      <c r="WPM209" s="9"/>
      <c r="WPN209" s="9"/>
      <c r="WPO209" s="9"/>
      <c r="WPP209" s="9"/>
      <c r="WPQ209" s="9"/>
      <c r="WPR209" s="9"/>
      <c r="WPS209" s="9"/>
      <c r="WPT209" s="9"/>
      <c r="WPU209" s="9"/>
      <c r="WPW209" s="9"/>
      <c r="WPX209" s="9"/>
      <c r="WPY209" s="9"/>
      <c r="WPZ209" s="9"/>
      <c r="WQA209" s="9"/>
      <c r="WQB209" s="9"/>
      <c r="WQC209" s="9"/>
      <c r="WQD209" s="9"/>
      <c r="WQE209" s="9"/>
      <c r="WQG209" s="9"/>
      <c r="WQH209" s="9"/>
      <c r="WQI209" s="9"/>
      <c r="WQJ209" s="9"/>
      <c r="WQK209" s="9"/>
      <c r="WQL209" s="9"/>
      <c r="WQM209" s="9"/>
      <c r="WQN209" s="9"/>
      <c r="WQO209" s="9"/>
      <c r="WQQ209" s="9"/>
      <c r="WQR209" s="9"/>
      <c r="WQS209" s="9"/>
      <c r="WQT209" s="9"/>
      <c r="WQU209" s="9"/>
      <c r="WQV209" s="9"/>
      <c r="WQW209" s="9"/>
      <c r="WQX209" s="9"/>
      <c r="WQY209" s="9"/>
      <c r="WRA209" s="9"/>
      <c r="WRB209" s="9"/>
      <c r="WRC209" s="9"/>
      <c r="WRD209" s="9"/>
      <c r="WRE209" s="9"/>
      <c r="WRF209" s="9"/>
      <c r="WRG209" s="9"/>
      <c r="WRH209" s="9"/>
      <c r="WRI209" s="9"/>
      <c r="WRK209" s="9"/>
      <c r="WRL209" s="9"/>
      <c r="WRM209" s="9"/>
      <c r="WRN209" s="9"/>
      <c r="WRO209" s="9"/>
      <c r="WRP209" s="9"/>
      <c r="WRQ209" s="9"/>
      <c r="WRR209" s="9"/>
      <c r="WRS209" s="9"/>
      <c r="WRU209" s="9"/>
      <c r="WRV209" s="9"/>
      <c r="WRW209" s="9"/>
      <c r="WRX209" s="9"/>
      <c r="WRY209" s="9"/>
      <c r="WRZ209" s="9"/>
      <c r="WSA209" s="9"/>
      <c r="WSB209" s="9"/>
      <c r="WSC209" s="9"/>
      <c r="WSE209" s="9"/>
      <c r="WSF209" s="9"/>
      <c r="WSG209" s="9"/>
      <c r="WSH209" s="9"/>
      <c r="WSI209" s="9"/>
      <c r="WSJ209" s="9"/>
      <c r="WSK209" s="9"/>
      <c r="WSL209" s="9"/>
      <c r="WSM209" s="9"/>
      <c r="WSO209" s="9"/>
      <c r="WSP209" s="9"/>
      <c r="WSQ209" s="9"/>
      <c r="WSR209" s="9"/>
      <c r="WSS209" s="9"/>
      <c r="WST209" s="9"/>
      <c r="WSU209" s="9"/>
      <c r="WSV209" s="9"/>
      <c r="WSW209" s="9"/>
      <c r="WSY209" s="9"/>
      <c r="WSZ209" s="9"/>
      <c r="WTA209" s="9"/>
      <c r="WTB209" s="9"/>
      <c r="WTC209" s="9"/>
      <c r="WTD209" s="9"/>
      <c r="WTE209" s="9"/>
      <c r="WTF209" s="9"/>
      <c r="WTG209" s="9"/>
      <c r="WTI209" s="9"/>
      <c r="WTJ209" s="9"/>
      <c r="WTK209" s="9"/>
      <c r="WTL209" s="9"/>
      <c r="WTM209" s="9"/>
      <c r="WTN209" s="9"/>
      <c r="WTO209" s="9"/>
      <c r="WTP209" s="9"/>
      <c r="WTQ209" s="9"/>
      <c r="WTS209" s="9"/>
      <c r="WTT209" s="9"/>
      <c r="WTU209" s="9"/>
      <c r="WTV209" s="9"/>
      <c r="WTW209" s="9"/>
      <c r="WTX209" s="9"/>
      <c r="WTY209" s="9"/>
      <c r="WTZ209" s="9"/>
      <c r="WUA209" s="9"/>
      <c r="WUC209" s="9"/>
      <c r="WUD209" s="9"/>
      <c r="WUE209" s="9"/>
      <c r="WUF209" s="9"/>
      <c r="WUG209" s="9"/>
      <c r="WUH209" s="9"/>
      <c r="WUI209" s="9"/>
      <c r="WUJ209" s="9"/>
      <c r="WUK209" s="9"/>
      <c r="WUM209" s="9"/>
      <c r="WUN209" s="9"/>
      <c r="WUO209" s="9"/>
      <c r="WUP209" s="9"/>
      <c r="WUQ209" s="9"/>
      <c r="WUR209" s="9"/>
      <c r="WUS209" s="9"/>
      <c r="WUT209" s="9"/>
      <c r="WUU209" s="9"/>
      <c r="WUW209" s="9"/>
      <c r="WUX209" s="9"/>
      <c r="WUY209" s="9"/>
      <c r="WUZ209" s="9"/>
      <c r="WVA209" s="9"/>
      <c r="WVB209" s="9"/>
      <c r="WVC209" s="9"/>
      <c r="WVD209" s="9"/>
      <c r="WVE209" s="9"/>
      <c r="WVG209" s="9"/>
      <c r="WVH209" s="9"/>
      <c r="WVI209" s="9"/>
      <c r="WVJ209" s="9"/>
      <c r="WVK209" s="9"/>
      <c r="WVL209" s="9"/>
      <c r="WVM209" s="9"/>
      <c r="WVN209" s="9"/>
      <c r="WVO209" s="9"/>
      <c r="WVQ209" s="9"/>
      <c r="WVR209" s="9"/>
      <c r="WVS209" s="9"/>
      <c r="WVT209" s="9"/>
      <c r="WVU209" s="9"/>
      <c r="WVV209" s="9"/>
      <c r="WVW209" s="9"/>
      <c r="WVX209" s="9"/>
      <c r="WVY209" s="9"/>
      <c r="WWA209" s="9"/>
      <c r="WWB209" s="9"/>
      <c r="WWC209" s="9"/>
      <c r="WWD209" s="9"/>
      <c r="WWE209" s="9"/>
      <c r="WWF209" s="9"/>
      <c r="WWG209" s="9"/>
      <c r="WWH209" s="9"/>
      <c r="WWI209" s="9"/>
      <c r="WWK209" s="9"/>
      <c r="WWL209" s="9"/>
      <c r="WWM209" s="9"/>
      <c r="WWN209" s="9"/>
      <c r="WWO209" s="9"/>
      <c r="WWP209" s="9"/>
      <c r="WWQ209" s="9"/>
      <c r="WWR209" s="9"/>
      <c r="WWS209" s="9"/>
      <c r="WWU209" s="9"/>
      <c r="WWV209" s="9"/>
      <c r="WWW209" s="9"/>
      <c r="WWX209" s="9"/>
      <c r="WWY209" s="9"/>
      <c r="WWZ209" s="9"/>
      <c r="WXA209" s="9"/>
      <c r="WXB209" s="9"/>
      <c r="WXC209" s="9"/>
      <c r="WXE209" s="9"/>
      <c r="WXF209" s="9"/>
      <c r="WXG209" s="9"/>
      <c r="WXH209" s="9"/>
      <c r="WXI209" s="9"/>
      <c r="WXJ209" s="9"/>
      <c r="WXK209" s="9"/>
      <c r="WXL209" s="9"/>
      <c r="WXM209" s="9"/>
      <c r="WXO209" s="9"/>
      <c r="WXP209" s="9"/>
      <c r="WXQ209" s="9"/>
      <c r="WXR209" s="9"/>
      <c r="WXS209" s="9"/>
      <c r="WXT209" s="9"/>
      <c r="WXU209" s="9"/>
      <c r="WXV209" s="9"/>
      <c r="WXW209" s="9"/>
      <c r="WXY209" s="9"/>
      <c r="WXZ209" s="9"/>
      <c r="WYA209" s="9"/>
      <c r="WYB209" s="9"/>
      <c r="WYC209" s="9"/>
      <c r="WYD209" s="9"/>
      <c r="WYE209" s="9"/>
      <c r="WYF209" s="9"/>
      <c r="WYG209" s="9"/>
      <c r="WYI209" s="9"/>
      <c r="WYJ209" s="9"/>
      <c r="WYK209" s="9"/>
      <c r="WYL209" s="9"/>
      <c r="WYM209" s="9"/>
      <c r="WYN209" s="9"/>
      <c r="WYO209" s="9"/>
      <c r="WYP209" s="9"/>
      <c r="WYQ209" s="9"/>
      <c r="WYS209" s="9"/>
      <c r="WYT209" s="9"/>
      <c r="WYU209" s="9"/>
      <c r="WYV209" s="9"/>
      <c r="WYW209" s="9"/>
      <c r="WYX209" s="9"/>
      <c r="WYY209" s="9"/>
      <c r="WYZ209" s="9"/>
      <c r="WZA209" s="9"/>
      <c r="WZC209" s="9"/>
      <c r="WZD209" s="9"/>
      <c r="WZE209" s="9"/>
      <c r="WZF209" s="9"/>
      <c r="WZG209" s="9"/>
      <c r="WZH209" s="9"/>
      <c r="WZI209" s="9"/>
      <c r="WZJ209" s="9"/>
      <c r="WZK209" s="9"/>
      <c r="WZM209" s="9"/>
      <c r="WZN209" s="9"/>
      <c r="WZO209" s="9"/>
      <c r="WZP209" s="9"/>
      <c r="WZQ209" s="9"/>
      <c r="WZR209" s="9"/>
      <c r="WZS209" s="9"/>
      <c r="WZT209" s="9"/>
      <c r="WZU209" s="9"/>
      <c r="WZW209" s="9"/>
      <c r="WZX209" s="9"/>
      <c r="WZY209" s="9"/>
      <c r="WZZ209" s="9"/>
      <c r="XAA209" s="9"/>
      <c r="XAB209" s="9"/>
      <c r="XAC209" s="9"/>
      <c r="XAD209" s="9"/>
      <c r="XAE209" s="9"/>
      <c r="XAG209" s="9"/>
      <c r="XAH209" s="9"/>
      <c r="XAI209" s="9"/>
      <c r="XAJ209" s="9"/>
      <c r="XAK209" s="9"/>
      <c r="XAL209" s="9"/>
      <c r="XAM209" s="9"/>
      <c r="XAN209" s="9"/>
      <c r="XAO209" s="9"/>
      <c r="XAQ209" s="9"/>
      <c r="XAR209" s="9"/>
      <c r="XAS209" s="9"/>
      <c r="XAT209" s="9"/>
      <c r="XAU209" s="9"/>
      <c r="XAV209" s="9"/>
      <c r="XAW209" s="9"/>
      <c r="XAX209" s="9"/>
      <c r="XAY209" s="9"/>
      <c r="XBA209" s="9"/>
      <c r="XBB209" s="9"/>
      <c r="XBC209" s="9"/>
      <c r="XBD209" s="9"/>
      <c r="XBE209" s="9"/>
      <c r="XBF209" s="9"/>
      <c r="XBG209" s="9"/>
      <c r="XBH209" s="9"/>
      <c r="XBI209" s="9"/>
      <c r="XBK209" s="9"/>
      <c r="XBL209" s="9"/>
      <c r="XBM209" s="9"/>
      <c r="XBN209" s="9"/>
      <c r="XBO209" s="9"/>
      <c r="XBP209" s="9"/>
      <c r="XBQ209" s="9"/>
      <c r="XBR209" s="9"/>
      <c r="XBS209" s="9"/>
      <c r="XBU209" s="9"/>
      <c r="XBV209" s="9"/>
      <c r="XBW209" s="9"/>
      <c r="XBX209" s="9"/>
      <c r="XBY209" s="9"/>
      <c r="XBZ209" s="9"/>
      <c r="XCA209" s="9"/>
      <c r="XCB209" s="9"/>
      <c r="XCC209" s="9"/>
      <c r="XCE209" s="9"/>
      <c r="XCF209" s="9"/>
      <c r="XCG209" s="9"/>
      <c r="XCH209" s="9"/>
      <c r="XCI209" s="9"/>
      <c r="XCJ209" s="9"/>
      <c r="XCK209" s="9"/>
      <c r="XCL209" s="9"/>
      <c r="XCM209" s="9"/>
      <c r="XCO209" s="9"/>
      <c r="XCP209" s="9"/>
      <c r="XCQ209" s="9"/>
      <c r="XCR209" s="9"/>
      <c r="XCS209" s="9"/>
      <c r="XCT209" s="9"/>
      <c r="XCU209" s="9"/>
      <c r="XCV209" s="9"/>
      <c r="XCW209" s="9"/>
      <c r="XCY209" s="9"/>
      <c r="XCZ209" s="9"/>
      <c r="XDA209" s="9"/>
      <c r="XDB209" s="9"/>
      <c r="XDC209" s="9"/>
      <c r="XDD209" s="9"/>
      <c r="XDE209" s="9"/>
      <c r="XDF209" s="9"/>
      <c r="XDG209" s="9"/>
      <c r="XDI209" s="9"/>
      <c r="XDJ209" s="9"/>
      <c r="XDK209" s="9"/>
      <c r="XDL209" s="9"/>
      <c r="XDM209" s="9"/>
      <c r="XDN209" s="9"/>
      <c r="XDO209" s="9"/>
      <c r="XDP209" s="9"/>
      <c r="XDQ209" s="9"/>
      <c r="XDS209" s="9"/>
      <c r="XDT209" s="9"/>
      <c r="XDU209" s="9"/>
      <c r="XDV209" s="9"/>
      <c r="XDW209" s="9"/>
      <c r="XDX209" s="9"/>
      <c r="XDY209" s="9"/>
      <c r="XDZ209" s="9"/>
      <c r="XEA209" s="9"/>
      <c r="XEC209" s="9"/>
      <c r="XED209" s="9"/>
      <c r="XEE209" s="9"/>
      <c r="XEF209" s="9"/>
      <c r="XEG209" s="9"/>
      <c r="XEH209" s="9"/>
      <c r="XEI209" s="9"/>
      <c r="XEJ209" s="9"/>
      <c r="XEK209" s="9"/>
      <c r="XEM209" s="9"/>
      <c r="XEN209" s="9"/>
      <c r="XEO209" s="9"/>
      <c r="XEP209" s="9"/>
      <c r="XEQ209" s="9"/>
      <c r="XER209" s="9"/>
      <c r="XES209" s="9"/>
      <c r="XET209" s="9"/>
      <c r="XEU209" s="9"/>
      <c r="XEW209" s="9"/>
      <c r="XEX209" s="9"/>
      <c r="XEY209" s="9"/>
      <c r="XEZ209" s="9"/>
      <c r="XFA209" s="9"/>
      <c r="XFB209" s="9"/>
      <c r="XFC209" s="9"/>
      <c r="XFD209" s="9"/>
    </row>
    <row r="210" spans="1:4095 4097:9215 9217:14335 14337:16384" x14ac:dyDescent="0.2">
      <c r="A210" s="13" t="s">
        <v>126</v>
      </c>
      <c r="B210" s="60" t="s">
        <v>127</v>
      </c>
      <c r="D210" s="60" t="s">
        <v>250</v>
      </c>
      <c r="E210" s="13" t="s">
        <v>254</v>
      </c>
      <c r="F210" s="104">
        <v>1</v>
      </c>
      <c r="G210" s="104">
        <v>20</v>
      </c>
      <c r="H210" s="104">
        <v>20</v>
      </c>
      <c r="I210" s="104"/>
      <c r="J210" s="104"/>
      <c r="K210" s="104"/>
      <c r="L210" s="121"/>
      <c r="M210" s="105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1"/>
      <c r="AF210" s="11"/>
    </row>
    <row r="211" spans="1:4095 4097:9215 9217:14335 14337:16384" x14ac:dyDescent="0.2">
      <c r="A211" s="12" t="s">
        <v>84</v>
      </c>
      <c r="B211" s="74" t="s">
        <v>243</v>
      </c>
      <c r="C211" s="10" t="s">
        <v>219</v>
      </c>
      <c r="D211" s="60" t="s">
        <v>250</v>
      </c>
      <c r="E211" s="13" t="s">
        <v>220</v>
      </c>
      <c r="F211" s="38">
        <f>(F203/F$202)*60</f>
        <v>4</v>
      </c>
      <c r="G211" s="38">
        <f t="shared" ref="G211:H211" si="139">(G203/G$202)*60</f>
        <v>2</v>
      </c>
      <c r="H211" s="38">
        <f t="shared" si="139"/>
        <v>2</v>
      </c>
      <c r="I211" s="38"/>
      <c r="J211" s="38"/>
      <c r="K211" s="38"/>
      <c r="L211" s="38"/>
      <c r="M211" s="54"/>
      <c r="N211" s="38"/>
      <c r="O211" s="38"/>
      <c r="P211" s="38"/>
      <c r="Q211" s="38" t="e">
        <f t="shared" ref="Q211:AD211" si="140">(Q203/$I$202)*60</f>
        <v>#DIV/0!</v>
      </c>
      <c r="R211" s="38" t="e">
        <f t="shared" si="140"/>
        <v>#DIV/0!</v>
      </c>
      <c r="S211" s="38" t="e">
        <f t="shared" si="140"/>
        <v>#DIV/0!</v>
      </c>
      <c r="T211" s="38" t="e">
        <f t="shared" si="140"/>
        <v>#DIV/0!</v>
      </c>
      <c r="U211" s="38" t="e">
        <f t="shared" si="140"/>
        <v>#DIV/0!</v>
      </c>
      <c r="V211" s="38" t="e">
        <f t="shared" si="140"/>
        <v>#DIV/0!</v>
      </c>
      <c r="W211" s="38" t="e">
        <f t="shared" si="140"/>
        <v>#DIV/0!</v>
      </c>
      <c r="X211" s="38" t="e">
        <f t="shared" si="140"/>
        <v>#DIV/0!</v>
      </c>
      <c r="Y211" s="38" t="e">
        <f t="shared" si="140"/>
        <v>#DIV/0!</v>
      </c>
      <c r="Z211" s="38" t="e">
        <f t="shared" si="140"/>
        <v>#DIV/0!</v>
      </c>
      <c r="AA211" s="38" t="e">
        <f t="shared" si="140"/>
        <v>#DIV/0!</v>
      </c>
      <c r="AB211" s="38" t="e">
        <f t="shared" si="140"/>
        <v>#DIV/0!</v>
      </c>
      <c r="AC211" s="38" t="e">
        <f t="shared" si="140"/>
        <v>#DIV/0!</v>
      </c>
      <c r="AD211" s="38" t="e">
        <f t="shared" si="140"/>
        <v>#DIV/0!</v>
      </c>
      <c r="AE211" s="11"/>
      <c r="AF211" s="11"/>
    </row>
    <row r="212" spans="1:4095 4097:9215 9217:14335 14337:16384" s="12" customFormat="1" x14ac:dyDescent="0.2">
      <c r="A212" s="12" t="s">
        <v>84</v>
      </c>
      <c r="B212" s="74" t="s">
        <v>243</v>
      </c>
      <c r="C212" s="4" t="s">
        <v>219</v>
      </c>
      <c r="D212" s="60" t="s">
        <v>250</v>
      </c>
      <c r="E212" s="12" t="s">
        <v>177</v>
      </c>
      <c r="F212" s="42">
        <f t="shared" ref="F212" si="141">(F168/F210)*(F211/F205)</f>
        <v>20.437218359181163</v>
      </c>
      <c r="G212" s="42">
        <f>(G168/G210)*(G211/G205)</f>
        <v>3.7864887783368193</v>
      </c>
      <c r="H212" s="42">
        <f>(H168/H210)*(H211/H205)</f>
        <v>3.7864887783368193</v>
      </c>
      <c r="I212" s="42"/>
      <c r="J212" s="42"/>
      <c r="K212" s="42"/>
      <c r="L212" s="42"/>
      <c r="M212" s="63"/>
      <c r="N212" s="42"/>
      <c r="O212" s="42"/>
      <c r="P212" s="42"/>
      <c r="Q212" s="42" t="e">
        <f t="shared" ref="Q212:AD212" si="142">(Q168/Q210)*(Q211/Q205)</f>
        <v>#DIV/0!</v>
      </c>
      <c r="R212" s="42" t="e">
        <f t="shared" si="142"/>
        <v>#DIV/0!</v>
      </c>
      <c r="S212" s="42" t="e">
        <f t="shared" si="142"/>
        <v>#DIV/0!</v>
      </c>
      <c r="T212" s="42" t="e">
        <f t="shared" si="142"/>
        <v>#DIV/0!</v>
      </c>
      <c r="U212" s="42" t="e">
        <f t="shared" si="142"/>
        <v>#DIV/0!</v>
      </c>
      <c r="V212" s="42" t="e">
        <f t="shared" si="142"/>
        <v>#DIV/0!</v>
      </c>
      <c r="W212" s="42" t="e">
        <f t="shared" si="142"/>
        <v>#DIV/0!</v>
      </c>
      <c r="X212" s="42" t="e">
        <f t="shared" si="142"/>
        <v>#DIV/0!</v>
      </c>
      <c r="Y212" s="42" t="e">
        <f t="shared" si="142"/>
        <v>#DIV/0!</v>
      </c>
      <c r="Z212" s="42" t="e">
        <f t="shared" si="142"/>
        <v>#DIV/0!</v>
      </c>
      <c r="AA212" s="42" t="e">
        <f t="shared" si="142"/>
        <v>#DIV/0!</v>
      </c>
      <c r="AB212" s="42" t="e">
        <f t="shared" si="142"/>
        <v>#DIV/0!</v>
      </c>
      <c r="AC212" s="42" t="e">
        <f t="shared" si="142"/>
        <v>#DIV/0!</v>
      </c>
      <c r="AD212" s="42" t="e">
        <f t="shared" si="142"/>
        <v>#DIV/0!</v>
      </c>
      <c r="AE212" s="1"/>
      <c r="AF212" s="1"/>
    </row>
    <row r="213" spans="1:4095 4097:9215 9217:14335 14337:16384" s="12" customFormat="1" x14ac:dyDescent="0.2">
      <c r="A213" s="13" t="s">
        <v>126</v>
      </c>
      <c r="B213" s="60" t="s">
        <v>85</v>
      </c>
      <c r="C213" s="4"/>
      <c r="D213" s="75" t="s">
        <v>250</v>
      </c>
      <c r="E213" s="12" t="s">
        <v>419</v>
      </c>
      <c r="F213" s="42">
        <v>16</v>
      </c>
      <c r="G213" s="42">
        <v>16</v>
      </c>
      <c r="H213" s="42">
        <v>16</v>
      </c>
      <c r="I213" s="3"/>
      <c r="J213" s="3"/>
      <c r="K213" s="42"/>
      <c r="L213" s="3"/>
      <c r="M213" s="22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1"/>
      <c r="AF213" s="1"/>
    </row>
    <row r="214" spans="1:4095 4097:9215 9217:14335 14337:16384" s="12" customFormat="1" x14ac:dyDescent="0.2">
      <c r="A214" s="12" t="s">
        <v>84</v>
      </c>
      <c r="B214" s="74" t="s">
        <v>243</v>
      </c>
      <c r="C214" s="4" t="s">
        <v>219</v>
      </c>
      <c r="D214" s="60" t="s">
        <v>250</v>
      </c>
      <c r="E214" s="12" t="s">
        <v>178</v>
      </c>
      <c r="F214" s="42">
        <f>F213*F211</f>
        <v>64</v>
      </c>
      <c r="G214" s="42">
        <f t="shared" ref="G214:H214" si="143">G213*G211</f>
        <v>32</v>
      </c>
      <c r="H214" s="42">
        <f t="shared" si="143"/>
        <v>32</v>
      </c>
      <c r="I214" s="42"/>
      <c r="J214" s="42"/>
      <c r="K214" s="42"/>
      <c r="L214" s="42"/>
      <c r="M214" s="63"/>
      <c r="N214" s="42"/>
      <c r="O214" s="42"/>
      <c r="P214" s="42"/>
      <c r="Q214" s="42" t="e">
        <f t="shared" ref="Q214:AD214" si="144">16*Q211</f>
        <v>#DIV/0!</v>
      </c>
      <c r="R214" s="42" t="e">
        <f t="shared" si="144"/>
        <v>#DIV/0!</v>
      </c>
      <c r="S214" s="42" t="e">
        <f t="shared" si="144"/>
        <v>#DIV/0!</v>
      </c>
      <c r="T214" s="42" t="e">
        <f t="shared" si="144"/>
        <v>#DIV/0!</v>
      </c>
      <c r="U214" s="42" t="e">
        <f t="shared" si="144"/>
        <v>#DIV/0!</v>
      </c>
      <c r="V214" s="42" t="e">
        <f t="shared" si="144"/>
        <v>#DIV/0!</v>
      </c>
      <c r="W214" s="42" t="e">
        <f t="shared" si="144"/>
        <v>#DIV/0!</v>
      </c>
      <c r="X214" s="42" t="e">
        <f t="shared" si="144"/>
        <v>#DIV/0!</v>
      </c>
      <c r="Y214" s="42" t="e">
        <f t="shared" si="144"/>
        <v>#DIV/0!</v>
      </c>
      <c r="Z214" s="42" t="e">
        <f t="shared" si="144"/>
        <v>#DIV/0!</v>
      </c>
      <c r="AA214" s="42" t="e">
        <f t="shared" si="144"/>
        <v>#DIV/0!</v>
      </c>
      <c r="AB214" s="42" t="e">
        <f t="shared" si="144"/>
        <v>#DIV/0!</v>
      </c>
      <c r="AC214" s="42" t="e">
        <f t="shared" si="144"/>
        <v>#DIV/0!</v>
      </c>
      <c r="AD214" s="42" t="e">
        <f t="shared" si="144"/>
        <v>#DIV/0!</v>
      </c>
      <c r="AE214" s="1"/>
      <c r="AF214" s="1"/>
    </row>
    <row r="215" spans="1:4095 4097:9215 9217:14335 14337:16384" s="12" customFormat="1" x14ac:dyDescent="0.2">
      <c r="A215" s="12" t="s">
        <v>84</v>
      </c>
      <c r="B215" s="74" t="s">
        <v>243</v>
      </c>
      <c r="C215" s="4" t="s">
        <v>219</v>
      </c>
      <c r="D215" s="60" t="s">
        <v>250</v>
      </c>
      <c r="E215" s="12" t="s">
        <v>179</v>
      </c>
      <c r="F215" s="42">
        <f t="shared" ref="F215" si="145">F214+F212</f>
        <v>84.437218359181159</v>
      </c>
      <c r="G215" s="42">
        <f>G214+G212</f>
        <v>35.786488778336818</v>
      </c>
      <c r="H215" s="42">
        <f>H214+H212</f>
        <v>35.786488778336818</v>
      </c>
      <c r="I215" s="42"/>
      <c r="J215" s="42"/>
      <c r="K215" s="42"/>
      <c r="L215" s="42"/>
      <c r="M215" s="63"/>
      <c r="N215" s="42"/>
      <c r="O215" s="42"/>
      <c r="P215" s="42"/>
      <c r="Q215" s="42" t="e">
        <f t="shared" ref="Q215:AD215" si="146">Q214+Q212</f>
        <v>#DIV/0!</v>
      </c>
      <c r="R215" s="42" t="e">
        <f t="shared" si="146"/>
        <v>#DIV/0!</v>
      </c>
      <c r="S215" s="42" t="e">
        <f t="shared" si="146"/>
        <v>#DIV/0!</v>
      </c>
      <c r="T215" s="42" t="e">
        <f t="shared" si="146"/>
        <v>#DIV/0!</v>
      </c>
      <c r="U215" s="42" t="e">
        <f t="shared" si="146"/>
        <v>#DIV/0!</v>
      </c>
      <c r="V215" s="42" t="e">
        <f t="shared" si="146"/>
        <v>#DIV/0!</v>
      </c>
      <c r="W215" s="42" t="e">
        <f t="shared" si="146"/>
        <v>#DIV/0!</v>
      </c>
      <c r="X215" s="42" t="e">
        <f t="shared" si="146"/>
        <v>#DIV/0!</v>
      </c>
      <c r="Y215" s="42" t="e">
        <f t="shared" si="146"/>
        <v>#DIV/0!</v>
      </c>
      <c r="Z215" s="42" t="e">
        <f t="shared" si="146"/>
        <v>#DIV/0!</v>
      </c>
      <c r="AA215" s="42" t="e">
        <f t="shared" si="146"/>
        <v>#DIV/0!</v>
      </c>
      <c r="AB215" s="42" t="e">
        <f t="shared" si="146"/>
        <v>#DIV/0!</v>
      </c>
      <c r="AC215" s="42" t="e">
        <f t="shared" si="146"/>
        <v>#DIV/0!</v>
      </c>
      <c r="AD215" s="42" t="e">
        <f t="shared" si="146"/>
        <v>#DIV/0!</v>
      </c>
      <c r="AE215" s="1"/>
      <c r="AF215" s="1"/>
    </row>
    <row r="216" spans="1:4095 4097:9215 9217:14335 14337:16384" s="12" customFormat="1" x14ac:dyDescent="0.2">
      <c r="A216" s="12" t="s">
        <v>84</v>
      </c>
      <c r="B216" s="74" t="s">
        <v>243</v>
      </c>
      <c r="C216" s="4" t="s">
        <v>224</v>
      </c>
      <c r="D216" s="60" t="s">
        <v>250</v>
      </c>
      <c r="E216" s="12" t="s">
        <v>180</v>
      </c>
      <c r="F216" s="45">
        <f t="shared" ref="F216" si="147">IF(F206=2,MAX(F212,F214),F212+F214)*F210/60</f>
        <v>1.0666666666666667</v>
      </c>
      <c r="G216" s="45">
        <f>IF(G206=2,MAX(G212,G214),G212+G214)*G210/60</f>
        <v>10.666666666666666</v>
      </c>
      <c r="H216" s="45">
        <f>IF(H206=2,MAX(H212,H214),H212+H214)*H210/60</f>
        <v>10.666666666666666</v>
      </c>
      <c r="I216" s="45"/>
      <c r="J216" s="45"/>
      <c r="K216" s="45"/>
      <c r="L216" s="45"/>
      <c r="M216" s="58"/>
      <c r="N216" s="45"/>
      <c r="O216" s="45"/>
      <c r="P216" s="45"/>
      <c r="Q216" s="45" t="e">
        <f t="shared" ref="Q216:AD216" si="148">IF(Q206=2,MAX(Q212,Q214),Q212+Q214)*Q210/60</f>
        <v>#DIV/0!</v>
      </c>
      <c r="R216" s="45" t="e">
        <f t="shared" si="148"/>
        <v>#DIV/0!</v>
      </c>
      <c r="S216" s="45" t="e">
        <f t="shared" si="148"/>
        <v>#DIV/0!</v>
      </c>
      <c r="T216" s="45" t="e">
        <f t="shared" si="148"/>
        <v>#DIV/0!</v>
      </c>
      <c r="U216" s="45" t="e">
        <f t="shared" si="148"/>
        <v>#DIV/0!</v>
      </c>
      <c r="V216" s="45" t="e">
        <f t="shared" si="148"/>
        <v>#DIV/0!</v>
      </c>
      <c r="W216" s="45" t="e">
        <f t="shared" si="148"/>
        <v>#DIV/0!</v>
      </c>
      <c r="X216" s="45" t="e">
        <f t="shared" si="148"/>
        <v>#DIV/0!</v>
      </c>
      <c r="Y216" s="45" t="e">
        <f t="shared" si="148"/>
        <v>#DIV/0!</v>
      </c>
      <c r="Z216" s="45" t="e">
        <f t="shared" si="148"/>
        <v>#DIV/0!</v>
      </c>
      <c r="AA216" s="45" t="e">
        <f t="shared" si="148"/>
        <v>#DIV/0!</v>
      </c>
      <c r="AB216" s="45" t="e">
        <f t="shared" si="148"/>
        <v>#DIV/0!</v>
      </c>
      <c r="AC216" s="45" t="e">
        <f t="shared" si="148"/>
        <v>#DIV/0!</v>
      </c>
      <c r="AD216" s="45" t="e">
        <f t="shared" si="148"/>
        <v>#DIV/0!</v>
      </c>
      <c r="AE216" s="1"/>
      <c r="AF216" s="1"/>
    </row>
    <row r="217" spans="1:4095 4097:9215 9217:14335 14337:16384" x14ac:dyDescent="0.2">
      <c r="A217" s="12" t="s">
        <v>84</v>
      </c>
      <c r="B217" s="74" t="s">
        <v>243</v>
      </c>
      <c r="C217" s="10" t="s">
        <v>195</v>
      </c>
      <c r="D217" s="60" t="s">
        <v>250</v>
      </c>
      <c r="E217" s="13" t="s">
        <v>226</v>
      </c>
      <c r="F217" s="47">
        <f t="shared" ref="F217" si="149">F205/F211</f>
        <v>2.4875156249999999</v>
      </c>
      <c r="G217" s="47">
        <f>G205/G211</f>
        <v>3.9800249999999999</v>
      </c>
      <c r="H217" s="47">
        <f>H205/H211</f>
        <v>15.9201</v>
      </c>
      <c r="I217" s="47"/>
      <c r="J217" s="47"/>
      <c r="K217" s="47"/>
      <c r="L217" s="47"/>
      <c r="M217" s="65"/>
      <c r="N217" s="47"/>
      <c r="O217" s="47"/>
      <c r="P217" s="47"/>
      <c r="Q217" s="47" t="e">
        <f t="shared" ref="Q217:AD217" si="150">Q205/Q211</f>
        <v>#DIV/0!</v>
      </c>
      <c r="R217" s="47" t="e">
        <f t="shared" si="150"/>
        <v>#DIV/0!</v>
      </c>
      <c r="S217" s="47" t="e">
        <f t="shared" si="150"/>
        <v>#DIV/0!</v>
      </c>
      <c r="T217" s="47" t="e">
        <f t="shared" si="150"/>
        <v>#DIV/0!</v>
      </c>
      <c r="U217" s="47" t="e">
        <f t="shared" si="150"/>
        <v>#DIV/0!</v>
      </c>
      <c r="V217" s="47" t="e">
        <f t="shared" si="150"/>
        <v>#DIV/0!</v>
      </c>
      <c r="W217" s="47" t="e">
        <f t="shared" si="150"/>
        <v>#DIV/0!</v>
      </c>
      <c r="X217" s="47" t="e">
        <f t="shared" si="150"/>
        <v>#DIV/0!</v>
      </c>
      <c r="Y217" s="47" t="e">
        <f t="shared" si="150"/>
        <v>#DIV/0!</v>
      </c>
      <c r="Z217" s="47" t="e">
        <f t="shared" si="150"/>
        <v>#DIV/0!</v>
      </c>
      <c r="AA217" s="47" t="e">
        <f t="shared" si="150"/>
        <v>#DIV/0!</v>
      </c>
      <c r="AB217" s="47" t="e">
        <f t="shared" si="150"/>
        <v>#DIV/0!</v>
      </c>
      <c r="AC217" s="47" t="e">
        <f t="shared" si="150"/>
        <v>#DIV/0!</v>
      </c>
      <c r="AD217" s="47" t="e">
        <f t="shared" si="150"/>
        <v>#DIV/0!</v>
      </c>
      <c r="AE217" s="11"/>
      <c r="AF217" s="11"/>
    </row>
    <row r="218" spans="1:4095 4097:9215 9217:14335 14337:16384" s="12" customFormat="1" hidden="1" x14ac:dyDescent="0.2"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"/>
      <c r="AF218" s="1"/>
    </row>
    <row r="219" spans="1:4095 4097:9215 9217:14335 14337:16384" s="12" customFormat="1" hidden="1" x14ac:dyDescent="0.2">
      <c r="C219" s="4"/>
      <c r="D219" s="4"/>
      <c r="E219" s="18" t="s">
        <v>255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"/>
      <c r="AF219" s="1"/>
    </row>
    <row r="220" spans="1:4095 4097:9215 9217:14335 14337:16384" x14ac:dyDescent="0.2">
      <c r="A220" s="13" t="s">
        <v>126</v>
      </c>
      <c r="B220" s="60" t="s">
        <v>127</v>
      </c>
      <c r="D220" s="60" t="s">
        <v>250</v>
      </c>
      <c r="E220" s="13" t="s">
        <v>35</v>
      </c>
      <c r="F220" s="112">
        <v>0.85</v>
      </c>
      <c r="G220" s="112">
        <f>Table1[[#This Row],[Clinial Production]]</f>
        <v>0.85</v>
      </c>
      <c r="H220" s="112">
        <f>Table1[[#This Row],[2000L, MCC High cellular productivity]]</f>
        <v>0.85</v>
      </c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"/>
      <c r="AF220" s="11"/>
    </row>
    <row r="221" spans="1:4095 4097:9215 9217:14335 14337:16384" s="12" customFormat="1" x14ac:dyDescent="0.2">
      <c r="A221" s="12" t="s">
        <v>84</v>
      </c>
      <c r="B221" s="74" t="s">
        <v>85</v>
      </c>
      <c r="C221" s="4" t="s">
        <v>256</v>
      </c>
      <c r="D221" s="60" t="s">
        <v>250</v>
      </c>
      <c r="E221" s="12" t="s">
        <v>257</v>
      </c>
      <c r="F221" s="41">
        <f t="shared" ref="F221" si="151">F172*F220</f>
        <v>338.30212499999999</v>
      </c>
      <c r="G221" s="41">
        <f>G172*G220</f>
        <v>6495.4008000000003</v>
      </c>
      <c r="H221" s="41">
        <f>H172*H220</f>
        <v>25981.603200000001</v>
      </c>
      <c r="I221" s="41"/>
      <c r="J221" s="41"/>
      <c r="K221" s="41"/>
      <c r="L221" s="41"/>
      <c r="M221" s="62"/>
      <c r="N221" s="41"/>
      <c r="O221" s="41"/>
      <c r="P221" s="41"/>
      <c r="Q221" s="41">
        <f t="shared" ref="Q221:AD221" si="152">Q172*Q220</f>
        <v>0</v>
      </c>
      <c r="R221" s="41">
        <f t="shared" si="152"/>
        <v>0</v>
      </c>
      <c r="S221" s="41">
        <f t="shared" si="152"/>
        <v>0</v>
      </c>
      <c r="T221" s="41">
        <f t="shared" si="152"/>
        <v>0</v>
      </c>
      <c r="U221" s="41">
        <f t="shared" si="152"/>
        <v>0</v>
      </c>
      <c r="V221" s="41">
        <f t="shared" si="152"/>
        <v>0</v>
      </c>
      <c r="W221" s="41">
        <f t="shared" si="152"/>
        <v>0</v>
      </c>
      <c r="X221" s="41">
        <f t="shared" si="152"/>
        <v>0</v>
      </c>
      <c r="Y221" s="41">
        <f t="shared" si="152"/>
        <v>0</v>
      </c>
      <c r="Z221" s="41">
        <f t="shared" si="152"/>
        <v>0</v>
      </c>
      <c r="AA221" s="41">
        <f t="shared" si="152"/>
        <v>0</v>
      </c>
      <c r="AB221" s="41">
        <f t="shared" si="152"/>
        <v>0</v>
      </c>
      <c r="AC221" s="41">
        <f t="shared" si="152"/>
        <v>0</v>
      </c>
      <c r="AD221" s="41">
        <f t="shared" si="152"/>
        <v>0</v>
      </c>
      <c r="AE221" s="1"/>
      <c r="AF221" s="1"/>
    </row>
    <row r="222" spans="1:4095 4097:9215 9217:14335 14337:16384" x14ac:dyDescent="0.2">
      <c r="A222" s="13" t="s">
        <v>163</v>
      </c>
      <c r="B222" s="60" t="s">
        <v>127</v>
      </c>
      <c r="D222" s="60" t="s">
        <v>250</v>
      </c>
      <c r="E222" s="13" t="s">
        <v>258</v>
      </c>
      <c r="F222" s="104">
        <v>1.2</v>
      </c>
      <c r="G222" s="104">
        <v>1.2</v>
      </c>
      <c r="H222" s="104">
        <v>1.2</v>
      </c>
      <c r="I222" s="104"/>
      <c r="J222" s="104"/>
      <c r="K222" s="104"/>
      <c r="L222" s="104"/>
      <c r="M222" s="105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1"/>
      <c r="AF222" s="11"/>
    </row>
    <row r="223" spans="1:4095 4097:9215 9217:14335 14337:16384" x14ac:dyDescent="0.2">
      <c r="A223" s="13" t="s">
        <v>126</v>
      </c>
      <c r="B223" s="74" t="s">
        <v>85</v>
      </c>
      <c r="D223" s="60" t="s">
        <v>250</v>
      </c>
      <c r="E223" s="13" t="s">
        <v>259</v>
      </c>
      <c r="F223" s="38">
        <v>1</v>
      </c>
      <c r="G223" s="38">
        <v>1</v>
      </c>
      <c r="H223" s="38">
        <v>1</v>
      </c>
      <c r="I223" s="38"/>
      <c r="J223" s="38"/>
      <c r="K223" s="38"/>
      <c r="L223" s="38"/>
      <c r="M223" s="54"/>
      <c r="N223" s="38"/>
      <c r="O223" s="38"/>
      <c r="P223" s="38"/>
      <c r="Q223" s="38">
        <v>1</v>
      </c>
      <c r="R223" s="38">
        <v>1</v>
      </c>
      <c r="S223" s="38">
        <v>1</v>
      </c>
      <c r="T223" s="38">
        <v>1</v>
      </c>
      <c r="U223" s="38">
        <v>1</v>
      </c>
      <c r="V223" s="38">
        <v>1</v>
      </c>
      <c r="W223" s="38">
        <v>1</v>
      </c>
      <c r="X223" s="38">
        <v>1</v>
      </c>
      <c r="Y223" s="38">
        <v>1</v>
      </c>
      <c r="Z223" s="38">
        <v>1</v>
      </c>
      <c r="AA223" s="38">
        <v>1</v>
      </c>
      <c r="AB223" s="38">
        <v>1</v>
      </c>
      <c r="AC223" s="38">
        <v>1</v>
      </c>
      <c r="AD223" s="38">
        <v>1</v>
      </c>
      <c r="AE223" s="11"/>
      <c r="AF223" s="11"/>
    </row>
    <row r="224" spans="1:4095 4097:9215 9217:14335 14337:16384" s="12" customFormat="1" x14ac:dyDescent="0.2">
      <c r="A224" s="12" t="s">
        <v>84</v>
      </c>
      <c r="B224" s="74" t="s">
        <v>85</v>
      </c>
      <c r="C224" s="4" t="s">
        <v>186</v>
      </c>
      <c r="D224" s="60" t="s">
        <v>250</v>
      </c>
      <c r="E224" s="12" t="s">
        <v>260</v>
      </c>
      <c r="F224" s="42">
        <f t="shared" ref="F224" si="153">F182+(F222*F210*F205)</f>
        <v>12.149549999999998</v>
      </c>
      <c r="G224" s="42">
        <f>G182+(G222*G210*G205)</f>
        <v>191.4136</v>
      </c>
      <c r="H224" s="42">
        <f>H182+(H222*H210*H205)</f>
        <v>765.28200000000004</v>
      </c>
      <c r="I224" s="42"/>
      <c r="J224" s="42"/>
      <c r="K224" s="42"/>
      <c r="L224" s="42"/>
      <c r="M224" s="63"/>
      <c r="N224" s="42"/>
      <c r="O224" s="42"/>
      <c r="P224" s="42"/>
      <c r="Q224" s="42">
        <f t="shared" ref="Q224:AD224" si="154">Q182+(Q222*Q210*Q205)</f>
        <v>0</v>
      </c>
      <c r="R224" s="42">
        <f t="shared" si="154"/>
        <v>0</v>
      </c>
      <c r="S224" s="42">
        <f t="shared" si="154"/>
        <v>0</v>
      </c>
      <c r="T224" s="42">
        <f t="shared" si="154"/>
        <v>0</v>
      </c>
      <c r="U224" s="42">
        <f t="shared" si="154"/>
        <v>0</v>
      </c>
      <c r="V224" s="42">
        <f t="shared" si="154"/>
        <v>0</v>
      </c>
      <c r="W224" s="42">
        <f t="shared" si="154"/>
        <v>0</v>
      </c>
      <c r="X224" s="42">
        <f t="shared" si="154"/>
        <v>0</v>
      </c>
      <c r="Y224" s="42">
        <f t="shared" si="154"/>
        <v>0</v>
      </c>
      <c r="Z224" s="42">
        <f t="shared" si="154"/>
        <v>0</v>
      </c>
      <c r="AA224" s="42">
        <f t="shared" si="154"/>
        <v>0</v>
      </c>
      <c r="AB224" s="42">
        <f t="shared" si="154"/>
        <v>0</v>
      </c>
      <c r="AC224" s="42">
        <f t="shared" si="154"/>
        <v>0</v>
      </c>
      <c r="AD224" s="42">
        <f t="shared" si="154"/>
        <v>0</v>
      </c>
      <c r="AE224" s="1"/>
      <c r="AF224" s="1"/>
    </row>
    <row r="225" spans="1:32" s="12" customFormat="1" x14ac:dyDescent="0.2">
      <c r="A225" s="12" t="s">
        <v>84</v>
      </c>
      <c r="B225" s="74" t="s">
        <v>85</v>
      </c>
      <c r="C225" s="4" t="s">
        <v>186</v>
      </c>
      <c r="D225" s="60" t="s">
        <v>250</v>
      </c>
      <c r="E225" s="12" t="s">
        <v>261</v>
      </c>
      <c r="F225" s="48">
        <f t="shared" ref="F225" si="155">F224/F223</f>
        <v>12.149549999999998</v>
      </c>
      <c r="G225" s="42">
        <f>G224/G223</f>
        <v>191.4136</v>
      </c>
      <c r="H225" s="42">
        <f>H224/H223</f>
        <v>765.28200000000004</v>
      </c>
      <c r="I225" s="48"/>
      <c r="J225" s="42"/>
      <c r="K225" s="42"/>
      <c r="L225" s="42"/>
      <c r="M225" s="63"/>
      <c r="N225" s="42"/>
      <c r="O225" s="42"/>
      <c r="P225" s="42"/>
      <c r="Q225" s="48">
        <f t="shared" ref="Q225:AD225" si="156">Q224/Q223</f>
        <v>0</v>
      </c>
      <c r="R225" s="42">
        <f t="shared" si="156"/>
        <v>0</v>
      </c>
      <c r="S225" s="48">
        <f t="shared" si="156"/>
        <v>0</v>
      </c>
      <c r="T225" s="42">
        <f t="shared" si="156"/>
        <v>0</v>
      </c>
      <c r="U225" s="48">
        <f t="shared" si="156"/>
        <v>0</v>
      </c>
      <c r="V225" s="42">
        <f t="shared" si="156"/>
        <v>0</v>
      </c>
      <c r="W225" s="42">
        <f t="shared" si="156"/>
        <v>0</v>
      </c>
      <c r="X225" s="42">
        <f t="shared" si="156"/>
        <v>0</v>
      </c>
      <c r="Y225" s="42">
        <f t="shared" si="156"/>
        <v>0</v>
      </c>
      <c r="Z225" s="42">
        <f t="shared" si="156"/>
        <v>0</v>
      </c>
      <c r="AA225" s="42">
        <f t="shared" si="156"/>
        <v>0</v>
      </c>
      <c r="AB225" s="42">
        <f t="shared" si="156"/>
        <v>0</v>
      </c>
      <c r="AC225" s="42">
        <f t="shared" si="156"/>
        <v>0</v>
      </c>
      <c r="AD225" s="42">
        <f t="shared" si="156"/>
        <v>0</v>
      </c>
      <c r="AE225" s="1"/>
      <c r="AF225" s="1"/>
    </row>
    <row r="226" spans="1:32" x14ac:dyDescent="0.2">
      <c r="A226" s="13" t="s">
        <v>84</v>
      </c>
      <c r="B226" s="74" t="s">
        <v>85</v>
      </c>
      <c r="C226" s="10" t="s">
        <v>186</v>
      </c>
      <c r="D226" s="60" t="s">
        <v>250</v>
      </c>
      <c r="E226" s="13" t="s">
        <v>262</v>
      </c>
      <c r="F226" s="51">
        <f t="shared" ref="F226" si="157">F225*1.2</f>
        <v>14.579459999999997</v>
      </c>
      <c r="G226" s="45">
        <f>G225*1.2</f>
        <v>229.69631999999999</v>
      </c>
      <c r="H226" s="45">
        <f>H225*1.2</f>
        <v>918.33839999999998</v>
      </c>
      <c r="I226" s="51"/>
      <c r="J226" s="45"/>
      <c r="K226" s="45"/>
      <c r="L226" s="45"/>
      <c r="M226" s="58"/>
      <c r="N226" s="45"/>
      <c r="O226" s="45"/>
      <c r="P226" s="45"/>
      <c r="Q226" s="51">
        <f t="shared" ref="Q226:AD226" si="158">Q225*1.2</f>
        <v>0</v>
      </c>
      <c r="R226" s="45">
        <f t="shared" si="158"/>
        <v>0</v>
      </c>
      <c r="S226" s="51">
        <f t="shared" si="158"/>
        <v>0</v>
      </c>
      <c r="T226" s="45">
        <f t="shared" si="158"/>
        <v>0</v>
      </c>
      <c r="U226" s="51">
        <f t="shared" si="158"/>
        <v>0</v>
      </c>
      <c r="V226" s="45">
        <f t="shared" si="158"/>
        <v>0</v>
      </c>
      <c r="W226" s="45">
        <f t="shared" si="158"/>
        <v>0</v>
      </c>
      <c r="X226" s="45">
        <f t="shared" si="158"/>
        <v>0</v>
      </c>
      <c r="Y226" s="45">
        <f t="shared" si="158"/>
        <v>0</v>
      </c>
      <c r="Z226" s="45">
        <f t="shared" si="158"/>
        <v>0</v>
      </c>
      <c r="AA226" s="45">
        <f t="shared" si="158"/>
        <v>0</v>
      </c>
      <c r="AB226" s="45">
        <f t="shared" si="158"/>
        <v>0</v>
      </c>
      <c r="AC226" s="45">
        <f t="shared" si="158"/>
        <v>0</v>
      </c>
      <c r="AD226" s="45">
        <f t="shared" si="158"/>
        <v>0</v>
      </c>
      <c r="AE226" s="11"/>
      <c r="AF226" s="11"/>
    </row>
    <row r="227" spans="1:32" s="1" customFormat="1" x14ac:dyDescent="0.2">
      <c r="A227" s="1" t="s">
        <v>84</v>
      </c>
      <c r="B227" s="1" t="s">
        <v>85</v>
      </c>
      <c r="C227" s="4" t="s">
        <v>188</v>
      </c>
      <c r="D227" s="60" t="s">
        <v>250</v>
      </c>
      <c r="E227" s="1" t="s">
        <v>263</v>
      </c>
      <c r="F227" s="37">
        <f>F221*F$61</f>
        <v>6766.0424999999996</v>
      </c>
      <c r="G227" s="37">
        <f t="shared" ref="G227:H227" si="159">G221*G$61</f>
        <v>129908.016</v>
      </c>
      <c r="H227" s="37">
        <f t="shared" si="159"/>
        <v>519632.06400000001</v>
      </c>
      <c r="I227" s="37"/>
      <c r="J227" s="37"/>
      <c r="K227" s="37"/>
      <c r="L227" s="37"/>
      <c r="M227" s="61"/>
      <c r="N227" s="37"/>
      <c r="O227" s="37"/>
      <c r="P227" s="37"/>
      <c r="Q227" s="37">
        <f t="shared" ref="Q227:AD227" si="160">Q221*$I$61</f>
        <v>0</v>
      </c>
      <c r="R227" s="37">
        <f t="shared" si="160"/>
        <v>0</v>
      </c>
      <c r="S227" s="37">
        <f t="shared" si="160"/>
        <v>0</v>
      </c>
      <c r="T227" s="37">
        <f t="shared" si="160"/>
        <v>0</v>
      </c>
      <c r="U227" s="37">
        <f t="shared" si="160"/>
        <v>0</v>
      </c>
      <c r="V227" s="37">
        <f t="shared" si="160"/>
        <v>0</v>
      </c>
      <c r="W227" s="37">
        <f t="shared" si="160"/>
        <v>0</v>
      </c>
      <c r="X227" s="37">
        <f t="shared" si="160"/>
        <v>0</v>
      </c>
      <c r="Y227" s="37">
        <f t="shared" si="160"/>
        <v>0</v>
      </c>
      <c r="Z227" s="37">
        <f t="shared" si="160"/>
        <v>0</v>
      </c>
      <c r="AA227" s="37">
        <f t="shared" si="160"/>
        <v>0</v>
      </c>
      <c r="AB227" s="37">
        <f t="shared" si="160"/>
        <v>0</v>
      </c>
      <c r="AC227" s="37">
        <f t="shared" si="160"/>
        <v>0</v>
      </c>
      <c r="AD227" s="37">
        <f t="shared" si="160"/>
        <v>0</v>
      </c>
    </row>
    <row r="228" spans="1:32" s="12" customFormat="1" hidden="1" x14ac:dyDescent="0.2">
      <c r="C228" s="4"/>
      <c r="D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1"/>
      <c r="AF228" s="1"/>
    </row>
    <row r="229" spans="1:32" x14ac:dyDescent="0.2">
      <c r="A229" s="12" t="s">
        <v>84</v>
      </c>
      <c r="B229" s="74" t="s">
        <v>85</v>
      </c>
      <c r="C229" s="10" t="s">
        <v>186</v>
      </c>
      <c r="D229" s="60" t="s">
        <v>250</v>
      </c>
      <c r="E229" s="13" t="s">
        <v>264</v>
      </c>
      <c r="F229" s="35">
        <f>F224*F61</f>
        <v>242.99099999999996</v>
      </c>
      <c r="G229" s="35">
        <f>G224*G61</f>
        <v>3828.2719999999999</v>
      </c>
      <c r="H229" s="35">
        <f>H224*H61</f>
        <v>15305.640000000001</v>
      </c>
      <c r="I229" s="35"/>
      <c r="J229" s="35"/>
      <c r="K229" s="35"/>
      <c r="L229" s="35"/>
      <c r="M229" s="56"/>
      <c r="N229" s="35"/>
      <c r="O229" s="35"/>
      <c r="P229" s="35"/>
      <c r="Q229" s="35">
        <f t="shared" ref="Q229:AD229" si="161">Q224*Q61</f>
        <v>0</v>
      </c>
      <c r="R229" s="35">
        <f t="shared" si="161"/>
        <v>0</v>
      </c>
      <c r="S229" s="35">
        <f t="shared" si="161"/>
        <v>0</v>
      </c>
      <c r="T229" s="35">
        <f t="shared" si="161"/>
        <v>0</v>
      </c>
      <c r="U229" s="35">
        <f t="shared" si="161"/>
        <v>0</v>
      </c>
      <c r="V229" s="35">
        <f t="shared" si="161"/>
        <v>0</v>
      </c>
      <c r="W229" s="35">
        <f t="shared" si="161"/>
        <v>0</v>
      </c>
      <c r="X229" s="35">
        <f t="shared" si="161"/>
        <v>0</v>
      </c>
      <c r="Y229" s="35">
        <f t="shared" si="161"/>
        <v>0</v>
      </c>
      <c r="Z229" s="35">
        <f t="shared" si="161"/>
        <v>0</v>
      </c>
      <c r="AA229" s="35">
        <f t="shared" si="161"/>
        <v>0</v>
      </c>
      <c r="AB229" s="35">
        <f t="shared" si="161"/>
        <v>0</v>
      </c>
      <c r="AC229" s="35">
        <f t="shared" si="161"/>
        <v>0</v>
      </c>
      <c r="AD229" s="35">
        <f t="shared" si="161"/>
        <v>0</v>
      </c>
      <c r="AE229" s="11"/>
      <c r="AF229" s="11"/>
    </row>
    <row r="230" spans="1:32" x14ac:dyDescent="0.2">
      <c r="A230" s="12" t="s">
        <v>84</v>
      </c>
      <c r="B230" s="74" t="s">
        <v>85</v>
      </c>
      <c r="C230" s="10" t="s">
        <v>233</v>
      </c>
      <c r="D230" s="60" t="s">
        <v>250</v>
      </c>
      <c r="E230" s="13" t="s">
        <v>234</v>
      </c>
      <c r="F230" s="35">
        <f t="shared" ref="F230" si="162">F221/F225</f>
        <v>27.8448275862069</v>
      </c>
      <c r="G230" s="35">
        <f>G221/G225</f>
        <v>33.933852140077825</v>
      </c>
      <c r="H230" s="35">
        <f>H221/H225</f>
        <v>33.950364963503652</v>
      </c>
      <c r="I230" s="35"/>
      <c r="J230" s="35"/>
      <c r="K230" s="35"/>
      <c r="L230" s="35"/>
      <c r="M230" s="56"/>
      <c r="N230" s="35"/>
      <c r="O230" s="35"/>
      <c r="P230" s="35"/>
      <c r="Q230" s="35" t="e">
        <f t="shared" ref="Q230:AD230" si="163">Q221/Q225</f>
        <v>#DIV/0!</v>
      </c>
      <c r="R230" s="35" t="e">
        <f t="shared" si="163"/>
        <v>#DIV/0!</v>
      </c>
      <c r="S230" s="35" t="e">
        <f t="shared" si="163"/>
        <v>#DIV/0!</v>
      </c>
      <c r="T230" s="35" t="e">
        <f t="shared" si="163"/>
        <v>#DIV/0!</v>
      </c>
      <c r="U230" s="35" t="e">
        <f t="shared" si="163"/>
        <v>#DIV/0!</v>
      </c>
      <c r="V230" s="35" t="e">
        <f t="shared" si="163"/>
        <v>#DIV/0!</v>
      </c>
      <c r="W230" s="35" t="e">
        <f t="shared" si="163"/>
        <v>#DIV/0!</v>
      </c>
      <c r="X230" s="35" t="e">
        <f t="shared" si="163"/>
        <v>#DIV/0!</v>
      </c>
      <c r="Y230" s="35" t="e">
        <f t="shared" si="163"/>
        <v>#DIV/0!</v>
      </c>
      <c r="Z230" s="35" t="e">
        <f t="shared" si="163"/>
        <v>#DIV/0!</v>
      </c>
      <c r="AA230" s="35" t="e">
        <f t="shared" si="163"/>
        <v>#DIV/0!</v>
      </c>
      <c r="AB230" s="35" t="e">
        <f t="shared" si="163"/>
        <v>#DIV/0!</v>
      </c>
      <c r="AC230" s="35" t="e">
        <f t="shared" si="163"/>
        <v>#DIV/0!</v>
      </c>
      <c r="AD230" s="35" t="e">
        <f t="shared" si="163"/>
        <v>#DIV/0!</v>
      </c>
      <c r="AE230" s="11"/>
      <c r="AF230" s="11"/>
    </row>
    <row r="231" spans="1:32" s="12" customFormat="1" hidden="1" x14ac:dyDescent="0.2"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"/>
      <c r="AF231" s="1"/>
    </row>
    <row r="232" spans="1:32" s="12" customFormat="1" hidden="1" x14ac:dyDescent="0.2">
      <c r="C232" s="4"/>
      <c r="D232" s="4"/>
      <c r="E232" s="18" t="s">
        <v>265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"/>
      <c r="AF232" s="1"/>
    </row>
    <row r="233" spans="1:32" s="1" customFormat="1" x14ac:dyDescent="0.2">
      <c r="A233" s="1" t="s">
        <v>84</v>
      </c>
      <c r="B233" s="1" t="s">
        <v>85</v>
      </c>
      <c r="C233" s="4" t="s">
        <v>186</v>
      </c>
      <c r="D233" s="60" t="s">
        <v>250</v>
      </c>
      <c r="E233" s="1" t="s">
        <v>238</v>
      </c>
      <c r="F233" s="37">
        <f>F213*F205*F210</f>
        <v>159.20099999999999</v>
      </c>
      <c r="G233" s="37">
        <f t="shared" ref="G233:H233" si="164">G213*G205*G210</f>
        <v>2547.2159999999999</v>
      </c>
      <c r="H233" s="37">
        <f t="shared" si="164"/>
        <v>10188.864</v>
      </c>
      <c r="I233" s="37"/>
      <c r="J233" s="37"/>
      <c r="K233" s="37"/>
      <c r="L233" s="37"/>
      <c r="M233" s="61"/>
      <c r="N233" s="37"/>
      <c r="O233" s="37"/>
      <c r="P233" s="37"/>
      <c r="Q233" s="37">
        <f t="shared" ref="Q233:AD233" si="165">16*Q205*Q210</f>
        <v>0</v>
      </c>
      <c r="R233" s="37">
        <f t="shared" si="165"/>
        <v>0</v>
      </c>
      <c r="S233" s="37">
        <f t="shared" si="165"/>
        <v>0</v>
      </c>
      <c r="T233" s="37">
        <f t="shared" si="165"/>
        <v>0</v>
      </c>
      <c r="U233" s="37">
        <f t="shared" si="165"/>
        <v>0</v>
      </c>
      <c r="V233" s="37">
        <f t="shared" si="165"/>
        <v>0</v>
      </c>
      <c r="W233" s="37">
        <f t="shared" si="165"/>
        <v>0</v>
      </c>
      <c r="X233" s="37">
        <f t="shared" si="165"/>
        <v>0</v>
      </c>
      <c r="Y233" s="37">
        <f t="shared" si="165"/>
        <v>0</v>
      </c>
      <c r="Z233" s="37">
        <f t="shared" si="165"/>
        <v>0</v>
      </c>
      <c r="AA233" s="37">
        <f t="shared" si="165"/>
        <v>0</v>
      </c>
      <c r="AB233" s="37">
        <f t="shared" si="165"/>
        <v>0</v>
      </c>
      <c r="AC233" s="37">
        <f t="shared" si="165"/>
        <v>0</v>
      </c>
      <c r="AD233" s="37">
        <f t="shared" si="165"/>
        <v>0</v>
      </c>
    </row>
    <row r="234" spans="1:32" x14ac:dyDescent="0.2">
      <c r="A234" s="13" t="s">
        <v>126</v>
      </c>
      <c r="B234" s="74" t="s">
        <v>85</v>
      </c>
      <c r="D234" s="60" t="s">
        <v>250</v>
      </c>
      <c r="E234" s="13" t="s">
        <v>25</v>
      </c>
      <c r="F234" s="38">
        <v>5</v>
      </c>
      <c r="G234" s="38">
        <f>Table1[[#This Row],[Clinial Production]]</f>
        <v>5</v>
      </c>
      <c r="H234" s="38">
        <f>Table1[[#This Row],[2000L, MCC High cellular productivity]]</f>
        <v>5</v>
      </c>
      <c r="I234" s="38"/>
      <c r="J234" s="38"/>
      <c r="K234" s="38"/>
      <c r="L234" s="38"/>
      <c r="M234" s="38"/>
      <c r="N234" s="38"/>
      <c r="O234" s="38"/>
      <c r="P234" s="38"/>
      <c r="Q234" s="38">
        <f>Table1[[#This Row],[Column22]]</f>
        <v>0</v>
      </c>
      <c r="R234" s="38">
        <f>Table1[[#This Row],[Column3]]</f>
        <v>0</v>
      </c>
      <c r="S234" s="38">
        <f>Table1[[#This Row],[Column4]]</f>
        <v>0</v>
      </c>
      <c r="T234" s="38">
        <f>Table1[[#This Row],[Column5]]</f>
        <v>0</v>
      </c>
      <c r="U234" s="38">
        <f>Table1[[#This Row],[Column6]]</f>
        <v>0</v>
      </c>
      <c r="V234" s="38">
        <f>Table1[[#This Row],[Column7]]</f>
        <v>0</v>
      </c>
      <c r="W234" s="38">
        <v>5</v>
      </c>
      <c r="X234" s="38">
        <v>5</v>
      </c>
      <c r="Y234" s="38">
        <v>5</v>
      </c>
      <c r="Z234" s="38">
        <v>5</v>
      </c>
      <c r="AA234" s="38">
        <v>5</v>
      </c>
      <c r="AB234" s="38">
        <v>5</v>
      </c>
      <c r="AC234" s="38">
        <v>5</v>
      </c>
      <c r="AD234" s="38">
        <v>5</v>
      </c>
      <c r="AE234" s="11"/>
      <c r="AF234" s="11"/>
    </row>
    <row r="235" spans="1:32" s="12" customFormat="1" x14ac:dyDescent="0.2">
      <c r="A235" s="12" t="s">
        <v>84</v>
      </c>
      <c r="B235" s="74" t="s">
        <v>85</v>
      </c>
      <c r="C235" s="4" t="s">
        <v>186</v>
      </c>
      <c r="D235" s="60" t="s">
        <v>250</v>
      </c>
      <c r="E235" s="12" t="s">
        <v>239</v>
      </c>
      <c r="F235" s="41">
        <f t="shared" ref="F235" si="166">F233/F234</f>
        <v>31.840199999999999</v>
      </c>
      <c r="G235" s="41">
        <f>G233/G234</f>
        <v>509.44319999999999</v>
      </c>
      <c r="H235" s="41">
        <f>H233/H234</f>
        <v>2037.7728</v>
      </c>
      <c r="I235" s="41"/>
      <c r="J235" s="41"/>
      <c r="K235" s="41"/>
      <c r="L235" s="41"/>
      <c r="M235" s="62"/>
      <c r="N235" s="41"/>
      <c r="O235" s="41"/>
      <c r="P235" s="41"/>
      <c r="Q235" s="41" t="e">
        <f t="shared" ref="Q235:AD235" si="167">Q233/Q234</f>
        <v>#DIV/0!</v>
      </c>
      <c r="R235" s="41" t="e">
        <f t="shared" si="167"/>
        <v>#DIV/0!</v>
      </c>
      <c r="S235" s="41" t="e">
        <f t="shared" si="167"/>
        <v>#DIV/0!</v>
      </c>
      <c r="T235" s="41" t="e">
        <f t="shared" si="167"/>
        <v>#DIV/0!</v>
      </c>
      <c r="U235" s="41" t="e">
        <f t="shared" si="167"/>
        <v>#DIV/0!</v>
      </c>
      <c r="V235" s="41" t="e">
        <f t="shared" si="167"/>
        <v>#DIV/0!</v>
      </c>
      <c r="W235" s="41">
        <f t="shared" si="167"/>
        <v>0</v>
      </c>
      <c r="X235" s="41">
        <f t="shared" si="167"/>
        <v>0</v>
      </c>
      <c r="Y235" s="41">
        <f t="shared" si="167"/>
        <v>0</v>
      </c>
      <c r="Z235" s="41">
        <f t="shared" si="167"/>
        <v>0</v>
      </c>
      <c r="AA235" s="41">
        <f t="shared" si="167"/>
        <v>0</v>
      </c>
      <c r="AB235" s="41">
        <f t="shared" si="167"/>
        <v>0</v>
      </c>
      <c r="AC235" s="41">
        <f t="shared" si="167"/>
        <v>0</v>
      </c>
      <c r="AD235" s="41">
        <f t="shared" si="167"/>
        <v>0</v>
      </c>
      <c r="AE235" s="1"/>
      <c r="AF235" s="1"/>
    </row>
    <row r="236" spans="1:32" s="12" customFormat="1" x14ac:dyDescent="0.2">
      <c r="A236" s="12" t="s">
        <v>84</v>
      </c>
      <c r="B236" s="74" t="s">
        <v>85</v>
      </c>
      <c r="C236" s="4" t="s">
        <v>186</v>
      </c>
      <c r="D236" s="60" t="s">
        <v>250</v>
      </c>
      <c r="E236" s="12" t="s">
        <v>240</v>
      </c>
      <c r="F236" s="41">
        <f t="shared" ref="F236" si="168">F233-F235</f>
        <v>127.3608</v>
      </c>
      <c r="G236" s="41">
        <f>G233-G235</f>
        <v>2037.7728</v>
      </c>
      <c r="H236" s="41">
        <f>H233-H235</f>
        <v>8151.0911999999998</v>
      </c>
      <c r="I236" s="41"/>
      <c r="J236" s="41"/>
      <c r="K236" s="41"/>
      <c r="L236" s="41"/>
      <c r="M236" s="62"/>
      <c r="N236" s="41"/>
      <c r="O236" s="41"/>
      <c r="P236" s="41"/>
      <c r="Q236" s="41" t="e">
        <f t="shared" ref="Q236:AD236" si="169">Q233-Q235</f>
        <v>#DIV/0!</v>
      </c>
      <c r="R236" s="41" t="e">
        <f t="shared" si="169"/>
        <v>#DIV/0!</v>
      </c>
      <c r="S236" s="41" t="e">
        <f t="shared" si="169"/>
        <v>#DIV/0!</v>
      </c>
      <c r="T236" s="41" t="e">
        <f t="shared" si="169"/>
        <v>#DIV/0!</v>
      </c>
      <c r="U236" s="41" t="e">
        <f t="shared" si="169"/>
        <v>#DIV/0!</v>
      </c>
      <c r="V236" s="41" t="e">
        <f t="shared" si="169"/>
        <v>#DIV/0!</v>
      </c>
      <c r="W236" s="41">
        <f t="shared" si="169"/>
        <v>0</v>
      </c>
      <c r="X236" s="41">
        <f t="shared" si="169"/>
        <v>0</v>
      </c>
      <c r="Y236" s="41">
        <f t="shared" si="169"/>
        <v>0</v>
      </c>
      <c r="Z236" s="41">
        <f t="shared" si="169"/>
        <v>0</v>
      </c>
      <c r="AA236" s="41">
        <f t="shared" si="169"/>
        <v>0</v>
      </c>
      <c r="AB236" s="41">
        <f t="shared" si="169"/>
        <v>0</v>
      </c>
      <c r="AC236" s="41">
        <f t="shared" si="169"/>
        <v>0</v>
      </c>
      <c r="AD236" s="41">
        <f t="shared" si="169"/>
        <v>0</v>
      </c>
      <c r="AE236" s="1"/>
      <c r="AF236" s="1"/>
    </row>
    <row r="237" spans="1:32" x14ac:dyDescent="0.2">
      <c r="A237" s="12" t="s">
        <v>84</v>
      </c>
      <c r="B237" s="60" t="s">
        <v>127</v>
      </c>
      <c r="C237" s="10" t="s">
        <v>195</v>
      </c>
      <c r="D237" s="60" t="s">
        <v>250</v>
      </c>
      <c r="E237" s="13" t="s">
        <v>241</v>
      </c>
      <c r="F237" s="119">
        <f t="shared" ref="F237" si="170">F217/F234</f>
        <v>0.49750312499999999</v>
      </c>
      <c r="G237" s="119">
        <f>G217/G234</f>
        <v>0.79600499999999996</v>
      </c>
      <c r="H237" s="119">
        <f>H217/H234</f>
        <v>3.1840199999999999</v>
      </c>
      <c r="I237" s="121"/>
      <c r="J237" s="121"/>
      <c r="K237" s="121"/>
      <c r="L237" s="121"/>
      <c r="M237" s="125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1"/>
      <c r="AF237" s="11"/>
    </row>
    <row r="238" spans="1:32" x14ac:dyDescent="0.2">
      <c r="A238" s="12" t="s">
        <v>84</v>
      </c>
      <c r="B238" s="60" t="s">
        <v>127</v>
      </c>
      <c r="C238" s="10" t="s">
        <v>195</v>
      </c>
      <c r="D238" s="60" t="s">
        <v>250</v>
      </c>
      <c r="E238" s="13" t="s">
        <v>242</v>
      </c>
      <c r="F238" s="119">
        <f t="shared" ref="F238" si="171">F217-F237</f>
        <v>1.9900125</v>
      </c>
      <c r="G238" s="119">
        <f>G217-G237</f>
        <v>3.1840199999999999</v>
      </c>
      <c r="H238" s="119">
        <f>H217-H237</f>
        <v>12.736079999999999</v>
      </c>
      <c r="I238" s="121"/>
      <c r="J238" s="121"/>
      <c r="K238" s="121"/>
      <c r="L238" s="121"/>
      <c r="M238" s="125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1"/>
      <c r="AF238" s="11"/>
    </row>
    <row r="239" spans="1:32" x14ac:dyDescent="0.2">
      <c r="A239" s="12" t="s">
        <v>84</v>
      </c>
      <c r="B239" s="74" t="s">
        <v>85</v>
      </c>
      <c r="C239" s="10" t="s">
        <v>186</v>
      </c>
      <c r="D239" s="60" t="s">
        <v>250</v>
      </c>
      <c r="E239" s="13" t="s">
        <v>244</v>
      </c>
      <c r="F239" s="35">
        <f>F233*F$61</f>
        <v>3184.02</v>
      </c>
      <c r="G239" s="35">
        <f>G233*G$61</f>
        <v>50944.32</v>
      </c>
      <c r="H239" s="35">
        <f>H233*H$61</f>
        <v>203777.28</v>
      </c>
      <c r="I239" s="35"/>
      <c r="J239" s="35"/>
      <c r="K239" s="35"/>
      <c r="L239" s="35"/>
      <c r="M239" s="56"/>
      <c r="N239" s="35"/>
      <c r="O239" s="35"/>
      <c r="P239" s="35"/>
      <c r="Q239" s="35">
        <f t="shared" ref="Q239:AD239" si="172">Q233*Q$61</f>
        <v>0</v>
      </c>
      <c r="R239" s="35">
        <f t="shared" si="172"/>
        <v>0</v>
      </c>
      <c r="S239" s="35">
        <f t="shared" si="172"/>
        <v>0</v>
      </c>
      <c r="T239" s="35">
        <f t="shared" si="172"/>
        <v>0</v>
      </c>
      <c r="U239" s="35">
        <f t="shared" si="172"/>
        <v>0</v>
      </c>
      <c r="V239" s="35">
        <f t="shared" si="172"/>
        <v>0</v>
      </c>
      <c r="W239" s="35">
        <f t="shared" si="172"/>
        <v>0</v>
      </c>
      <c r="X239" s="35">
        <f t="shared" si="172"/>
        <v>0</v>
      </c>
      <c r="Y239" s="35">
        <f t="shared" si="172"/>
        <v>0</v>
      </c>
      <c r="Z239" s="35">
        <f t="shared" si="172"/>
        <v>0</v>
      </c>
      <c r="AA239" s="35">
        <f t="shared" si="172"/>
        <v>0</v>
      </c>
      <c r="AB239" s="35">
        <f t="shared" si="172"/>
        <v>0</v>
      </c>
      <c r="AC239" s="35">
        <f t="shared" si="172"/>
        <v>0</v>
      </c>
      <c r="AD239" s="35">
        <f t="shared" si="172"/>
        <v>0</v>
      </c>
      <c r="AE239" s="11"/>
      <c r="AF239" s="11"/>
    </row>
    <row r="240" spans="1:32" x14ac:dyDescent="0.2">
      <c r="A240" s="12" t="s">
        <v>84</v>
      </c>
      <c r="B240" s="60" t="s">
        <v>127</v>
      </c>
      <c r="C240" s="10" t="s">
        <v>186</v>
      </c>
      <c r="D240" s="60" t="s">
        <v>250</v>
      </c>
      <c r="E240" s="13" t="s">
        <v>245</v>
      </c>
      <c r="F240" s="80">
        <f>(F235+F191)*F$61</f>
        <v>738.47980000000007</v>
      </c>
      <c r="G240" s="80">
        <f>(G235+G191)*G$61</f>
        <v>10791.676800000001</v>
      </c>
      <c r="H240" s="80">
        <f>(H235+H191)*H$61</f>
        <v>54017.337599999999</v>
      </c>
      <c r="I240" s="80"/>
      <c r="J240" s="80"/>
      <c r="K240" s="80"/>
      <c r="L240" s="80"/>
      <c r="M240" s="81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11"/>
      <c r="AF240" s="11"/>
    </row>
    <row r="241" spans="1:32" x14ac:dyDescent="0.2">
      <c r="A241" s="12" t="s">
        <v>84</v>
      </c>
      <c r="B241" s="60" t="s">
        <v>85</v>
      </c>
      <c r="C241" s="10" t="s">
        <v>186</v>
      </c>
      <c r="D241" s="60" t="s">
        <v>250</v>
      </c>
      <c r="E241" s="13" t="s">
        <v>246</v>
      </c>
      <c r="F241" s="80">
        <f>F236*F$61</f>
        <v>2547.2159999999999</v>
      </c>
      <c r="G241" s="80">
        <f>G236*G$61</f>
        <v>40755.455999999998</v>
      </c>
      <c r="H241" s="80">
        <f>H236*H$61</f>
        <v>163021.82399999999</v>
      </c>
      <c r="I241" s="80"/>
      <c r="J241" s="80"/>
      <c r="K241" s="80"/>
      <c r="L241" s="80"/>
      <c r="M241" s="81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11"/>
      <c r="AF241" s="11"/>
    </row>
    <row r="242" spans="1:32" s="12" customFormat="1" hidden="1" x14ac:dyDescent="0.2">
      <c r="C242" s="4"/>
      <c r="D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"/>
      <c r="AF242" s="1"/>
    </row>
    <row r="243" spans="1:32" ht="26" x14ac:dyDescent="0.3">
      <c r="A243" s="10" t="s">
        <v>57</v>
      </c>
      <c r="B243" s="75" t="s">
        <v>127</v>
      </c>
      <c r="D243" s="10" t="s">
        <v>266</v>
      </c>
      <c r="E243" s="22" t="s">
        <v>41</v>
      </c>
      <c r="F243" s="104"/>
      <c r="G243" s="104"/>
      <c r="H243" s="104"/>
      <c r="I243" s="104"/>
      <c r="J243" s="104"/>
      <c r="K243" s="104"/>
      <c r="L243" s="104"/>
      <c r="M243" s="105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1"/>
      <c r="AF243" s="11"/>
    </row>
    <row r="244" spans="1:32" x14ac:dyDescent="0.2">
      <c r="A244" s="13" t="s">
        <v>126</v>
      </c>
      <c r="B244" s="60" t="s">
        <v>127</v>
      </c>
      <c r="D244" s="10" t="s">
        <v>266</v>
      </c>
      <c r="E244" s="13" t="s">
        <v>42</v>
      </c>
      <c r="F244" s="104">
        <v>700</v>
      </c>
      <c r="G244" s="104">
        <v>700</v>
      </c>
      <c r="H244" s="104">
        <v>700</v>
      </c>
      <c r="I244" s="104"/>
      <c r="J244" s="104"/>
      <c r="K244" s="104"/>
      <c r="L244" s="104"/>
      <c r="M244" s="105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1"/>
      <c r="AF244" s="11"/>
    </row>
    <row r="245" spans="1:32" x14ac:dyDescent="0.2">
      <c r="A245" s="13" t="s">
        <v>126</v>
      </c>
      <c r="B245" s="60" t="s">
        <v>127</v>
      </c>
      <c r="D245" s="10" t="s">
        <v>266</v>
      </c>
      <c r="E245" s="13" t="s">
        <v>44</v>
      </c>
      <c r="F245" s="104">
        <v>100</v>
      </c>
      <c r="G245" s="104">
        <v>100</v>
      </c>
      <c r="H245" s="104">
        <v>100</v>
      </c>
      <c r="I245" s="104"/>
      <c r="J245" s="104"/>
      <c r="K245" s="104"/>
      <c r="L245" s="104"/>
      <c r="M245" s="105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1"/>
      <c r="AF245" s="11"/>
    </row>
    <row r="246" spans="1:32" s="12" customFormat="1" x14ac:dyDescent="0.2">
      <c r="A246" s="12" t="s">
        <v>126</v>
      </c>
      <c r="B246" s="60" t="s">
        <v>127</v>
      </c>
      <c r="C246" s="4"/>
      <c r="D246" s="10" t="s">
        <v>266</v>
      </c>
      <c r="E246" s="13" t="s">
        <v>267</v>
      </c>
      <c r="F246" s="104">
        <v>1</v>
      </c>
      <c r="G246" s="104">
        <f>G61</f>
        <v>20</v>
      </c>
      <c r="H246" s="104">
        <v>20</v>
      </c>
      <c r="I246" s="104"/>
      <c r="J246" s="104"/>
      <c r="K246" s="104"/>
      <c r="L246" s="104"/>
      <c r="M246" s="105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"/>
      <c r="AF246" s="1"/>
    </row>
    <row r="247" spans="1:32" s="12" customFormat="1" x14ac:dyDescent="0.2">
      <c r="A247" s="12" t="s">
        <v>84</v>
      </c>
      <c r="B247" s="74" t="s">
        <v>85</v>
      </c>
      <c r="C247" s="4" t="s">
        <v>268</v>
      </c>
      <c r="D247" s="10" t="s">
        <v>266</v>
      </c>
      <c r="E247" s="12" t="s">
        <v>269</v>
      </c>
      <c r="F247" s="49">
        <f>F229/F244/F246</f>
        <v>0.34712999999999994</v>
      </c>
      <c r="G247" s="49">
        <f>G229/G244/G246</f>
        <v>0.27344800000000002</v>
      </c>
      <c r="H247" s="49">
        <f>H229/H244/H246</f>
        <v>1.0932600000000001</v>
      </c>
      <c r="I247" s="49"/>
      <c r="J247" s="49"/>
      <c r="K247" s="49"/>
      <c r="L247" s="49"/>
      <c r="M247" s="66"/>
      <c r="N247" s="49"/>
      <c r="O247" s="49"/>
      <c r="P247" s="49"/>
      <c r="Q247" s="49" t="e">
        <f t="shared" ref="Q247:AD247" si="173">Q229/Q244/Q246</f>
        <v>#DIV/0!</v>
      </c>
      <c r="R247" s="49" t="e">
        <f t="shared" si="173"/>
        <v>#DIV/0!</v>
      </c>
      <c r="S247" s="49" t="e">
        <f t="shared" si="173"/>
        <v>#DIV/0!</v>
      </c>
      <c r="T247" s="49" t="e">
        <f t="shared" si="173"/>
        <v>#DIV/0!</v>
      </c>
      <c r="U247" s="49" t="e">
        <f t="shared" si="173"/>
        <v>#DIV/0!</v>
      </c>
      <c r="V247" s="49" t="e">
        <f t="shared" si="173"/>
        <v>#DIV/0!</v>
      </c>
      <c r="W247" s="49" t="e">
        <f t="shared" si="173"/>
        <v>#DIV/0!</v>
      </c>
      <c r="X247" s="49" t="e">
        <f t="shared" si="173"/>
        <v>#DIV/0!</v>
      </c>
      <c r="Y247" s="49" t="e">
        <f t="shared" si="173"/>
        <v>#DIV/0!</v>
      </c>
      <c r="Z247" s="49" t="e">
        <f t="shared" si="173"/>
        <v>#DIV/0!</v>
      </c>
      <c r="AA247" s="49" t="e">
        <f t="shared" si="173"/>
        <v>#DIV/0!</v>
      </c>
      <c r="AB247" s="49" t="e">
        <f t="shared" si="173"/>
        <v>#DIV/0!</v>
      </c>
      <c r="AC247" s="49" t="e">
        <f t="shared" si="173"/>
        <v>#DIV/0!</v>
      </c>
      <c r="AD247" s="49" t="e">
        <f t="shared" si="173"/>
        <v>#DIV/0!</v>
      </c>
      <c r="AE247" s="1"/>
      <c r="AF247" s="1"/>
    </row>
    <row r="248" spans="1:32" s="12" customFormat="1" x14ac:dyDescent="0.2">
      <c r="A248" s="12" t="s">
        <v>84</v>
      </c>
      <c r="B248" s="60" t="s">
        <v>127</v>
      </c>
      <c r="C248" s="4" t="s">
        <v>268</v>
      </c>
      <c r="D248" s="10" t="s">
        <v>266</v>
      </c>
      <c r="E248" s="12" t="s">
        <v>270</v>
      </c>
      <c r="F248" s="126">
        <f t="shared" ref="F248" si="174">(ROUNDUP((F247/0.51),0))*0.51</f>
        <v>0.51</v>
      </c>
      <c r="G248" s="126">
        <f>(ROUNDUP((G247/0.51),0))*0.51</f>
        <v>0.51</v>
      </c>
      <c r="H248" s="126">
        <f>(ROUNDUP((H247/0.51),0))*0.51</f>
        <v>1.53</v>
      </c>
      <c r="I248" s="126"/>
      <c r="J248" s="126"/>
      <c r="K248" s="126"/>
      <c r="L248" s="126"/>
      <c r="M248" s="127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"/>
      <c r="AF248" s="1"/>
    </row>
    <row r="249" spans="1:32" s="12" customFormat="1" x14ac:dyDescent="0.2">
      <c r="A249" s="12" t="s">
        <v>84</v>
      </c>
      <c r="B249" s="74" t="s">
        <v>85</v>
      </c>
      <c r="C249" s="4"/>
      <c r="D249" s="10" t="s">
        <v>266</v>
      </c>
      <c r="E249" s="12" t="s">
        <v>271</v>
      </c>
      <c r="F249" s="50">
        <f>(F229/F248)/F244/F246</f>
        <v>0.68064705882352927</v>
      </c>
      <c r="G249" s="50">
        <f>(G229/G248)/G244/G246</f>
        <v>0.53617254901960787</v>
      </c>
      <c r="H249" s="50">
        <f>(H229/H248)/H244/H246</f>
        <v>0.71454901960784312</v>
      </c>
      <c r="I249" s="50"/>
      <c r="J249" s="50"/>
      <c r="K249" s="50"/>
      <c r="L249" s="50"/>
      <c r="M249" s="67"/>
      <c r="N249" s="50"/>
      <c r="O249" s="50"/>
      <c r="P249" s="50"/>
      <c r="Q249" s="50" t="e">
        <f t="shared" ref="Q249:AD249" si="175">(Q229/Q248)/Q244/Q246</f>
        <v>#DIV/0!</v>
      </c>
      <c r="R249" s="50" t="e">
        <f t="shared" si="175"/>
        <v>#DIV/0!</v>
      </c>
      <c r="S249" s="50" t="e">
        <f t="shared" si="175"/>
        <v>#DIV/0!</v>
      </c>
      <c r="T249" s="50" t="e">
        <f t="shared" si="175"/>
        <v>#DIV/0!</v>
      </c>
      <c r="U249" s="50" t="e">
        <f t="shared" si="175"/>
        <v>#DIV/0!</v>
      </c>
      <c r="V249" s="50" t="e">
        <f t="shared" si="175"/>
        <v>#DIV/0!</v>
      </c>
      <c r="W249" s="50" t="e">
        <f t="shared" si="175"/>
        <v>#DIV/0!</v>
      </c>
      <c r="X249" s="50" t="e">
        <f t="shared" si="175"/>
        <v>#DIV/0!</v>
      </c>
      <c r="Y249" s="50" t="e">
        <f t="shared" si="175"/>
        <v>#DIV/0!</v>
      </c>
      <c r="Z249" s="50" t="e">
        <f t="shared" si="175"/>
        <v>#DIV/0!</v>
      </c>
      <c r="AA249" s="50" t="e">
        <f t="shared" si="175"/>
        <v>#DIV/0!</v>
      </c>
      <c r="AB249" s="50" t="e">
        <f t="shared" si="175"/>
        <v>#DIV/0!</v>
      </c>
      <c r="AC249" s="50" t="e">
        <f t="shared" si="175"/>
        <v>#DIV/0!</v>
      </c>
      <c r="AD249" s="50" t="e">
        <f t="shared" si="175"/>
        <v>#DIV/0!</v>
      </c>
      <c r="AE249" s="1"/>
      <c r="AF249" s="1"/>
    </row>
    <row r="250" spans="1:32" s="12" customFormat="1" x14ac:dyDescent="0.2">
      <c r="A250" s="12" t="s">
        <v>84</v>
      </c>
      <c r="B250" s="74" t="s">
        <v>85</v>
      </c>
      <c r="C250" s="4" t="s">
        <v>272</v>
      </c>
      <c r="D250" s="10" t="s">
        <v>266</v>
      </c>
      <c r="E250" s="12" t="s">
        <v>273</v>
      </c>
      <c r="F250" s="42">
        <f>F229/(F245*F248)/F246</f>
        <v>4.7645294117647055</v>
      </c>
      <c r="G250" s="42">
        <f>G229/(G245*G248)/G246</f>
        <v>3.7532078431372549</v>
      </c>
      <c r="H250" s="42">
        <f>H229/(H245*H248)/H246</f>
        <v>5.0018431372549026</v>
      </c>
      <c r="I250" s="42"/>
      <c r="J250" s="42"/>
      <c r="K250" s="42"/>
      <c r="L250" s="42"/>
      <c r="M250" s="63"/>
      <c r="N250" s="42"/>
      <c r="O250" s="42"/>
      <c r="P250" s="42"/>
      <c r="Q250" s="42" t="e">
        <f t="shared" ref="Q250:AD250" si="176">Q229/(Q245*Q248)/Q246</f>
        <v>#DIV/0!</v>
      </c>
      <c r="R250" s="42" t="e">
        <f t="shared" si="176"/>
        <v>#DIV/0!</v>
      </c>
      <c r="S250" s="42" t="e">
        <f t="shared" si="176"/>
        <v>#DIV/0!</v>
      </c>
      <c r="T250" s="42" t="e">
        <f t="shared" si="176"/>
        <v>#DIV/0!</v>
      </c>
      <c r="U250" s="42" t="e">
        <f t="shared" si="176"/>
        <v>#DIV/0!</v>
      </c>
      <c r="V250" s="42" t="e">
        <f t="shared" si="176"/>
        <v>#DIV/0!</v>
      </c>
      <c r="W250" s="42" t="e">
        <f t="shared" si="176"/>
        <v>#DIV/0!</v>
      </c>
      <c r="X250" s="42" t="e">
        <f t="shared" si="176"/>
        <v>#DIV/0!</v>
      </c>
      <c r="Y250" s="42" t="e">
        <f t="shared" si="176"/>
        <v>#DIV/0!</v>
      </c>
      <c r="Z250" s="42" t="e">
        <f t="shared" si="176"/>
        <v>#DIV/0!</v>
      </c>
      <c r="AA250" s="42" t="e">
        <f t="shared" si="176"/>
        <v>#DIV/0!</v>
      </c>
      <c r="AB250" s="42" t="e">
        <f t="shared" si="176"/>
        <v>#DIV/0!</v>
      </c>
      <c r="AC250" s="42" t="e">
        <f t="shared" si="176"/>
        <v>#DIV/0!</v>
      </c>
      <c r="AD250" s="42" t="e">
        <f t="shared" si="176"/>
        <v>#DIV/0!</v>
      </c>
      <c r="AE250" s="1"/>
      <c r="AF250" s="1"/>
    </row>
    <row r="251" spans="1:32" s="12" customFormat="1" x14ac:dyDescent="0.2">
      <c r="A251" s="12" t="s">
        <v>84</v>
      </c>
      <c r="B251" s="74" t="s">
        <v>85</v>
      </c>
      <c r="C251" s="4" t="s">
        <v>272</v>
      </c>
      <c r="D251" s="10" t="s">
        <v>266</v>
      </c>
      <c r="E251" s="12" t="s">
        <v>274</v>
      </c>
      <c r="F251" s="42">
        <f t="shared" ref="F251" si="177">((250*F248)/(F245*F248))+F250</f>
        <v>7.2645294117647055</v>
      </c>
      <c r="G251" s="42">
        <f>((250*G248)/(G245*G248))+G250</f>
        <v>6.2532078431372549</v>
      </c>
      <c r="H251" s="42">
        <f>((250*H248)/(H245*H248))+H250</f>
        <v>7.5018431372549026</v>
      </c>
      <c r="I251" s="42"/>
      <c r="J251" s="42"/>
      <c r="K251" s="42"/>
      <c r="L251" s="42"/>
      <c r="M251" s="63"/>
      <c r="N251" s="42"/>
      <c r="O251" s="42"/>
      <c r="P251" s="42"/>
      <c r="Q251" s="42" t="e">
        <f t="shared" ref="Q251:AD251" si="178">((250*Q248)/(Q245*Q248))+Q250</f>
        <v>#DIV/0!</v>
      </c>
      <c r="R251" s="42" t="e">
        <f t="shared" si="178"/>
        <v>#DIV/0!</v>
      </c>
      <c r="S251" s="42" t="e">
        <f t="shared" si="178"/>
        <v>#DIV/0!</v>
      </c>
      <c r="T251" s="42" t="e">
        <f t="shared" si="178"/>
        <v>#DIV/0!</v>
      </c>
      <c r="U251" s="42" t="e">
        <f t="shared" si="178"/>
        <v>#DIV/0!</v>
      </c>
      <c r="V251" s="42" t="e">
        <f t="shared" si="178"/>
        <v>#DIV/0!</v>
      </c>
      <c r="W251" s="42" t="e">
        <f t="shared" si="178"/>
        <v>#DIV/0!</v>
      </c>
      <c r="X251" s="42" t="e">
        <f t="shared" si="178"/>
        <v>#DIV/0!</v>
      </c>
      <c r="Y251" s="42" t="e">
        <f t="shared" si="178"/>
        <v>#DIV/0!</v>
      </c>
      <c r="Z251" s="42" t="e">
        <f t="shared" si="178"/>
        <v>#DIV/0!</v>
      </c>
      <c r="AA251" s="42" t="e">
        <f t="shared" si="178"/>
        <v>#DIV/0!</v>
      </c>
      <c r="AB251" s="42" t="e">
        <f t="shared" si="178"/>
        <v>#DIV/0!</v>
      </c>
      <c r="AC251" s="42" t="e">
        <f t="shared" si="178"/>
        <v>#DIV/0!</v>
      </c>
      <c r="AD251" s="42" t="e">
        <f t="shared" si="178"/>
        <v>#DIV/0!</v>
      </c>
      <c r="AE251" s="1"/>
      <c r="AF251" s="1"/>
    </row>
    <row r="252" spans="1:32" s="12" customFormat="1" x14ac:dyDescent="0.2">
      <c r="A252" s="12" t="s">
        <v>84</v>
      </c>
      <c r="B252" s="74" t="s">
        <v>85</v>
      </c>
      <c r="C252" s="4" t="s">
        <v>186</v>
      </c>
      <c r="D252" s="10" t="s">
        <v>266</v>
      </c>
      <c r="E252" s="12" t="s">
        <v>275</v>
      </c>
      <c r="F252" s="43">
        <f>(75*F248*2)</f>
        <v>76.5</v>
      </c>
      <c r="G252" s="43">
        <f>(75*G248*2)</f>
        <v>76.5</v>
      </c>
      <c r="H252" s="43">
        <f>(75*H248*2)</f>
        <v>229.5</v>
      </c>
      <c r="I252" s="43"/>
      <c r="J252" s="43"/>
      <c r="K252" s="43"/>
      <c r="L252" s="43"/>
      <c r="M252" s="64"/>
      <c r="N252" s="43"/>
      <c r="O252" s="43"/>
      <c r="P252" s="43"/>
      <c r="Q252" s="43">
        <f t="shared" ref="Q252:AD252" si="179">(75*Q248*2)</f>
        <v>0</v>
      </c>
      <c r="R252" s="43">
        <f t="shared" si="179"/>
        <v>0</v>
      </c>
      <c r="S252" s="43">
        <f t="shared" si="179"/>
        <v>0</v>
      </c>
      <c r="T252" s="43">
        <f t="shared" si="179"/>
        <v>0</v>
      </c>
      <c r="U252" s="43">
        <f t="shared" si="179"/>
        <v>0</v>
      </c>
      <c r="V252" s="43">
        <f t="shared" si="179"/>
        <v>0</v>
      </c>
      <c r="W252" s="43">
        <f t="shared" si="179"/>
        <v>0</v>
      </c>
      <c r="X252" s="43">
        <f t="shared" si="179"/>
        <v>0</v>
      </c>
      <c r="Y252" s="43">
        <f t="shared" si="179"/>
        <v>0</v>
      </c>
      <c r="Z252" s="43">
        <f t="shared" si="179"/>
        <v>0</v>
      </c>
      <c r="AA252" s="43">
        <f t="shared" si="179"/>
        <v>0</v>
      </c>
      <c r="AB252" s="43">
        <f t="shared" si="179"/>
        <v>0</v>
      </c>
      <c r="AC252" s="43">
        <f t="shared" si="179"/>
        <v>0</v>
      </c>
      <c r="AD252" s="43">
        <f t="shared" si="179"/>
        <v>0</v>
      </c>
      <c r="AE252" s="1"/>
      <c r="AF252" s="1"/>
    </row>
    <row r="253" spans="1:32" s="12" customFormat="1" x14ac:dyDescent="0.2">
      <c r="A253" s="12" t="s">
        <v>84</v>
      </c>
      <c r="B253" s="74" t="s">
        <v>85</v>
      </c>
      <c r="C253" s="4"/>
      <c r="D253" s="10" t="s">
        <v>266</v>
      </c>
      <c r="E253" s="12" t="s">
        <v>25</v>
      </c>
      <c r="F253" s="43">
        <v>5</v>
      </c>
      <c r="G253" s="43">
        <v>5</v>
      </c>
      <c r="H253" s="43">
        <v>6</v>
      </c>
      <c r="I253" s="43"/>
      <c r="J253" s="43"/>
      <c r="K253" s="43"/>
      <c r="L253" s="43"/>
      <c r="M253" s="64"/>
      <c r="N253" s="43"/>
      <c r="O253" s="43"/>
      <c r="P253" s="43"/>
      <c r="Q253" s="43">
        <v>5</v>
      </c>
      <c r="R253" s="43">
        <v>5</v>
      </c>
      <c r="S253" s="43">
        <v>5</v>
      </c>
      <c r="T253" s="43">
        <v>5</v>
      </c>
      <c r="U253" s="43">
        <v>5</v>
      </c>
      <c r="V253" s="43">
        <v>5</v>
      </c>
      <c r="W253" s="43">
        <v>5</v>
      </c>
      <c r="X253" s="43">
        <v>5</v>
      </c>
      <c r="Y253" s="43">
        <v>5</v>
      </c>
      <c r="Z253" s="43">
        <v>5</v>
      </c>
      <c r="AA253" s="43">
        <v>5</v>
      </c>
      <c r="AB253" s="43">
        <v>5</v>
      </c>
      <c r="AC253" s="43">
        <v>5</v>
      </c>
      <c r="AD253" s="43">
        <v>5</v>
      </c>
      <c r="AE253" s="1"/>
      <c r="AF253" s="1"/>
    </row>
    <row r="254" spans="1:32" s="12" customFormat="1" x14ac:dyDescent="0.2">
      <c r="A254" s="12" t="s">
        <v>84</v>
      </c>
      <c r="B254" s="74" t="s">
        <v>85</v>
      </c>
      <c r="C254" s="4" t="s">
        <v>186</v>
      </c>
      <c r="D254" s="10" t="s">
        <v>266</v>
      </c>
      <c r="E254" s="12" t="s">
        <v>276</v>
      </c>
      <c r="F254" s="41">
        <f t="shared" ref="F254" si="180">F252/F253</f>
        <v>15.3</v>
      </c>
      <c r="G254" s="41">
        <f>G252/G253</f>
        <v>15.3</v>
      </c>
      <c r="H254" s="41">
        <f>H252/H253</f>
        <v>38.25</v>
      </c>
      <c r="I254" s="41"/>
      <c r="J254" s="41"/>
      <c r="K254" s="41"/>
      <c r="L254" s="41"/>
      <c r="M254" s="62"/>
      <c r="N254" s="41"/>
      <c r="O254" s="41"/>
      <c r="P254" s="41"/>
      <c r="Q254" s="41">
        <f t="shared" ref="Q254:AD254" si="181">Q252/Q253</f>
        <v>0</v>
      </c>
      <c r="R254" s="41">
        <f t="shared" si="181"/>
        <v>0</v>
      </c>
      <c r="S254" s="41">
        <f t="shared" si="181"/>
        <v>0</v>
      </c>
      <c r="T254" s="41">
        <f t="shared" si="181"/>
        <v>0</v>
      </c>
      <c r="U254" s="41">
        <f t="shared" si="181"/>
        <v>0</v>
      </c>
      <c r="V254" s="41">
        <f t="shared" si="181"/>
        <v>0</v>
      </c>
      <c r="W254" s="41">
        <f t="shared" si="181"/>
        <v>0</v>
      </c>
      <c r="X254" s="41">
        <f t="shared" si="181"/>
        <v>0</v>
      </c>
      <c r="Y254" s="41">
        <f t="shared" si="181"/>
        <v>0</v>
      </c>
      <c r="Z254" s="41">
        <f t="shared" si="181"/>
        <v>0</v>
      </c>
      <c r="AA254" s="41">
        <f t="shared" si="181"/>
        <v>0</v>
      </c>
      <c r="AB254" s="41">
        <f t="shared" si="181"/>
        <v>0</v>
      </c>
      <c r="AC254" s="41">
        <f t="shared" si="181"/>
        <v>0</v>
      </c>
      <c r="AD254" s="41">
        <f t="shared" si="181"/>
        <v>0</v>
      </c>
      <c r="AE254" s="1"/>
      <c r="AF254" s="1"/>
    </row>
    <row r="255" spans="1:32" s="12" customFormat="1" x14ac:dyDescent="0.2">
      <c r="A255" s="12" t="s">
        <v>84</v>
      </c>
      <c r="B255" s="74" t="s">
        <v>85</v>
      </c>
      <c r="C255" s="4" t="s">
        <v>186</v>
      </c>
      <c r="D255" s="10" t="s">
        <v>266</v>
      </c>
      <c r="E255" s="12" t="s">
        <v>277</v>
      </c>
      <c r="F255" s="43">
        <f t="shared" ref="F255" si="182">(F248*50*2)+(F252-F254)</f>
        <v>112.2</v>
      </c>
      <c r="G255" s="43">
        <f>(G248*50*2)+(G252-G254)</f>
        <v>112.2</v>
      </c>
      <c r="H255" s="43">
        <f>(H248*50*2)+(H252-H254)</f>
        <v>344.25</v>
      </c>
      <c r="I255" s="43"/>
      <c r="J255" s="43"/>
      <c r="K255" s="43"/>
      <c r="L255" s="43"/>
      <c r="M255" s="64"/>
      <c r="N255" s="43"/>
      <c r="O255" s="43"/>
      <c r="P255" s="43"/>
      <c r="Q255" s="43">
        <f t="shared" ref="Q255:AD255" si="183">(Q248*50*2)+(Q252-Q254)</f>
        <v>0</v>
      </c>
      <c r="R255" s="43">
        <f t="shared" si="183"/>
        <v>0</v>
      </c>
      <c r="S255" s="43">
        <f t="shared" si="183"/>
        <v>0</v>
      </c>
      <c r="T255" s="43">
        <f t="shared" si="183"/>
        <v>0</v>
      </c>
      <c r="U255" s="43">
        <f t="shared" si="183"/>
        <v>0</v>
      </c>
      <c r="V255" s="43">
        <f t="shared" si="183"/>
        <v>0</v>
      </c>
      <c r="W255" s="43">
        <f t="shared" si="183"/>
        <v>0</v>
      </c>
      <c r="X255" s="43">
        <f t="shared" si="183"/>
        <v>0</v>
      </c>
      <c r="Y255" s="43">
        <f t="shared" si="183"/>
        <v>0</v>
      </c>
      <c r="Z255" s="43">
        <f t="shared" si="183"/>
        <v>0</v>
      </c>
      <c r="AA255" s="43">
        <f t="shared" si="183"/>
        <v>0</v>
      </c>
      <c r="AB255" s="43">
        <f t="shared" si="183"/>
        <v>0</v>
      </c>
      <c r="AC255" s="43">
        <f t="shared" si="183"/>
        <v>0</v>
      </c>
      <c r="AD255" s="43">
        <f t="shared" si="183"/>
        <v>0</v>
      </c>
      <c r="AE255" s="1"/>
      <c r="AF255" s="1"/>
    </row>
    <row r="256" spans="1:32" x14ac:dyDescent="0.2">
      <c r="A256" s="12" t="s">
        <v>84</v>
      </c>
      <c r="B256" s="74" t="s">
        <v>85</v>
      </c>
      <c r="C256" s="10" t="s">
        <v>195</v>
      </c>
      <c r="D256" s="10" t="s">
        <v>266</v>
      </c>
      <c r="E256" s="13" t="s">
        <v>226</v>
      </c>
      <c r="F256" s="47">
        <f t="shared" ref="F256" si="184">(F245*F248)/60</f>
        <v>0.85</v>
      </c>
      <c r="G256" s="47">
        <f>(G245*G248)/60</f>
        <v>0.85</v>
      </c>
      <c r="H256" s="47">
        <f>(H245*H248)/60</f>
        <v>2.5499999999999998</v>
      </c>
      <c r="I256" s="47"/>
      <c r="J256" s="47"/>
      <c r="K256" s="47"/>
      <c r="L256" s="47"/>
      <c r="M256" s="65"/>
      <c r="N256" s="47"/>
      <c r="O256" s="47"/>
      <c r="P256" s="47"/>
      <c r="Q256" s="47">
        <f t="shared" ref="Q256:AD256" si="185">(Q245*Q248)/60</f>
        <v>0</v>
      </c>
      <c r="R256" s="47">
        <f t="shared" si="185"/>
        <v>0</v>
      </c>
      <c r="S256" s="47">
        <f t="shared" si="185"/>
        <v>0</v>
      </c>
      <c r="T256" s="47">
        <f t="shared" si="185"/>
        <v>0</v>
      </c>
      <c r="U256" s="47">
        <f t="shared" si="185"/>
        <v>0</v>
      </c>
      <c r="V256" s="47">
        <f t="shared" si="185"/>
        <v>0</v>
      </c>
      <c r="W256" s="47">
        <f t="shared" si="185"/>
        <v>0</v>
      </c>
      <c r="X256" s="47">
        <f t="shared" si="185"/>
        <v>0</v>
      </c>
      <c r="Y256" s="47">
        <f t="shared" si="185"/>
        <v>0</v>
      </c>
      <c r="Z256" s="47">
        <f t="shared" si="185"/>
        <v>0</v>
      </c>
      <c r="AA256" s="47">
        <f t="shared" si="185"/>
        <v>0</v>
      </c>
      <c r="AB256" s="47">
        <f t="shared" si="185"/>
        <v>0</v>
      </c>
      <c r="AC256" s="47">
        <f t="shared" si="185"/>
        <v>0</v>
      </c>
      <c r="AD256" s="47">
        <f t="shared" si="185"/>
        <v>0</v>
      </c>
      <c r="AE256" s="11"/>
      <c r="AF256" s="11"/>
    </row>
    <row r="257" spans="1:32" x14ac:dyDescent="0.2">
      <c r="A257" s="12" t="s">
        <v>84</v>
      </c>
      <c r="B257" s="60" t="s">
        <v>127</v>
      </c>
      <c r="C257" s="10" t="s">
        <v>195</v>
      </c>
      <c r="D257" s="10" t="s">
        <v>266</v>
      </c>
      <c r="E257" s="13" t="s">
        <v>241</v>
      </c>
      <c r="F257" s="119">
        <f t="shared" ref="F257" si="186">F256/F253</f>
        <v>0.16999999999999998</v>
      </c>
      <c r="G257" s="119">
        <f>G256/G253</f>
        <v>0.16999999999999998</v>
      </c>
      <c r="H257" s="119">
        <f>H256/H253</f>
        <v>0.42499999999999999</v>
      </c>
      <c r="I257" s="119"/>
      <c r="J257" s="119"/>
      <c r="K257" s="119"/>
      <c r="L257" s="119"/>
      <c r="M257" s="122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"/>
      <c r="AF257" s="11"/>
    </row>
    <row r="258" spans="1:32" x14ac:dyDescent="0.2">
      <c r="A258" s="12" t="s">
        <v>84</v>
      </c>
      <c r="B258" s="60" t="s">
        <v>127</v>
      </c>
      <c r="C258" s="10" t="s">
        <v>195</v>
      </c>
      <c r="D258" s="10" t="s">
        <v>266</v>
      </c>
      <c r="E258" s="13" t="s">
        <v>242</v>
      </c>
      <c r="F258" s="119">
        <f t="shared" ref="F258" si="187">F256-F257</f>
        <v>0.67999999999999994</v>
      </c>
      <c r="G258" s="119">
        <f>G256-G257</f>
        <v>0.67999999999999994</v>
      </c>
      <c r="H258" s="119">
        <f>H256-H257</f>
        <v>2.125</v>
      </c>
      <c r="I258" s="119"/>
      <c r="J258" s="119"/>
      <c r="K258" s="119"/>
      <c r="L258" s="119"/>
      <c r="M258" s="122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"/>
      <c r="AF258" s="11"/>
    </row>
    <row r="259" spans="1:32" x14ac:dyDescent="0.2">
      <c r="A259" s="12" t="s">
        <v>84</v>
      </c>
      <c r="B259" s="74" t="s">
        <v>85</v>
      </c>
      <c r="C259" s="10" t="s">
        <v>186</v>
      </c>
      <c r="D259" s="10" t="s">
        <v>266</v>
      </c>
      <c r="E259" s="13" t="s">
        <v>278</v>
      </c>
      <c r="F259" s="45">
        <f t="shared" ref="F259:G259" si="188">F229/F246</f>
        <v>242.99099999999996</v>
      </c>
      <c r="G259" s="45">
        <f t="shared" si="188"/>
        <v>191.4136</v>
      </c>
      <c r="H259" s="45">
        <f>H229/H246</f>
        <v>765.28200000000004</v>
      </c>
      <c r="I259" s="45"/>
      <c r="J259" s="45"/>
      <c r="K259" s="45"/>
      <c r="L259" s="45"/>
      <c r="M259" s="58"/>
      <c r="N259" s="45"/>
      <c r="O259" s="45"/>
      <c r="P259" s="45"/>
      <c r="Q259" s="45" t="e">
        <f t="shared" ref="Q259:AD259" si="189">Q229*1.1/Q246</f>
        <v>#DIV/0!</v>
      </c>
      <c r="R259" s="45" t="e">
        <f t="shared" si="189"/>
        <v>#DIV/0!</v>
      </c>
      <c r="S259" s="45" t="e">
        <f t="shared" si="189"/>
        <v>#DIV/0!</v>
      </c>
      <c r="T259" s="45" t="e">
        <f t="shared" si="189"/>
        <v>#DIV/0!</v>
      </c>
      <c r="U259" s="45" t="e">
        <f t="shared" si="189"/>
        <v>#DIV/0!</v>
      </c>
      <c r="V259" s="45" t="e">
        <f t="shared" si="189"/>
        <v>#DIV/0!</v>
      </c>
      <c r="W259" s="45" t="e">
        <f t="shared" si="189"/>
        <v>#DIV/0!</v>
      </c>
      <c r="X259" s="45" t="e">
        <f t="shared" si="189"/>
        <v>#DIV/0!</v>
      </c>
      <c r="Y259" s="45" t="e">
        <f t="shared" si="189"/>
        <v>#DIV/0!</v>
      </c>
      <c r="Z259" s="45" t="e">
        <f t="shared" si="189"/>
        <v>#DIV/0!</v>
      </c>
      <c r="AA259" s="45" t="e">
        <f t="shared" si="189"/>
        <v>#DIV/0!</v>
      </c>
      <c r="AB259" s="45" t="e">
        <f t="shared" si="189"/>
        <v>#DIV/0!</v>
      </c>
      <c r="AC259" s="45" t="e">
        <f t="shared" si="189"/>
        <v>#DIV/0!</v>
      </c>
      <c r="AD259" s="45" t="e">
        <f t="shared" si="189"/>
        <v>#DIV/0!</v>
      </c>
      <c r="AE259" s="11"/>
      <c r="AF259" s="11"/>
    </row>
    <row r="260" spans="1:32" x14ac:dyDescent="0.2">
      <c r="A260" s="12" t="s">
        <v>84</v>
      </c>
      <c r="B260" s="74" t="s">
        <v>85</v>
      </c>
      <c r="C260" s="10" t="s">
        <v>186</v>
      </c>
      <c r="D260" s="10" t="s">
        <v>266</v>
      </c>
      <c r="E260" s="13" t="s">
        <v>187</v>
      </c>
      <c r="F260" s="45">
        <f t="shared" ref="F260" si="190">F259*1.2</f>
        <v>291.58919999999995</v>
      </c>
      <c r="G260" s="45">
        <f>G259*1.2</f>
        <v>229.69631999999999</v>
      </c>
      <c r="H260" s="45">
        <f>H259*1.2</f>
        <v>918.33839999999998</v>
      </c>
      <c r="I260" s="45"/>
      <c r="J260" s="45"/>
      <c r="K260" s="45"/>
      <c r="L260" s="45"/>
      <c r="M260" s="58"/>
      <c r="N260" s="45"/>
      <c r="O260" s="45"/>
      <c r="P260" s="45"/>
      <c r="Q260" s="45" t="e">
        <f t="shared" ref="Q260:AD260" si="191">Q259*1.2</f>
        <v>#DIV/0!</v>
      </c>
      <c r="R260" s="45" t="e">
        <f t="shared" si="191"/>
        <v>#DIV/0!</v>
      </c>
      <c r="S260" s="45" t="e">
        <f t="shared" si="191"/>
        <v>#DIV/0!</v>
      </c>
      <c r="T260" s="45" t="e">
        <f t="shared" si="191"/>
        <v>#DIV/0!</v>
      </c>
      <c r="U260" s="45" t="e">
        <f t="shared" si="191"/>
        <v>#DIV/0!</v>
      </c>
      <c r="V260" s="45" t="e">
        <f t="shared" si="191"/>
        <v>#DIV/0!</v>
      </c>
      <c r="W260" s="45" t="e">
        <f t="shared" si="191"/>
        <v>#DIV/0!</v>
      </c>
      <c r="X260" s="45" t="e">
        <f t="shared" si="191"/>
        <v>#DIV/0!</v>
      </c>
      <c r="Y260" s="45" t="e">
        <f t="shared" si="191"/>
        <v>#DIV/0!</v>
      </c>
      <c r="Z260" s="45" t="e">
        <f t="shared" si="191"/>
        <v>#DIV/0!</v>
      </c>
      <c r="AA260" s="45" t="e">
        <f t="shared" si="191"/>
        <v>#DIV/0!</v>
      </c>
      <c r="AB260" s="45" t="e">
        <f t="shared" si="191"/>
        <v>#DIV/0!</v>
      </c>
      <c r="AC260" s="45" t="e">
        <f t="shared" si="191"/>
        <v>#DIV/0!</v>
      </c>
      <c r="AD260" s="45" t="e">
        <f t="shared" si="191"/>
        <v>#DIV/0!</v>
      </c>
      <c r="AE260" s="11"/>
      <c r="AF260" s="11"/>
    </row>
    <row r="261" spans="1:32" x14ac:dyDescent="0.2">
      <c r="A261" s="13" t="s">
        <v>126</v>
      </c>
      <c r="B261" s="60" t="s">
        <v>127</v>
      </c>
      <c r="D261" s="10" t="s">
        <v>266</v>
      </c>
      <c r="E261" s="13" t="s">
        <v>35</v>
      </c>
      <c r="F261" s="112">
        <v>0.95</v>
      </c>
      <c r="G261" s="112">
        <f>Table1[[#This Row],[Clinial Production]]</f>
        <v>0.95</v>
      </c>
      <c r="H261" s="112">
        <f>Table1[[#This Row],[2000L, MCC High cellular productivity]]</f>
        <v>0.95</v>
      </c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"/>
      <c r="AF261" s="11"/>
    </row>
    <row r="262" spans="1:32" s="12" customFormat="1" x14ac:dyDescent="0.2">
      <c r="A262" s="12" t="s">
        <v>84</v>
      </c>
      <c r="B262" s="74" t="s">
        <v>85</v>
      </c>
      <c r="C262" s="10" t="s">
        <v>279</v>
      </c>
      <c r="D262" s="10" t="s">
        <v>266</v>
      </c>
      <c r="E262" s="13" t="s">
        <v>280</v>
      </c>
      <c r="F262" s="35">
        <f>F227*F261/F246</f>
        <v>6427.7403749999994</v>
      </c>
      <c r="G262" s="35">
        <f>G227*G261/G246</f>
        <v>6170.63076</v>
      </c>
      <c r="H262" s="35">
        <f>H227*H261/H246</f>
        <v>24682.52304</v>
      </c>
      <c r="I262" s="35"/>
      <c r="J262" s="35"/>
      <c r="K262" s="35"/>
      <c r="L262" s="35"/>
      <c r="M262" s="56"/>
      <c r="N262" s="35"/>
      <c r="O262" s="35"/>
      <c r="P262" s="35"/>
      <c r="Q262" s="35" t="e">
        <f t="shared" ref="Q262:AD262" si="192">Q227*Q261/Q246</f>
        <v>#DIV/0!</v>
      </c>
      <c r="R262" s="35" t="e">
        <f t="shared" si="192"/>
        <v>#DIV/0!</v>
      </c>
      <c r="S262" s="35" t="e">
        <f t="shared" si="192"/>
        <v>#DIV/0!</v>
      </c>
      <c r="T262" s="35" t="e">
        <f t="shared" si="192"/>
        <v>#DIV/0!</v>
      </c>
      <c r="U262" s="35" t="e">
        <f t="shared" si="192"/>
        <v>#DIV/0!</v>
      </c>
      <c r="V262" s="35" t="e">
        <f t="shared" si="192"/>
        <v>#DIV/0!</v>
      </c>
      <c r="W262" s="35" t="e">
        <f t="shared" si="192"/>
        <v>#DIV/0!</v>
      </c>
      <c r="X262" s="35" t="e">
        <f t="shared" si="192"/>
        <v>#DIV/0!</v>
      </c>
      <c r="Y262" s="35" t="e">
        <f t="shared" si="192"/>
        <v>#DIV/0!</v>
      </c>
      <c r="Z262" s="35" t="e">
        <f t="shared" si="192"/>
        <v>#DIV/0!</v>
      </c>
      <c r="AA262" s="35" t="e">
        <f t="shared" si="192"/>
        <v>#DIV/0!</v>
      </c>
      <c r="AB262" s="35" t="e">
        <f t="shared" si="192"/>
        <v>#DIV/0!</v>
      </c>
      <c r="AC262" s="35" t="e">
        <f t="shared" si="192"/>
        <v>#DIV/0!</v>
      </c>
      <c r="AD262" s="35" t="e">
        <f t="shared" si="192"/>
        <v>#DIV/0!</v>
      </c>
      <c r="AE262" s="1"/>
      <c r="AF262" s="1"/>
    </row>
    <row r="263" spans="1:32" s="12" customFormat="1" x14ac:dyDescent="0.2">
      <c r="A263" s="12" t="s">
        <v>84</v>
      </c>
      <c r="B263" s="60" t="s">
        <v>127</v>
      </c>
      <c r="C263" s="10" t="s">
        <v>233</v>
      </c>
      <c r="D263" s="10" t="s">
        <v>266</v>
      </c>
      <c r="E263" s="13" t="s">
        <v>281</v>
      </c>
      <c r="F263" s="80">
        <f>F262/F259</f>
        <v>26.452586206896555</v>
      </c>
      <c r="G263" s="80">
        <f>G262/G259</f>
        <v>32.237159533073928</v>
      </c>
      <c r="H263" s="80">
        <f>H262/H259</f>
        <v>32.252846715328467</v>
      </c>
      <c r="I263" s="80"/>
      <c r="J263" s="80"/>
      <c r="K263" s="80"/>
      <c r="L263" s="80"/>
      <c r="M263" s="81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1"/>
      <c r="AF263" s="1"/>
    </row>
    <row r="264" spans="1:32" s="12" customFormat="1" x14ac:dyDescent="0.2">
      <c r="A264" s="12" t="s">
        <v>84</v>
      </c>
      <c r="B264" s="60" t="s">
        <v>85</v>
      </c>
      <c r="C264" s="10" t="s">
        <v>188</v>
      </c>
      <c r="D264" s="10" t="s">
        <v>266</v>
      </c>
      <c r="E264" s="13" t="s">
        <v>282</v>
      </c>
      <c r="F264" s="80">
        <f>F262*F246</f>
        <v>6427.7403749999994</v>
      </c>
      <c r="G264" s="80">
        <f>G262*G246</f>
        <v>123412.6152</v>
      </c>
      <c r="H264" s="80">
        <f>H262*H246</f>
        <v>493650.4608</v>
      </c>
      <c r="I264" s="80"/>
      <c r="J264" s="80"/>
      <c r="K264" s="80"/>
      <c r="L264" s="80"/>
      <c r="M264" s="81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1"/>
      <c r="AF264" s="1"/>
    </row>
    <row r="265" spans="1:32" x14ac:dyDescent="0.2">
      <c r="A265" s="12" t="s">
        <v>84</v>
      </c>
      <c r="B265" s="60" t="s">
        <v>127</v>
      </c>
      <c r="C265" s="10" t="s">
        <v>186</v>
      </c>
      <c r="D265" s="10" t="s">
        <v>266</v>
      </c>
      <c r="E265" s="13" t="s">
        <v>245</v>
      </c>
      <c r="F265" s="80">
        <f>F254*F246</f>
        <v>15.3</v>
      </c>
      <c r="G265" s="80">
        <f>G254*G246</f>
        <v>306</v>
      </c>
      <c r="H265" s="80">
        <f>H254*H246</f>
        <v>765</v>
      </c>
      <c r="I265" s="80"/>
      <c r="J265" s="80"/>
      <c r="K265" s="80"/>
      <c r="L265" s="80"/>
      <c r="M265" s="81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11"/>
      <c r="AF265" s="11"/>
    </row>
    <row r="266" spans="1:32" x14ac:dyDescent="0.2">
      <c r="A266" s="12" t="s">
        <v>84</v>
      </c>
      <c r="B266" s="60" t="s">
        <v>85</v>
      </c>
      <c r="C266" s="10" t="s">
        <v>186</v>
      </c>
      <c r="D266" s="10" t="s">
        <v>266</v>
      </c>
      <c r="E266" s="13" t="s">
        <v>246</v>
      </c>
      <c r="F266" s="80">
        <f>F255*F246</f>
        <v>112.2</v>
      </c>
      <c r="G266" s="80">
        <f>G255*G246</f>
        <v>2244</v>
      </c>
      <c r="H266" s="80">
        <f>H255*H246</f>
        <v>6885</v>
      </c>
      <c r="I266" s="80"/>
      <c r="J266" s="80"/>
      <c r="K266" s="80"/>
      <c r="L266" s="80"/>
      <c r="M266" s="81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11"/>
      <c r="AF266" s="11"/>
    </row>
    <row r="267" spans="1:32" x14ac:dyDescent="0.2">
      <c r="A267" s="12" t="s">
        <v>84</v>
      </c>
      <c r="B267" s="60" t="s">
        <v>127</v>
      </c>
      <c r="C267" s="10" t="s">
        <v>186</v>
      </c>
      <c r="D267" s="10" t="s">
        <v>266</v>
      </c>
      <c r="E267" s="13" t="s">
        <v>283</v>
      </c>
      <c r="F267" s="128">
        <f>F259*F246</f>
        <v>242.99099999999996</v>
      </c>
      <c r="G267" s="80">
        <f>G259*G246</f>
        <v>3828.2719999999999</v>
      </c>
      <c r="H267" s="80">
        <f>H259*H246</f>
        <v>15305.640000000001</v>
      </c>
      <c r="I267" s="128"/>
      <c r="J267" s="80"/>
      <c r="K267" s="80"/>
      <c r="L267" s="80"/>
      <c r="M267" s="81"/>
      <c r="N267" s="80"/>
      <c r="O267" s="80"/>
      <c r="P267" s="80"/>
      <c r="Q267" s="128"/>
      <c r="R267" s="80"/>
      <c r="S267" s="128"/>
      <c r="T267" s="80"/>
      <c r="U267" s="128"/>
      <c r="V267" s="80"/>
      <c r="W267" s="80"/>
      <c r="X267" s="80"/>
      <c r="Y267" s="80"/>
      <c r="Z267" s="80"/>
      <c r="AA267" s="80"/>
      <c r="AB267" s="80"/>
      <c r="AC267" s="80"/>
      <c r="AD267" s="80"/>
      <c r="AE267" s="11"/>
      <c r="AF267" s="11"/>
    </row>
    <row r="268" spans="1:32" x14ac:dyDescent="0.2">
      <c r="A268" s="12" t="s">
        <v>84</v>
      </c>
      <c r="B268" s="74" t="s">
        <v>85</v>
      </c>
      <c r="C268" s="10" t="s">
        <v>186</v>
      </c>
      <c r="D268" s="10" t="s">
        <v>266</v>
      </c>
      <c r="E268" s="13" t="s">
        <v>284</v>
      </c>
      <c r="F268" s="40">
        <f t="shared" ref="F268" si="193">F267*1.2</f>
        <v>291.58919999999995</v>
      </c>
      <c r="G268" s="40">
        <f>G267*1.2</f>
        <v>4593.9263999999994</v>
      </c>
      <c r="H268" s="40">
        <f>H267*1.2</f>
        <v>18366.768</v>
      </c>
      <c r="I268" s="40"/>
      <c r="J268" s="40"/>
      <c r="K268" s="40"/>
      <c r="L268" s="40"/>
      <c r="M268" s="55"/>
      <c r="N268" s="35"/>
      <c r="O268" s="35"/>
      <c r="P268" s="35"/>
      <c r="Q268" s="40">
        <f t="shared" ref="Q268:AD268" si="194">Q267*1.2</f>
        <v>0</v>
      </c>
      <c r="R268" s="40">
        <f t="shared" si="194"/>
        <v>0</v>
      </c>
      <c r="S268" s="40">
        <f t="shared" si="194"/>
        <v>0</v>
      </c>
      <c r="T268" s="40">
        <f t="shared" si="194"/>
        <v>0</v>
      </c>
      <c r="U268" s="40">
        <f t="shared" si="194"/>
        <v>0</v>
      </c>
      <c r="V268" s="40">
        <f t="shared" si="194"/>
        <v>0</v>
      </c>
      <c r="W268" s="40">
        <f t="shared" si="194"/>
        <v>0</v>
      </c>
      <c r="X268" s="35">
        <f t="shared" si="194"/>
        <v>0</v>
      </c>
      <c r="Y268" s="40">
        <f t="shared" si="194"/>
        <v>0</v>
      </c>
      <c r="Z268" s="35">
        <f t="shared" si="194"/>
        <v>0</v>
      </c>
      <c r="AA268" s="40">
        <f t="shared" si="194"/>
        <v>0</v>
      </c>
      <c r="AB268" s="35">
        <f t="shared" si="194"/>
        <v>0</v>
      </c>
      <c r="AC268" s="40">
        <f t="shared" si="194"/>
        <v>0</v>
      </c>
      <c r="AD268" s="35">
        <f t="shared" si="194"/>
        <v>0</v>
      </c>
      <c r="AE268" s="11"/>
      <c r="AF268" s="11"/>
    </row>
    <row r="269" spans="1:32" s="12" customFormat="1" hidden="1" x14ac:dyDescent="0.2">
      <c r="C269" s="4"/>
      <c r="D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"/>
      <c r="AF269" s="1"/>
    </row>
    <row r="270" spans="1:32" ht="26" x14ac:dyDescent="0.3">
      <c r="A270" s="10" t="s">
        <v>57</v>
      </c>
      <c r="B270" s="75" t="s">
        <v>127</v>
      </c>
      <c r="D270" s="10" t="s">
        <v>285</v>
      </c>
      <c r="E270" s="22" t="s">
        <v>286</v>
      </c>
      <c r="F270" s="104"/>
      <c r="G270" s="104"/>
      <c r="H270" s="104"/>
      <c r="I270" s="104"/>
      <c r="J270" s="104"/>
      <c r="K270" s="104"/>
      <c r="L270" s="104"/>
      <c r="M270" s="105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1"/>
      <c r="AF270" s="11"/>
    </row>
    <row r="271" spans="1:32" x14ac:dyDescent="0.2">
      <c r="A271" s="13" t="s">
        <v>126</v>
      </c>
      <c r="B271" s="60" t="s">
        <v>127</v>
      </c>
      <c r="D271" s="10" t="s">
        <v>285</v>
      </c>
      <c r="E271" s="13" t="s">
        <v>156</v>
      </c>
      <c r="F271" s="104">
        <v>1000</v>
      </c>
      <c r="G271" s="104">
        <v>1000</v>
      </c>
      <c r="H271" s="104">
        <v>1000</v>
      </c>
      <c r="I271" s="104"/>
      <c r="J271" s="104"/>
      <c r="K271" s="104"/>
      <c r="L271" s="104"/>
      <c r="M271" s="105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1"/>
      <c r="AF271" s="11"/>
    </row>
    <row r="272" spans="1:32" x14ac:dyDescent="0.2">
      <c r="A272" s="13" t="s">
        <v>126</v>
      </c>
      <c r="B272" s="60" t="s">
        <v>127</v>
      </c>
      <c r="D272" s="10" t="s">
        <v>285</v>
      </c>
      <c r="E272" s="13" t="s">
        <v>35</v>
      </c>
      <c r="F272" s="112">
        <v>0.95</v>
      </c>
      <c r="G272" s="112">
        <f>Table1[[#This Row],[Clinial Production]]</f>
        <v>0.95</v>
      </c>
      <c r="H272" s="112">
        <f>Table1[[#This Row],[2000L, MCC High cellular productivity]]</f>
        <v>0.95</v>
      </c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"/>
      <c r="AF272" s="11"/>
    </row>
    <row r="273" spans="1:32" x14ac:dyDescent="0.2">
      <c r="A273" s="13" t="s">
        <v>126</v>
      </c>
      <c r="B273" s="60" t="s">
        <v>127</v>
      </c>
      <c r="D273" s="10" t="s">
        <v>285</v>
      </c>
      <c r="E273" s="13" t="s">
        <v>48</v>
      </c>
      <c r="F273" s="104">
        <v>390</v>
      </c>
      <c r="G273" s="104">
        <v>390</v>
      </c>
      <c r="H273" s="104">
        <v>390</v>
      </c>
      <c r="I273" s="104"/>
      <c r="J273" s="104"/>
      <c r="K273" s="104"/>
      <c r="L273" s="104"/>
      <c r="M273" s="105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1"/>
      <c r="AF273" s="11"/>
    </row>
    <row r="274" spans="1:32" s="12" customFormat="1" x14ac:dyDescent="0.2">
      <c r="A274" s="12" t="s">
        <v>84</v>
      </c>
      <c r="B274" s="74" t="s">
        <v>85</v>
      </c>
      <c r="C274" s="4"/>
      <c r="D274" s="10" t="s">
        <v>285</v>
      </c>
      <c r="E274" s="13" t="s">
        <v>287</v>
      </c>
      <c r="F274" s="52">
        <f>F246</f>
        <v>1</v>
      </c>
      <c r="G274" s="52">
        <f>G246</f>
        <v>20</v>
      </c>
      <c r="H274" s="52">
        <f>H246</f>
        <v>20</v>
      </c>
      <c r="I274" s="52"/>
      <c r="J274" s="52"/>
      <c r="K274" s="52"/>
      <c r="L274" s="52"/>
      <c r="M274" s="69"/>
      <c r="N274" s="52"/>
      <c r="O274" s="52"/>
      <c r="P274" s="52"/>
      <c r="Q274" s="52">
        <f t="shared" ref="Q274:AD274" si="195">Q246</f>
        <v>0</v>
      </c>
      <c r="R274" s="52">
        <f t="shared" si="195"/>
        <v>0</v>
      </c>
      <c r="S274" s="52">
        <f t="shared" si="195"/>
        <v>0</v>
      </c>
      <c r="T274" s="52">
        <f t="shared" si="195"/>
        <v>0</v>
      </c>
      <c r="U274" s="52">
        <f t="shared" si="195"/>
        <v>0</v>
      </c>
      <c r="V274" s="52">
        <f t="shared" si="195"/>
        <v>0</v>
      </c>
      <c r="W274" s="52">
        <f t="shared" si="195"/>
        <v>0</v>
      </c>
      <c r="X274" s="52">
        <f t="shared" si="195"/>
        <v>0</v>
      </c>
      <c r="Y274" s="52">
        <f t="shared" si="195"/>
        <v>0</v>
      </c>
      <c r="Z274" s="52">
        <f t="shared" si="195"/>
        <v>0</v>
      </c>
      <c r="AA274" s="52">
        <f t="shared" si="195"/>
        <v>0</v>
      </c>
      <c r="AB274" s="52">
        <f t="shared" si="195"/>
        <v>0</v>
      </c>
      <c r="AC274" s="52">
        <f t="shared" si="195"/>
        <v>0</v>
      </c>
      <c r="AD274" s="52">
        <f t="shared" si="195"/>
        <v>0</v>
      </c>
      <c r="AE274" s="1"/>
      <c r="AF274" s="1"/>
    </row>
    <row r="275" spans="1:32" s="12" customFormat="1" x14ac:dyDescent="0.2">
      <c r="A275" s="13" t="s">
        <v>126</v>
      </c>
      <c r="B275" s="60" t="s">
        <v>85</v>
      </c>
      <c r="C275" s="4"/>
      <c r="D275" s="10" t="s">
        <v>285</v>
      </c>
      <c r="E275" s="13" t="s">
        <v>288</v>
      </c>
      <c r="F275" s="160">
        <v>22</v>
      </c>
      <c r="G275" s="160">
        <v>22</v>
      </c>
      <c r="H275" s="160">
        <v>22</v>
      </c>
      <c r="I275" s="160"/>
      <c r="J275" s="160"/>
      <c r="K275" s="52"/>
      <c r="L275" s="52"/>
      <c r="M275" s="52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1"/>
      <c r="AF275" s="1"/>
    </row>
    <row r="276" spans="1:32" x14ac:dyDescent="0.2">
      <c r="A276" s="12" t="s">
        <v>84</v>
      </c>
      <c r="B276" s="60" t="s">
        <v>127</v>
      </c>
      <c r="C276" s="10" t="s">
        <v>195</v>
      </c>
      <c r="D276" s="10" t="s">
        <v>285</v>
      </c>
      <c r="E276" s="13" t="s">
        <v>289</v>
      </c>
      <c r="F276" s="119">
        <f>F280*F273/60</f>
        <v>0.75134873863636342</v>
      </c>
      <c r="G276" s="119">
        <f>G280*G273/60</f>
        <v>0.44647111232323228</v>
      </c>
      <c r="H276" s="119">
        <f>H280*H273/60</f>
        <v>1.7834393987878789</v>
      </c>
      <c r="I276" s="119"/>
      <c r="J276" s="119"/>
      <c r="K276" s="119"/>
      <c r="L276" s="119"/>
      <c r="M276" s="103"/>
      <c r="N276" s="102"/>
      <c r="O276" s="102"/>
      <c r="P276" s="102"/>
      <c r="Q276" s="119"/>
      <c r="R276" s="119"/>
      <c r="S276" s="119"/>
      <c r="T276" s="119"/>
      <c r="U276" s="119"/>
      <c r="V276" s="119"/>
      <c r="W276" s="102"/>
      <c r="X276" s="102"/>
      <c r="Y276" s="102"/>
      <c r="Z276" s="102"/>
      <c r="AA276" s="102"/>
      <c r="AB276" s="102"/>
      <c r="AC276" s="102"/>
      <c r="AD276" s="102"/>
      <c r="AE276" s="11"/>
      <c r="AF276" s="11"/>
    </row>
    <row r="277" spans="1:32" x14ac:dyDescent="0.2">
      <c r="A277" s="13" t="s">
        <v>126</v>
      </c>
      <c r="B277" s="60" t="s">
        <v>127</v>
      </c>
      <c r="D277" s="10" t="s">
        <v>285</v>
      </c>
      <c r="E277" s="13" t="s">
        <v>50</v>
      </c>
      <c r="F277" s="104">
        <v>45</v>
      </c>
      <c r="G277" s="104">
        <v>45</v>
      </c>
      <c r="H277" s="104">
        <v>45</v>
      </c>
      <c r="I277" s="104"/>
      <c r="J277" s="104"/>
      <c r="K277" s="104"/>
      <c r="L277" s="104"/>
      <c r="M277" s="105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1"/>
      <c r="AF277" s="11"/>
    </row>
    <row r="278" spans="1:32" x14ac:dyDescent="0.2">
      <c r="A278" s="13" t="s">
        <v>126</v>
      </c>
      <c r="B278" s="60" t="s">
        <v>127</v>
      </c>
      <c r="D278" s="10" t="s">
        <v>285</v>
      </c>
      <c r="E278" s="13" t="s">
        <v>51</v>
      </c>
      <c r="F278" s="104">
        <v>50</v>
      </c>
      <c r="G278" s="104">
        <v>50</v>
      </c>
      <c r="H278" s="104">
        <v>50</v>
      </c>
      <c r="I278" s="104"/>
      <c r="J278" s="104"/>
      <c r="K278" s="104"/>
      <c r="L278" s="104"/>
      <c r="M278" s="105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1"/>
      <c r="AF278" s="11"/>
    </row>
    <row r="279" spans="1:32" s="12" customFormat="1" x14ac:dyDescent="0.2">
      <c r="A279" s="13" t="s">
        <v>84</v>
      </c>
      <c r="B279" s="74" t="s">
        <v>85</v>
      </c>
      <c r="C279" s="4" t="s">
        <v>186</v>
      </c>
      <c r="D279" s="10" t="s">
        <v>285</v>
      </c>
      <c r="E279" s="12" t="s">
        <v>290</v>
      </c>
      <c r="F279" s="41">
        <f>F262/F278</f>
        <v>128.55480749999998</v>
      </c>
      <c r="G279" s="41">
        <f>G262/G278</f>
        <v>123.4126152</v>
      </c>
      <c r="H279" s="41">
        <f>H262/H278</f>
        <v>493.65046080000002</v>
      </c>
      <c r="I279" s="41"/>
      <c r="J279" s="41"/>
      <c r="K279" s="41"/>
      <c r="L279" s="41"/>
      <c r="M279" s="62"/>
      <c r="N279" s="41"/>
      <c r="O279" s="41"/>
      <c r="P279" s="41"/>
      <c r="Q279" s="41" t="e">
        <f t="shared" ref="Q279:AD279" si="196">Q262/Q278</f>
        <v>#DIV/0!</v>
      </c>
      <c r="R279" s="41" t="e">
        <f t="shared" si="196"/>
        <v>#DIV/0!</v>
      </c>
      <c r="S279" s="41" t="e">
        <f t="shared" si="196"/>
        <v>#DIV/0!</v>
      </c>
      <c r="T279" s="41" t="e">
        <f t="shared" si="196"/>
        <v>#DIV/0!</v>
      </c>
      <c r="U279" s="41" t="e">
        <f t="shared" si="196"/>
        <v>#DIV/0!</v>
      </c>
      <c r="V279" s="41" t="e">
        <f t="shared" si="196"/>
        <v>#DIV/0!</v>
      </c>
      <c r="W279" s="41" t="e">
        <f t="shared" si="196"/>
        <v>#DIV/0!</v>
      </c>
      <c r="X279" s="41" t="e">
        <f t="shared" si="196"/>
        <v>#DIV/0!</v>
      </c>
      <c r="Y279" s="41" t="e">
        <f t="shared" si="196"/>
        <v>#DIV/0!</v>
      </c>
      <c r="Z279" s="41" t="e">
        <f t="shared" si="196"/>
        <v>#DIV/0!</v>
      </c>
      <c r="AA279" s="41" t="e">
        <f t="shared" si="196"/>
        <v>#DIV/0!</v>
      </c>
      <c r="AB279" s="41" t="e">
        <f t="shared" si="196"/>
        <v>#DIV/0!</v>
      </c>
      <c r="AC279" s="41" t="e">
        <f t="shared" si="196"/>
        <v>#DIV/0!</v>
      </c>
      <c r="AD279" s="41" t="e">
        <f t="shared" si="196"/>
        <v>#DIV/0!</v>
      </c>
      <c r="AE279" s="1"/>
      <c r="AF279" s="1"/>
    </row>
    <row r="280" spans="1:32" s="12" customFormat="1" x14ac:dyDescent="0.2">
      <c r="A280" s="12" t="s">
        <v>84</v>
      </c>
      <c r="B280" s="74" t="s">
        <v>85</v>
      </c>
      <c r="C280" s="4" t="s">
        <v>268</v>
      </c>
      <c r="D280" s="10" t="s">
        <v>285</v>
      </c>
      <c r="E280" s="12" t="s">
        <v>291</v>
      </c>
      <c r="F280" s="53">
        <f>(F259-F279)/F277/(F275)</f>
        <v>0.11559211363636361</v>
      </c>
      <c r="G280" s="53">
        <f t="shared" ref="G280:H280" si="197">(G259-G279)/G277/(G275)</f>
        <v>6.8687863434343424E-2</v>
      </c>
      <c r="H280" s="53">
        <f t="shared" si="197"/>
        <v>0.27437529212121214</v>
      </c>
      <c r="I280" s="53"/>
      <c r="J280" s="53"/>
      <c r="K280" s="42"/>
      <c r="L280" s="53"/>
      <c r="M280" s="53"/>
      <c r="N280" s="42"/>
      <c r="O280" s="42"/>
      <c r="P280" s="42"/>
      <c r="Q280" s="53" t="e">
        <f t="shared" ref="Q280:AD280" si="198">Q262/Q271</f>
        <v>#DIV/0!</v>
      </c>
      <c r="R280" s="53" t="e">
        <f t="shared" si="198"/>
        <v>#DIV/0!</v>
      </c>
      <c r="S280" s="53" t="e">
        <f t="shared" si="198"/>
        <v>#DIV/0!</v>
      </c>
      <c r="T280" s="53" t="e">
        <f t="shared" si="198"/>
        <v>#DIV/0!</v>
      </c>
      <c r="U280" s="53" t="e">
        <f t="shared" si="198"/>
        <v>#DIV/0!</v>
      </c>
      <c r="V280" s="53" t="e">
        <f t="shared" si="198"/>
        <v>#DIV/0!</v>
      </c>
      <c r="W280" s="42" t="e">
        <f t="shared" si="198"/>
        <v>#DIV/0!</v>
      </c>
      <c r="X280" s="42" t="e">
        <f t="shared" si="198"/>
        <v>#DIV/0!</v>
      </c>
      <c r="Y280" s="42" t="e">
        <f t="shared" si="198"/>
        <v>#DIV/0!</v>
      </c>
      <c r="Z280" s="42" t="e">
        <f t="shared" si="198"/>
        <v>#DIV/0!</v>
      </c>
      <c r="AA280" s="42" t="e">
        <f t="shared" si="198"/>
        <v>#DIV/0!</v>
      </c>
      <c r="AB280" s="42" t="e">
        <f t="shared" si="198"/>
        <v>#DIV/0!</v>
      </c>
      <c r="AC280" s="42" t="e">
        <f t="shared" si="198"/>
        <v>#DIV/0!</v>
      </c>
      <c r="AD280" s="42" t="e">
        <f t="shared" si="198"/>
        <v>#DIV/0!</v>
      </c>
      <c r="AE280" s="1"/>
      <c r="AF280" s="1"/>
    </row>
    <row r="281" spans="1:32" s="12" customFormat="1" x14ac:dyDescent="0.2">
      <c r="A281" s="13" t="s">
        <v>84</v>
      </c>
      <c r="B281" s="60" t="s">
        <v>85</v>
      </c>
      <c r="C281" s="4"/>
      <c r="D281" s="10" t="s">
        <v>285</v>
      </c>
      <c r="E281" s="12" t="s">
        <v>292</v>
      </c>
      <c r="F281" s="42">
        <f>(F259-F279)/(F275)/60</f>
        <v>8.6694085227272705E-2</v>
      </c>
      <c r="G281" s="42">
        <f t="shared" ref="G281:H281" si="199">(G259-G279)/(G275)/60</f>
        <v>5.1515897575757572E-2</v>
      </c>
      <c r="H281" s="42">
        <f t="shared" si="199"/>
        <v>0.20578146909090911</v>
      </c>
      <c r="I281" s="3"/>
      <c r="J281" s="3"/>
      <c r="K281" s="4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1"/>
      <c r="AF281" s="1"/>
    </row>
    <row r="282" spans="1:32" s="12" customFormat="1" x14ac:dyDescent="0.2">
      <c r="A282" s="13" t="s">
        <v>126</v>
      </c>
      <c r="B282" s="60" t="s">
        <v>85</v>
      </c>
      <c r="C282" s="4"/>
      <c r="D282" s="10" t="s">
        <v>285</v>
      </c>
      <c r="E282" s="13" t="s">
        <v>293</v>
      </c>
      <c r="F282" s="42">
        <v>22</v>
      </c>
      <c r="G282" s="42">
        <v>22</v>
      </c>
      <c r="H282" s="42">
        <v>22</v>
      </c>
      <c r="I282" s="3"/>
      <c r="J282" s="3"/>
      <c r="K282" s="4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1"/>
      <c r="AF282" s="1"/>
    </row>
    <row r="283" spans="1:32" x14ac:dyDescent="0.2">
      <c r="A283" s="13" t="s">
        <v>126</v>
      </c>
      <c r="B283" s="60" t="s">
        <v>127</v>
      </c>
      <c r="D283" s="10" t="s">
        <v>285</v>
      </c>
      <c r="E283" s="13" t="s">
        <v>294</v>
      </c>
      <c r="F283" s="104">
        <v>6</v>
      </c>
      <c r="G283" s="80">
        <f>Table1[[#This Row],[Clinial Production]]</f>
        <v>6</v>
      </c>
      <c r="H283" s="80">
        <f>Table1[[#This Row],[2000L, MCC High cellular productivity]]</f>
        <v>6</v>
      </c>
      <c r="I283" s="80"/>
      <c r="J283" s="80"/>
      <c r="K283" s="80"/>
      <c r="L283" s="80"/>
      <c r="M283" s="80"/>
      <c r="N283" s="80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1"/>
      <c r="AF283" s="11"/>
    </row>
    <row r="284" spans="1:32" x14ac:dyDescent="0.2">
      <c r="A284" s="13" t="s">
        <v>84</v>
      </c>
      <c r="B284" s="74" t="s">
        <v>85</v>
      </c>
      <c r="C284" s="10" t="s">
        <v>186</v>
      </c>
      <c r="D284" s="10" t="s">
        <v>285</v>
      </c>
      <c r="E284" s="13" t="s">
        <v>295</v>
      </c>
      <c r="F284" s="40">
        <f t="shared" ref="F284" si="200">F279*F283</f>
        <v>771.32884499999989</v>
      </c>
      <c r="G284" s="40">
        <f>G279*G283</f>
        <v>740.47569120000003</v>
      </c>
      <c r="H284" s="40">
        <f>H279*H283</f>
        <v>2961.9027648000001</v>
      </c>
      <c r="I284" s="40"/>
      <c r="J284" s="40"/>
      <c r="K284" s="40"/>
      <c r="L284" s="40"/>
      <c r="M284" s="55"/>
      <c r="N284" s="40"/>
      <c r="O284" s="40"/>
      <c r="P284" s="40"/>
      <c r="Q284" s="40" t="e">
        <f t="shared" ref="Q284:AD284" si="201">Q279*Q283</f>
        <v>#DIV/0!</v>
      </c>
      <c r="R284" s="40" t="e">
        <f t="shared" si="201"/>
        <v>#DIV/0!</v>
      </c>
      <c r="S284" s="40" t="e">
        <f t="shared" si="201"/>
        <v>#DIV/0!</v>
      </c>
      <c r="T284" s="40" t="e">
        <f t="shared" si="201"/>
        <v>#DIV/0!</v>
      </c>
      <c r="U284" s="40" t="e">
        <f t="shared" si="201"/>
        <v>#DIV/0!</v>
      </c>
      <c r="V284" s="40" t="e">
        <f t="shared" si="201"/>
        <v>#DIV/0!</v>
      </c>
      <c r="W284" s="40" t="e">
        <f t="shared" si="201"/>
        <v>#DIV/0!</v>
      </c>
      <c r="X284" s="40" t="e">
        <f t="shared" si="201"/>
        <v>#DIV/0!</v>
      </c>
      <c r="Y284" s="40" t="e">
        <f t="shared" si="201"/>
        <v>#DIV/0!</v>
      </c>
      <c r="Z284" s="40" t="e">
        <f t="shared" si="201"/>
        <v>#DIV/0!</v>
      </c>
      <c r="AA284" s="40" t="e">
        <f t="shared" si="201"/>
        <v>#DIV/0!</v>
      </c>
      <c r="AB284" s="40" t="e">
        <f t="shared" si="201"/>
        <v>#DIV/0!</v>
      </c>
      <c r="AC284" s="40" t="e">
        <f t="shared" si="201"/>
        <v>#DIV/0!</v>
      </c>
      <c r="AD284" s="40" t="e">
        <f t="shared" si="201"/>
        <v>#DIV/0!</v>
      </c>
      <c r="AE284" s="11"/>
      <c r="AF284" s="11"/>
    </row>
    <row r="285" spans="1:32" x14ac:dyDescent="0.2">
      <c r="A285" s="13" t="s">
        <v>84</v>
      </c>
      <c r="B285" s="60" t="s">
        <v>127</v>
      </c>
      <c r="D285" s="10" t="s">
        <v>285</v>
      </c>
      <c r="E285" s="13" t="s">
        <v>296</v>
      </c>
      <c r="F285" s="45">
        <f>F284/F277/(F282)</f>
        <v>0.77912004545454538</v>
      </c>
      <c r="G285" s="45">
        <f t="shared" ref="G285:H285" si="202">G284/G277/(G282)</f>
        <v>0.74795524363636368</v>
      </c>
      <c r="H285" s="45">
        <f t="shared" si="202"/>
        <v>2.9918209745454547</v>
      </c>
      <c r="I285" s="45"/>
      <c r="J285" s="45"/>
      <c r="K285" s="40"/>
      <c r="L285" s="8"/>
      <c r="M285" s="133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11"/>
      <c r="AF285" s="11"/>
    </row>
    <row r="286" spans="1:32" x14ac:dyDescent="0.2">
      <c r="A286" s="13" t="s">
        <v>84</v>
      </c>
      <c r="B286" s="60" t="s">
        <v>127</v>
      </c>
      <c r="D286" s="10" t="s">
        <v>285</v>
      </c>
      <c r="E286" s="13" t="s">
        <v>297</v>
      </c>
      <c r="F286" s="45">
        <f>F273*F285/60</f>
        <v>5.0642802954545454</v>
      </c>
      <c r="G286" s="45">
        <f t="shared" ref="G286:H286" si="203">G273*G285/60</f>
        <v>4.8617090836363639</v>
      </c>
      <c r="H286" s="45">
        <f t="shared" si="203"/>
        <v>19.446836334545456</v>
      </c>
      <c r="I286" s="8"/>
      <c r="J286" s="8"/>
      <c r="K286" s="40"/>
      <c r="L286" s="8"/>
      <c r="M286" s="133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11"/>
      <c r="AF286" s="11"/>
    </row>
    <row r="287" spans="1:32" s="12" customFormat="1" x14ac:dyDescent="0.2">
      <c r="A287" s="13" t="s">
        <v>84</v>
      </c>
      <c r="B287" s="60" t="s">
        <v>127</v>
      </c>
      <c r="C287" s="4"/>
      <c r="D287" s="10" t="s">
        <v>285</v>
      </c>
      <c r="E287" s="12" t="s">
        <v>298</v>
      </c>
      <c r="F287" s="106">
        <f>F284*F274</f>
        <v>771.32884499999989</v>
      </c>
      <c r="G287" s="106">
        <f>G284*G274</f>
        <v>14809.513824000001</v>
      </c>
      <c r="H287" s="106">
        <f>H284*H274</f>
        <v>59238.055296000006</v>
      </c>
      <c r="I287" s="106"/>
      <c r="J287" s="106"/>
      <c r="K287" s="106"/>
      <c r="L287" s="106"/>
      <c r="M287" s="107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"/>
      <c r="AF287" s="1"/>
    </row>
    <row r="288" spans="1:32" s="12" customFormat="1" x14ac:dyDescent="0.2">
      <c r="A288" s="13" t="s">
        <v>84</v>
      </c>
      <c r="B288" s="60" t="s">
        <v>127</v>
      </c>
      <c r="C288" s="4"/>
      <c r="D288" s="10" t="s">
        <v>285</v>
      </c>
      <c r="E288" s="12" t="s">
        <v>299</v>
      </c>
      <c r="F288" s="108">
        <f>F284/F275/60</f>
        <v>0.58434003409090896</v>
      </c>
      <c r="G288" s="108">
        <f t="shared" ref="G288:H288" si="204">G284/G275/60</f>
        <v>0.56096643272727276</v>
      </c>
      <c r="H288" s="108">
        <f t="shared" si="204"/>
        <v>2.243865730909091</v>
      </c>
      <c r="I288" s="3"/>
      <c r="J288" s="3"/>
      <c r="K288" s="10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1"/>
      <c r="AF288" s="1"/>
    </row>
    <row r="289" spans="1:32" x14ac:dyDescent="0.2">
      <c r="A289" s="13" t="s">
        <v>126</v>
      </c>
      <c r="B289" s="60" t="s">
        <v>127</v>
      </c>
      <c r="D289" s="10" t="s">
        <v>285</v>
      </c>
      <c r="E289" s="13" t="s">
        <v>300</v>
      </c>
      <c r="F289" s="104">
        <v>150</v>
      </c>
      <c r="G289" s="80">
        <f>Table1[[#This Row],[Clinial Production]]</f>
        <v>150</v>
      </c>
      <c r="H289" s="80">
        <f>Table1[[#This Row],[2000L, MCC High cellular productivity]]</f>
        <v>150</v>
      </c>
      <c r="I289" s="80"/>
      <c r="J289" s="80"/>
      <c r="K289" s="80"/>
      <c r="L289" s="80"/>
      <c r="M289" s="80"/>
      <c r="N289" s="80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1"/>
      <c r="AF289" s="11"/>
    </row>
    <row r="290" spans="1:32" s="12" customFormat="1" x14ac:dyDescent="0.2">
      <c r="A290" s="13" t="s">
        <v>84</v>
      </c>
      <c r="B290" s="60" t="s">
        <v>127</v>
      </c>
      <c r="C290" s="4" t="s">
        <v>186</v>
      </c>
      <c r="D290" s="10" t="s">
        <v>285</v>
      </c>
      <c r="E290" s="12" t="s">
        <v>301</v>
      </c>
      <c r="F290" s="106">
        <f>F262/F289</f>
        <v>42.851602499999998</v>
      </c>
      <c r="G290" s="106">
        <f>G262/G289</f>
        <v>41.137538399999997</v>
      </c>
      <c r="H290" s="106">
        <f>H262/H289</f>
        <v>164.55015359999999</v>
      </c>
      <c r="I290" s="106"/>
      <c r="J290" s="106"/>
      <c r="K290" s="106"/>
      <c r="L290" s="106"/>
      <c r="M290" s="107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"/>
      <c r="AF290" s="1"/>
    </row>
    <row r="291" spans="1:32" s="12" customFormat="1" x14ac:dyDescent="0.2">
      <c r="A291" s="13" t="s">
        <v>84</v>
      </c>
      <c r="B291" s="60" t="s">
        <v>85</v>
      </c>
      <c r="C291" s="4"/>
      <c r="D291" s="10" t="s">
        <v>285</v>
      </c>
      <c r="E291" s="12" t="s">
        <v>302</v>
      </c>
      <c r="F291" s="106">
        <v>22</v>
      </c>
      <c r="G291" s="106">
        <v>22</v>
      </c>
      <c r="H291" s="106">
        <v>22</v>
      </c>
      <c r="I291" s="3"/>
      <c r="J291" s="3"/>
      <c r="K291" s="10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1"/>
      <c r="AF291" s="1"/>
    </row>
    <row r="292" spans="1:32" s="12" customFormat="1" x14ac:dyDescent="0.2">
      <c r="A292" s="13" t="s">
        <v>84</v>
      </c>
      <c r="B292" s="60" t="s">
        <v>127</v>
      </c>
      <c r="C292" s="10"/>
      <c r="D292" s="10" t="s">
        <v>285</v>
      </c>
      <c r="E292" s="13" t="s">
        <v>303</v>
      </c>
      <c r="F292" s="159">
        <f>(F279-F290)/F277/(F291)</f>
        <v>8.6568893939393918E-2</v>
      </c>
      <c r="G292" s="159">
        <f t="shared" ref="G292:H292" si="205">(G279-G290)/G277/(G291)</f>
        <v>8.3106138181818195E-2</v>
      </c>
      <c r="H292" s="159">
        <f t="shared" si="205"/>
        <v>0.33242455272727278</v>
      </c>
      <c r="I292" s="159"/>
      <c r="J292" s="159"/>
      <c r="K292" s="159"/>
      <c r="L292" s="159"/>
      <c r="M292" s="159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1"/>
      <c r="AF292" s="1"/>
    </row>
    <row r="293" spans="1:32" s="12" customFormat="1" x14ac:dyDescent="0.2">
      <c r="A293" s="13" t="s">
        <v>84</v>
      </c>
      <c r="B293" s="60" t="s">
        <v>85</v>
      </c>
      <c r="C293" s="10"/>
      <c r="D293" s="10" t="s">
        <v>285</v>
      </c>
      <c r="E293" s="13" t="s">
        <v>304</v>
      </c>
      <c r="F293" s="108">
        <f>F292*F273/60</f>
        <v>0.5626978106060605</v>
      </c>
      <c r="G293" s="108">
        <f t="shared" ref="G293:H293" si="206">G292*G273/60</f>
        <v>0.54018989818181828</v>
      </c>
      <c r="H293" s="108">
        <f t="shared" si="206"/>
        <v>2.1607595927272731</v>
      </c>
      <c r="I293" s="3"/>
      <c r="J293" s="3"/>
      <c r="K293" s="15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1"/>
      <c r="AF293" s="1"/>
    </row>
    <row r="294" spans="1:32" x14ac:dyDescent="0.2">
      <c r="A294" s="13" t="s">
        <v>126</v>
      </c>
      <c r="B294" s="60" t="s">
        <v>127</v>
      </c>
      <c r="D294" s="10" t="s">
        <v>285</v>
      </c>
      <c r="E294" s="13" t="s">
        <v>53</v>
      </c>
      <c r="F294" s="104">
        <v>100</v>
      </c>
      <c r="G294" s="80">
        <f>Table1[[#This Row],[Clinial Production]]</f>
        <v>100</v>
      </c>
      <c r="H294" s="80">
        <f>Table1[[#This Row],[2000L, MCC High cellular productivity]]</f>
        <v>100</v>
      </c>
      <c r="I294" s="80"/>
      <c r="J294" s="80"/>
      <c r="K294" s="80"/>
      <c r="L294" s="80"/>
      <c r="M294" s="80"/>
      <c r="N294" s="80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1"/>
      <c r="AF294" s="11"/>
    </row>
    <row r="295" spans="1:32" s="12" customFormat="1" x14ac:dyDescent="0.2">
      <c r="A295" s="13" t="s">
        <v>84</v>
      </c>
      <c r="B295" s="74" t="s">
        <v>85</v>
      </c>
      <c r="C295" s="4" t="s">
        <v>305</v>
      </c>
      <c r="D295" s="10" t="s">
        <v>285</v>
      </c>
      <c r="E295" s="12" t="s">
        <v>306</v>
      </c>
      <c r="F295" s="37">
        <f>F262*F272</f>
        <v>6106.3533562499988</v>
      </c>
      <c r="G295" s="37">
        <f>G262*G272</f>
        <v>5862.0992219999998</v>
      </c>
      <c r="H295" s="37">
        <f>H262*H272</f>
        <v>23448.396887999999</v>
      </c>
      <c r="I295" s="37"/>
      <c r="J295" s="37"/>
      <c r="K295" s="37"/>
      <c r="L295" s="37"/>
      <c r="M295" s="61"/>
      <c r="N295" s="37"/>
      <c r="O295" s="37"/>
      <c r="P295" s="37"/>
      <c r="Q295" s="37" t="e">
        <f t="shared" ref="Q295:AD295" si="207">Q262*Q272</f>
        <v>#DIV/0!</v>
      </c>
      <c r="R295" s="37" t="e">
        <f t="shared" si="207"/>
        <v>#DIV/0!</v>
      </c>
      <c r="S295" s="37" t="e">
        <f t="shared" si="207"/>
        <v>#DIV/0!</v>
      </c>
      <c r="T295" s="37" t="e">
        <f t="shared" si="207"/>
        <v>#DIV/0!</v>
      </c>
      <c r="U295" s="37" t="e">
        <f t="shared" si="207"/>
        <v>#DIV/0!</v>
      </c>
      <c r="V295" s="37" t="e">
        <f t="shared" si="207"/>
        <v>#DIV/0!</v>
      </c>
      <c r="W295" s="37" t="e">
        <f t="shared" si="207"/>
        <v>#DIV/0!</v>
      </c>
      <c r="X295" s="37" t="e">
        <f t="shared" si="207"/>
        <v>#DIV/0!</v>
      </c>
      <c r="Y295" s="37" t="e">
        <f t="shared" si="207"/>
        <v>#DIV/0!</v>
      </c>
      <c r="Z295" s="37" t="e">
        <f t="shared" si="207"/>
        <v>#DIV/0!</v>
      </c>
      <c r="AA295" s="37" t="e">
        <f t="shared" si="207"/>
        <v>#DIV/0!</v>
      </c>
      <c r="AB295" s="37" t="e">
        <f t="shared" si="207"/>
        <v>#DIV/0!</v>
      </c>
      <c r="AC295" s="37" t="e">
        <f t="shared" si="207"/>
        <v>#DIV/0!</v>
      </c>
      <c r="AD295" s="37" t="e">
        <f t="shared" si="207"/>
        <v>#DIV/0!</v>
      </c>
      <c r="AE295" s="1"/>
      <c r="AF295" s="1"/>
    </row>
    <row r="296" spans="1:32" s="12" customFormat="1" x14ac:dyDescent="0.2">
      <c r="A296" s="13" t="s">
        <v>84</v>
      </c>
      <c r="B296" s="60" t="s">
        <v>127</v>
      </c>
      <c r="C296" s="4" t="s">
        <v>307</v>
      </c>
      <c r="D296" s="10" t="s">
        <v>285</v>
      </c>
      <c r="E296" s="12" t="s">
        <v>308</v>
      </c>
      <c r="F296" s="96">
        <f>F264*F272</f>
        <v>6106.3533562499988</v>
      </c>
      <c r="G296" s="96">
        <f>G264*G272</f>
        <v>117241.98444</v>
      </c>
      <c r="H296" s="96">
        <f>H264*H272</f>
        <v>468967.93776</v>
      </c>
      <c r="I296" s="96"/>
      <c r="J296" s="96"/>
      <c r="K296" s="96"/>
      <c r="L296" s="96"/>
      <c r="M296" s="97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1"/>
      <c r="AF296" s="1"/>
    </row>
    <row r="297" spans="1:32" s="12" customFormat="1" x14ac:dyDescent="0.2">
      <c r="A297" s="13" t="s">
        <v>84</v>
      </c>
      <c r="B297" s="74" t="s">
        <v>85</v>
      </c>
      <c r="C297" s="4" t="s">
        <v>186</v>
      </c>
      <c r="D297" s="10" t="s">
        <v>285</v>
      </c>
      <c r="E297" s="12" t="s">
        <v>309</v>
      </c>
      <c r="F297" s="41">
        <f t="shared" ref="F297" si="208">F295/F294</f>
        <v>61.063533562499991</v>
      </c>
      <c r="G297" s="41">
        <f>G295/G294</f>
        <v>58.620992219999998</v>
      </c>
      <c r="H297" s="41">
        <f>H295/H294</f>
        <v>234.48396887999999</v>
      </c>
      <c r="I297" s="41"/>
      <c r="J297" s="41"/>
      <c r="K297" s="41"/>
      <c r="L297" s="41"/>
      <c r="M297" s="62"/>
      <c r="N297" s="41"/>
      <c r="O297" s="41"/>
      <c r="P297" s="41"/>
      <c r="Q297" s="41" t="e">
        <f t="shared" ref="Q297:AD297" si="209">Q295/Q294</f>
        <v>#DIV/0!</v>
      </c>
      <c r="R297" s="41" t="e">
        <f t="shared" si="209"/>
        <v>#DIV/0!</v>
      </c>
      <c r="S297" s="41" t="e">
        <f t="shared" si="209"/>
        <v>#DIV/0!</v>
      </c>
      <c r="T297" s="41" t="e">
        <f t="shared" si="209"/>
        <v>#DIV/0!</v>
      </c>
      <c r="U297" s="41" t="e">
        <f t="shared" si="209"/>
        <v>#DIV/0!</v>
      </c>
      <c r="V297" s="41" t="e">
        <f t="shared" si="209"/>
        <v>#DIV/0!</v>
      </c>
      <c r="W297" s="41" t="e">
        <f t="shared" si="209"/>
        <v>#DIV/0!</v>
      </c>
      <c r="X297" s="41" t="e">
        <f t="shared" si="209"/>
        <v>#DIV/0!</v>
      </c>
      <c r="Y297" s="41" t="e">
        <f t="shared" si="209"/>
        <v>#DIV/0!</v>
      </c>
      <c r="Z297" s="41" t="e">
        <f t="shared" si="209"/>
        <v>#DIV/0!</v>
      </c>
      <c r="AA297" s="41" t="e">
        <f t="shared" si="209"/>
        <v>#DIV/0!</v>
      </c>
      <c r="AB297" s="41" t="e">
        <f t="shared" si="209"/>
        <v>#DIV/0!</v>
      </c>
      <c r="AC297" s="41" t="e">
        <f t="shared" si="209"/>
        <v>#DIV/0!</v>
      </c>
      <c r="AD297" s="41" t="e">
        <f t="shared" si="209"/>
        <v>#DIV/0!</v>
      </c>
      <c r="AE297" s="1"/>
      <c r="AF297" s="1"/>
    </row>
    <row r="298" spans="1:32" s="12" customFormat="1" x14ac:dyDescent="0.2">
      <c r="A298" s="13" t="s">
        <v>84</v>
      </c>
      <c r="B298" s="60" t="s">
        <v>127</v>
      </c>
      <c r="C298" s="4" t="s">
        <v>186</v>
      </c>
      <c r="D298" s="10" t="s">
        <v>285</v>
      </c>
      <c r="E298" s="12" t="s">
        <v>310</v>
      </c>
      <c r="F298" s="106">
        <f>F297*F274</f>
        <v>61.063533562499991</v>
      </c>
      <c r="G298" s="106">
        <f>G297*G274</f>
        <v>1172.4198443999999</v>
      </c>
      <c r="H298" s="106">
        <f>H297*H274</f>
        <v>4689.6793775999995</v>
      </c>
      <c r="I298" s="106"/>
      <c r="J298" s="106"/>
      <c r="K298" s="106"/>
      <c r="L298" s="106"/>
      <c r="M298" s="107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"/>
      <c r="AF298" s="1"/>
    </row>
    <row r="299" spans="1:32" s="12" customFormat="1" x14ac:dyDescent="0.2">
      <c r="A299" s="13" t="s">
        <v>84</v>
      </c>
      <c r="B299" s="74" t="s">
        <v>85</v>
      </c>
      <c r="C299" s="4" t="s">
        <v>186</v>
      </c>
      <c r="D299" s="10" t="s">
        <v>285</v>
      </c>
      <c r="E299" s="12" t="s">
        <v>311</v>
      </c>
      <c r="F299" s="41">
        <f>F297-F290</f>
        <v>18.211931062499993</v>
      </c>
      <c r="G299" s="41">
        <f>G297-G290</f>
        <v>17.483453820000001</v>
      </c>
      <c r="H299" s="41">
        <f>H297-H290</f>
        <v>69.933815280000005</v>
      </c>
      <c r="I299" s="41"/>
      <c r="J299" s="41"/>
      <c r="K299" s="41"/>
      <c r="L299" s="41"/>
      <c r="M299" s="62"/>
      <c r="N299" s="41"/>
      <c r="O299" s="41"/>
      <c r="P299" s="41"/>
      <c r="Q299" s="41" t="e">
        <f t="shared" ref="Q299:AD299" si="210">Q297-Q290</f>
        <v>#DIV/0!</v>
      </c>
      <c r="R299" s="41" t="e">
        <f t="shared" si="210"/>
        <v>#DIV/0!</v>
      </c>
      <c r="S299" s="41" t="e">
        <f t="shared" si="210"/>
        <v>#DIV/0!</v>
      </c>
      <c r="T299" s="41" t="e">
        <f t="shared" si="210"/>
        <v>#DIV/0!</v>
      </c>
      <c r="U299" s="41" t="e">
        <f t="shared" si="210"/>
        <v>#DIV/0!</v>
      </c>
      <c r="V299" s="41" t="e">
        <f t="shared" si="210"/>
        <v>#DIV/0!</v>
      </c>
      <c r="W299" s="41" t="e">
        <f t="shared" si="210"/>
        <v>#DIV/0!</v>
      </c>
      <c r="X299" s="41" t="e">
        <f t="shared" si="210"/>
        <v>#DIV/0!</v>
      </c>
      <c r="Y299" s="41" t="e">
        <f t="shared" si="210"/>
        <v>#DIV/0!</v>
      </c>
      <c r="Z299" s="41" t="e">
        <f t="shared" si="210"/>
        <v>#DIV/0!</v>
      </c>
      <c r="AA299" s="41" t="e">
        <f t="shared" si="210"/>
        <v>#DIV/0!</v>
      </c>
      <c r="AB299" s="41" t="e">
        <f t="shared" si="210"/>
        <v>#DIV/0!</v>
      </c>
      <c r="AC299" s="41" t="e">
        <f t="shared" si="210"/>
        <v>#DIV/0!</v>
      </c>
      <c r="AD299" s="41" t="e">
        <f t="shared" si="210"/>
        <v>#DIV/0!</v>
      </c>
      <c r="AE299" s="1"/>
      <c r="AF299" s="1"/>
    </row>
    <row r="300" spans="1:32" x14ac:dyDescent="0.2">
      <c r="A300" s="13" t="s">
        <v>84</v>
      </c>
      <c r="B300" s="60" t="s">
        <v>127</v>
      </c>
      <c r="D300" s="10" t="s">
        <v>285</v>
      </c>
      <c r="E300" s="13" t="s">
        <v>312</v>
      </c>
      <c r="F300" s="119">
        <f>F297/18/60</f>
        <v>5.6540308854166658E-2</v>
      </c>
      <c r="G300" s="119">
        <f t="shared" ref="G300:H300" si="211">G297/18/60</f>
        <v>5.4278696499999994E-2</v>
      </c>
      <c r="H300" s="119">
        <f t="shared" si="211"/>
        <v>0.21711478599999998</v>
      </c>
      <c r="I300" s="102"/>
      <c r="J300" s="102"/>
      <c r="K300" s="102"/>
      <c r="L300" s="102"/>
      <c r="M300" s="102"/>
      <c r="N300" s="102"/>
      <c r="O300" s="102"/>
      <c r="P300" s="102"/>
      <c r="Q300" s="104"/>
      <c r="R300" s="104"/>
      <c r="S300" s="104"/>
      <c r="T300" s="104"/>
      <c r="U300" s="104"/>
      <c r="V300" s="104"/>
      <c r="W300" s="104"/>
      <c r="X300" s="102"/>
      <c r="Y300" s="104"/>
      <c r="Z300" s="102"/>
      <c r="AA300" s="104"/>
      <c r="AB300" s="102"/>
      <c r="AC300" s="104"/>
      <c r="AD300" s="102"/>
      <c r="AE300" s="11"/>
      <c r="AF300" s="11"/>
    </row>
    <row r="301" spans="1:32" x14ac:dyDescent="0.2">
      <c r="A301" s="13" t="s">
        <v>84</v>
      </c>
      <c r="B301" s="60" t="s">
        <v>127</v>
      </c>
      <c r="C301" s="10" t="s">
        <v>186</v>
      </c>
      <c r="D301" s="10" t="s">
        <v>285</v>
      </c>
      <c r="E301" s="13" t="s">
        <v>313</v>
      </c>
      <c r="F301" s="115">
        <f t="shared" ref="F301" si="212">F279*1.2</f>
        <v>154.26576899999998</v>
      </c>
      <c r="G301" s="115">
        <f>G279*1.2</f>
        <v>148.09513824000001</v>
      </c>
      <c r="H301" s="115">
        <f>H279*1.2</f>
        <v>592.38055296000005</v>
      </c>
      <c r="I301" s="115"/>
      <c r="J301" s="115"/>
      <c r="K301" s="115"/>
      <c r="L301" s="115"/>
      <c r="M301" s="116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"/>
      <c r="AF301" s="11"/>
    </row>
    <row r="302" spans="1:32" x14ac:dyDescent="0.2">
      <c r="A302" s="13" t="s">
        <v>84</v>
      </c>
      <c r="B302" s="13" t="s">
        <v>127</v>
      </c>
      <c r="D302" s="10" t="s">
        <v>285</v>
      </c>
      <c r="E302" s="13" t="s">
        <v>314</v>
      </c>
      <c r="F302" s="11">
        <f>F297*F274</f>
        <v>61.063533562499991</v>
      </c>
      <c r="G302" s="11">
        <f>G297*G274</f>
        <v>1172.4198443999999</v>
      </c>
      <c r="H302" s="11">
        <f>H297*H274</f>
        <v>4689.6793775999995</v>
      </c>
      <c r="I302" s="11"/>
      <c r="J302" s="11"/>
      <c r="K302" s="11"/>
    </row>
    <row r="303" spans="1:32" hidden="1" x14ac:dyDescent="0.2">
      <c r="G303" s="13"/>
      <c r="H303" s="13"/>
      <c r="I303" s="8"/>
      <c r="J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72"/>
      <c r="AD303" s="72"/>
    </row>
    <row r="304" spans="1:32" ht="26" hidden="1" x14ac:dyDescent="0.3">
      <c r="A304" s="179" t="s">
        <v>84</v>
      </c>
      <c r="B304" s="179"/>
      <c r="C304" s="162"/>
      <c r="D304" s="162"/>
      <c r="E304" s="163" t="s">
        <v>315</v>
      </c>
      <c r="F304" s="164"/>
      <c r="G304" s="164"/>
      <c r="H304" s="164"/>
      <c r="I304" s="8"/>
      <c r="J304" s="8"/>
      <c r="K304" s="8"/>
      <c r="L304" s="13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72"/>
      <c r="AE304" s="11"/>
    </row>
    <row r="305" spans="1:39" ht="26" x14ac:dyDescent="0.3">
      <c r="A305" s="180" t="s">
        <v>57</v>
      </c>
      <c r="B305" s="182" t="s">
        <v>127</v>
      </c>
      <c r="C305" s="162"/>
      <c r="D305" s="162" t="s">
        <v>316</v>
      </c>
      <c r="E305" s="22" t="s">
        <v>426</v>
      </c>
      <c r="F305" s="164"/>
      <c r="G305" s="164"/>
      <c r="H305" s="164"/>
      <c r="I305" s="8"/>
      <c r="J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72"/>
      <c r="AD305" s="8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spans="1:39" x14ac:dyDescent="0.2">
      <c r="A306" s="179" t="s">
        <v>126</v>
      </c>
      <c r="B306" s="179" t="s">
        <v>127</v>
      </c>
      <c r="C306" s="162"/>
      <c r="D306" s="162" t="s">
        <v>316</v>
      </c>
      <c r="E306" s="165" t="s">
        <v>317</v>
      </c>
      <c r="F306" s="166">
        <f>F263</f>
        <v>26.452586206896555</v>
      </c>
      <c r="G306" s="166">
        <f>G263</f>
        <v>32.237159533073928</v>
      </c>
      <c r="H306" s="166">
        <f>H263</f>
        <v>32.252846715328467</v>
      </c>
      <c r="I306" s="8"/>
      <c r="J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spans="1:39" x14ac:dyDescent="0.2">
      <c r="A307" s="181" t="s">
        <v>126</v>
      </c>
      <c r="B307" s="183" t="s">
        <v>127</v>
      </c>
      <c r="C307" s="162"/>
      <c r="D307" s="162" t="s">
        <v>316</v>
      </c>
      <c r="E307" s="168" t="s">
        <v>318</v>
      </c>
      <c r="F307" s="199">
        <f>(F259/24)</f>
        <v>10.124624999999998</v>
      </c>
      <c r="G307" s="199">
        <f t="shared" ref="G307:H307" si="213">(G259/24)</f>
        <v>7.9755666666666665</v>
      </c>
      <c r="H307" s="199">
        <f t="shared" si="213"/>
        <v>31.886750000000003</v>
      </c>
      <c r="I307" s="8"/>
      <c r="J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 x14ac:dyDescent="0.2">
      <c r="A308" s="181" t="s">
        <v>126</v>
      </c>
      <c r="B308" s="183" t="s">
        <v>127</v>
      </c>
      <c r="C308" s="162"/>
      <c r="D308" s="162" t="s">
        <v>316</v>
      </c>
      <c r="E308" s="165" t="s">
        <v>319</v>
      </c>
      <c r="F308" s="172">
        <v>150</v>
      </c>
      <c r="G308" s="172">
        <v>150</v>
      </c>
      <c r="H308" s="172">
        <v>150</v>
      </c>
      <c r="I308" s="8"/>
      <c r="J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spans="1:39" x14ac:dyDescent="0.2">
      <c r="A309" s="181" t="s">
        <v>84</v>
      </c>
      <c r="B309" s="183" t="s">
        <v>85</v>
      </c>
      <c r="C309" s="162"/>
      <c r="D309" s="162" t="s">
        <v>316</v>
      </c>
      <c r="E309" s="168" t="s">
        <v>320</v>
      </c>
      <c r="F309" s="218">
        <f>F308/F306</f>
        <v>5.6705230568681761</v>
      </c>
      <c r="G309" s="218">
        <f t="shared" ref="G309:H309" si="214">G308/G306</f>
        <v>4.6530154074556878</v>
      </c>
      <c r="H309" s="218">
        <f t="shared" si="214"/>
        <v>4.6507522676660695</v>
      </c>
      <c r="I309" s="8"/>
      <c r="J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spans="1:39" x14ac:dyDescent="0.2">
      <c r="A310" s="181" t="s">
        <v>126</v>
      </c>
      <c r="B310" s="183" t="s">
        <v>85</v>
      </c>
      <c r="C310" s="162"/>
      <c r="D310" s="162" t="s">
        <v>316</v>
      </c>
      <c r="E310" s="165" t="s">
        <v>321</v>
      </c>
      <c r="F310" s="164">
        <v>10</v>
      </c>
      <c r="G310" s="164">
        <v>10</v>
      </c>
      <c r="H310" s="164">
        <v>10</v>
      </c>
      <c r="I310" s="8"/>
      <c r="J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spans="1:39" x14ac:dyDescent="0.2">
      <c r="A311" s="181" t="s">
        <v>84</v>
      </c>
      <c r="B311" s="183" t="s">
        <v>85</v>
      </c>
      <c r="C311" s="162"/>
      <c r="D311" s="162" t="s">
        <v>316</v>
      </c>
      <c r="E311" s="168" t="s">
        <v>322</v>
      </c>
      <c r="F311" s="199">
        <f>(F309*F310)/(F309-1)</f>
        <v>12.141087813557549</v>
      </c>
      <c r="G311" s="199">
        <f t="shared" ref="G311:H311" si="215">(G309*G310)/(G309-1)</f>
        <v>12.737464501132495</v>
      </c>
      <c r="H311" s="199">
        <f t="shared" si="215"/>
        <v>12.739161484214598</v>
      </c>
      <c r="I311" s="8"/>
      <c r="J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spans="1:39" x14ac:dyDescent="0.2">
      <c r="A312" s="181" t="s">
        <v>84</v>
      </c>
      <c r="B312" s="183" t="s">
        <v>85</v>
      </c>
      <c r="C312" s="162"/>
      <c r="D312" s="162" t="s">
        <v>316</v>
      </c>
      <c r="E312" s="165" t="s">
        <v>323</v>
      </c>
      <c r="F312" s="216">
        <f>(F307/F311)</f>
        <v>0.83391415624999976</v>
      </c>
      <c r="G312" s="216">
        <f t="shared" ref="G312:H312" si="216">(G307/G311)</f>
        <v>0.62615025666666668</v>
      </c>
      <c r="H312" s="216">
        <f t="shared" si="216"/>
        <v>2.5030493600000003</v>
      </c>
      <c r="I312" s="8"/>
      <c r="J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spans="1:39" x14ac:dyDescent="0.2">
      <c r="A313" s="181" t="s">
        <v>84</v>
      </c>
      <c r="B313" s="183" t="s">
        <v>127</v>
      </c>
      <c r="C313" s="162"/>
      <c r="D313" s="162" t="s">
        <v>316</v>
      </c>
      <c r="E313" s="168" t="s">
        <v>427</v>
      </c>
      <c r="F313" s="199">
        <f>(F312*1.2)</f>
        <v>1.0006969874999996</v>
      </c>
      <c r="G313" s="199">
        <f t="shared" ref="G313:H313" si="217">(G312*1.2)</f>
        <v>0.751380308</v>
      </c>
      <c r="H313" s="199">
        <f t="shared" si="217"/>
        <v>3.0036592320000004</v>
      </c>
      <c r="I313" s="8"/>
      <c r="J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spans="1:39" x14ac:dyDescent="0.2">
      <c r="A314" s="181" t="s">
        <v>84</v>
      </c>
      <c r="B314" s="183" t="s">
        <v>127</v>
      </c>
      <c r="C314" s="162"/>
      <c r="D314" s="162" t="s">
        <v>316</v>
      </c>
      <c r="E314" s="165" t="s">
        <v>325</v>
      </c>
      <c r="F314" s="217">
        <f>F307/F309</f>
        <v>1.7854834374999999</v>
      </c>
      <c r="G314" s="217">
        <f t="shared" ref="G314:H314" si="218">G307/G309</f>
        <v>1.7140640999999999</v>
      </c>
      <c r="H314" s="217">
        <f t="shared" si="218"/>
        <v>6.8562564000000004</v>
      </c>
      <c r="I314" s="8"/>
      <c r="J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spans="1:39" x14ac:dyDescent="0.2">
      <c r="A315" s="181" t="s">
        <v>84</v>
      </c>
      <c r="B315" s="183" t="s">
        <v>85</v>
      </c>
      <c r="C315" s="162"/>
      <c r="D315" s="162" t="s">
        <v>316</v>
      </c>
      <c r="E315" s="168" t="s">
        <v>326</v>
      </c>
      <c r="F315" s="199">
        <f>ROUNDUP((F314*2*1.2),2)</f>
        <v>4.29</v>
      </c>
      <c r="G315" s="199">
        <f t="shared" ref="G315:H315" si="219">ROUNDUP((G314*2*1.2),2)</f>
        <v>4.12</v>
      </c>
      <c r="H315" s="199">
        <f t="shared" si="219"/>
        <v>16.46</v>
      </c>
      <c r="I315" s="8"/>
      <c r="J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72"/>
      <c r="AD315" s="8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spans="1:39" x14ac:dyDescent="0.2">
      <c r="A316" s="181" t="s">
        <v>84</v>
      </c>
      <c r="B316" s="183" t="s">
        <v>85</v>
      </c>
      <c r="C316" s="162"/>
      <c r="D316" s="162" t="s">
        <v>316</v>
      </c>
      <c r="E316" s="176" t="s">
        <v>327</v>
      </c>
      <c r="F316" s="187">
        <f>(F267/F309)*F272</f>
        <v>40.709022374999996</v>
      </c>
      <c r="G316" s="187">
        <f t="shared" ref="G316:H316" si="220">(G267/G309)*G272</f>
        <v>781.61322959999995</v>
      </c>
      <c r="H316" s="187">
        <f t="shared" si="220"/>
        <v>3126.4529183999998</v>
      </c>
      <c r="I316" s="8"/>
      <c r="J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spans="1:39" ht="16" x14ac:dyDescent="0.2">
      <c r="A317" s="181" t="s">
        <v>84</v>
      </c>
      <c r="B317" s="183" t="s">
        <v>85</v>
      </c>
      <c r="C317" s="162"/>
      <c r="D317" s="162" t="s">
        <v>316</v>
      </c>
      <c r="E317" s="177" t="s">
        <v>284</v>
      </c>
      <c r="F317" s="219">
        <f>F316*1.2</f>
        <v>48.850826849999997</v>
      </c>
      <c r="G317" s="219">
        <f t="shared" ref="G317:H317" si="221">G316*1.2</f>
        <v>937.93587551999985</v>
      </c>
      <c r="H317" s="219">
        <f t="shared" si="221"/>
        <v>3751.7435020799994</v>
      </c>
      <c r="I317" s="8"/>
      <c r="J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spans="1:39" x14ac:dyDescent="0.2">
      <c r="A318" s="184" t="s">
        <v>84</v>
      </c>
      <c r="B318" s="185" t="s">
        <v>85</v>
      </c>
      <c r="C318" s="4"/>
      <c r="D318" s="162" t="s">
        <v>316</v>
      </c>
      <c r="E318" s="12" t="s">
        <v>328</v>
      </c>
      <c r="F318" s="186">
        <f>F267/F307</f>
        <v>24</v>
      </c>
      <c r="G318" s="186">
        <f t="shared" ref="G318:H318" si="222">G267/G307</f>
        <v>480</v>
      </c>
      <c r="H318" s="186">
        <f t="shared" si="222"/>
        <v>480</v>
      </c>
      <c r="I318" s="8"/>
      <c r="J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spans="1:39" ht="19" hidden="1" x14ac:dyDescent="0.25">
      <c r="A319" s="179" t="s">
        <v>84</v>
      </c>
      <c r="B319" s="179"/>
      <c r="C319" s="162"/>
      <c r="D319" s="162" t="s">
        <v>329</v>
      </c>
      <c r="E319" s="188" t="s">
        <v>330</v>
      </c>
      <c r="F319"/>
      <c r="G319"/>
      <c r="H319"/>
      <c r="I319" s="202"/>
      <c r="J319" s="202"/>
      <c r="K319"/>
      <c r="L319" s="202"/>
      <c r="M319" s="202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spans="1:39" x14ac:dyDescent="0.2">
      <c r="A320" s="181" t="s">
        <v>84</v>
      </c>
      <c r="B320" s="183" t="s">
        <v>85</v>
      </c>
      <c r="C320" s="162"/>
      <c r="D320" s="162" t="s">
        <v>329</v>
      </c>
      <c r="E320" s="165" t="s">
        <v>317</v>
      </c>
      <c r="F320" s="166">
        <f>F308</f>
        <v>150</v>
      </c>
      <c r="G320" s="166">
        <f t="shared" ref="G320:H320" si="223">G308</f>
        <v>150</v>
      </c>
      <c r="H320" s="166">
        <f t="shared" si="223"/>
        <v>150</v>
      </c>
      <c r="I320" s="203"/>
      <c r="J320" s="203"/>
      <c r="K320" s="166"/>
      <c r="L320" s="203"/>
      <c r="M320" s="203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x14ac:dyDescent="0.2">
      <c r="A321" s="181" t="s">
        <v>84</v>
      </c>
      <c r="B321" s="183" t="s">
        <v>127</v>
      </c>
      <c r="C321" s="162"/>
      <c r="D321" s="162" t="s">
        <v>329</v>
      </c>
      <c r="E321" s="168" t="s">
        <v>331</v>
      </c>
      <c r="F321" s="199">
        <f>F314</f>
        <v>1.7854834374999999</v>
      </c>
      <c r="G321" s="199">
        <f t="shared" ref="G321:H321" si="224">G314</f>
        <v>1.7140640999999999</v>
      </c>
      <c r="H321" s="199">
        <f t="shared" si="224"/>
        <v>6.8562564000000004</v>
      </c>
      <c r="I321" s="205"/>
      <c r="J321" s="205"/>
      <c r="K321" s="205"/>
      <c r="L321" s="204"/>
      <c r="M321" s="204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x14ac:dyDescent="0.2">
      <c r="A322" s="181" t="s">
        <v>84</v>
      </c>
      <c r="B322" s="183" t="s">
        <v>127</v>
      </c>
      <c r="C322" s="162"/>
      <c r="D322" s="162" t="s">
        <v>329</v>
      </c>
      <c r="E322" s="165" t="s">
        <v>332</v>
      </c>
      <c r="F322" s="191">
        <f>F321*F323</f>
        <v>19.640317812500001</v>
      </c>
      <c r="G322" s="191">
        <f t="shared" ref="G322:H322" si="225">G321*11</f>
        <v>18.854705099999997</v>
      </c>
      <c r="H322" s="191">
        <f t="shared" si="225"/>
        <v>75.418820400000001</v>
      </c>
      <c r="I322" s="205"/>
      <c r="J322" s="205"/>
      <c r="K322" s="205"/>
      <c r="L322" s="205"/>
      <c r="M322" s="205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x14ac:dyDescent="0.2">
      <c r="A323" s="181" t="s">
        <v>126</v>
      </c>
      <c r="B323" s="183" t="s">
        <v>85</v>
      </c>
      <c r="C323" s="162"/>
      <c r="D323" s="162" t="s">
        <v>329</v>
      </c>
      <c r="E323" s="168" t="s">
        <v>333</v>
      </c>
      <c r="F323" s="218">
        <v>11</v>
      </c>
      <c r="G323" s="218">
        <v>11</v>
      </c>
      <c r="H323" s="218">
        <v>11</v>
      </c>
      <c r="I323" s="204"/>
      <c r="J323" s="204"/>
      <c r="K323" s="173"/>
      <c r="L323" s="204"/>
      <c r="M323" s="204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x14ac:dyDescent="0.2">
      <c r="A324" s="181" t="s">
        <v>84</v>
      </c>
      <c r="B324" s="183" t="s">
        <v>127</v>
      </c>
      <c r="C324" s="162"/>
      <c r="D324" s="162" t="s">
        <v>329</v>
      </c>
      <c r="E324" s="165" t="s">
        <v>334</v>
      </c>
      <c r="F324" s="192">
        <f>F322+F321</f>
        <v>21.425801249999999</v>
      </c>
      <c r="G324" s="192">
        <f t="shared" ref="G324:H324" si="226">G322+G321</f>
        <v>20.568769199999998</v>
      </c>
      <c r="H324" s="192">
        <f t="shared" si="226"/>
        <v>82.275076800000008</v>
      </c>
      <c r="I324" s="205"/>
      <c r="J324" s="205"/>
      <c r="K324" s="192"/>
      <c r="L324" s="205"/>
      <c r="M324" s="205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6" x14ac:dyDescent="0.2">
      <c r="A325" s="181" t="s">
        <v>84</v>
      </c>
      <c r="B325" s="183" t="s">
        <v>85</v>
      </c>
      <c r="C325" s="162"/>
      <c r="D325" s="162" t="s">
        <v>329</v>
      </c>
      <c r="E325" s="193" t="s">
        <v>335</v>
      </c>
      <c r="F325" s="220">
        <f>F320/F323</f>
        <v>13.636363636363637</v>
      </c>
      <c r="G325" s="220">
        <f t="shared" ref="G325:H325" si="227">G320/G323</f>
        <v>13.636363636363637</v>
      </c>
      <c r="H325" s="220">
        <f t="shared" si="227"/>
        <v>13.636363636363637</v>
      </c>
      <c r="I325" s="204"/>
      <c r="J325" s="204"/>
      <c r="K325" s="169"/>
      <c r="L325" s="204"/>
      <c r="M325" s="204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x14ac:dyDescent="0.2">
      <c r="A326" s="181" t="s">
        <v>126</v>
      </c>
      <c r="B326" s="183" t="s">
        <v>127</v>
      </c>
      <c r="C326" s="162"/>
      <c r="D326" s="162" t="s">
        <v>329</v>
      </c>
      <c r="E326" s="165" t="s">
        <v>321</v>
      </c>
      <c r="F326">
        <v>15</v>
      </c>
      <c r="G326">
        <v>15</v>
      </c>
      <c r="H326">
        <v>15</v>
      </c>
      <c r="I326" s="202"/>
      <c r="J326" s="202"/>
      <c r="K326"/>
      <c r="L326" s="202"/>
      <c r="M326" s="202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6" x14ac:dyDescent="0.2">
      <c r="A327" s="181" t="s">
        <v>126</v>
      </c>
      <c r="B327" s="183" t="s">
        <v>85</v>
      </c>
      <c r="C327" s="162"/>
      <c r="D327" s="162" t="s">
        <v>329</v>
      </c>
      <c r="E327" s="193" t="s">
        <v>322</v>
      </c>
      <c r="F327" s="199">
        <f>F323*F326/(F323-1)</f>
        <v>16.5</v>
      </c>
      <c r="G327" s="199">
        <f t="shared" ref="G327:H327" si="228">G323*G326/(G323-1)</f>
        <v>16.5</v>
      </c>
      <c r="H327" s="199">
        <f t="shared" si="228"/>
        <v>16.5</v>
      </c>
      <c r="I327" s="204"/>
      <c r="J327" s="204"/>
      <c r="K327" s="169"/>
      <c r="L327" s="204"/>
      <c r="M327" s="204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72"/>
      <c r="AD327" s="8"/>
    </row>
    <row r="328" spans="1:30" ht="17" x14ac:dyDescent="0.2">
      <c r="A328" s="181" t="s">
        <v>84</v>
      </c>
      <c r="B328" s="183" t="s">
        <v>85</v>
      </c>
      <c r="C328" s="162"/>
      <c r="D328" s="162" t="s">
        <v>329</v>
      </c>
      <c r="E328" s="165" t="s">
        <v>336</v>
      </c>
      <c r="F328" s="216">
        <f>F324/F327</f>
        <v>1.2985334090909091</v>
      </c>
      <c r="G328" s="216">
        <f t="shared" ref="G328:H328" si="229">G324/G327</f>
        <v>1.2465920727272726</v>
      </c>
      <c r="H328" s="216">
        <f t="shared" si="229"/>
        <v>4.9863682909090912</v>
      </c>
      <c r="I328" s="205"/>
      <c r="J328" s="205"/>
      <c r="K328" s="194"/>
      <c r="L328" s="205"/>
      <c r="M328" s="205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x14ac:dyDescent="0.2">
      <c r="A329" s="181" t="s">
        <v>84</v>
      </c>
      <c r="B329" s="183" t="s">
        <v>127</v>
      </c>
      <c r="C329" s="162"/>
      <c r="D329" s="162" t="s">
        <v>329</v>
      </c>
      <c r="E329" s="168" t="s">
        <v>324</v>
      </c>
      <c r="F329" s="199">
        <f>(F328*1.2)</f>
        <v>1.5582400909090908</v>
      </c>
      <c r="G329" s="199">
        <f t="shared" ref="G329:H329" si="230">(G328*1.2)</f>
        <v>1.4959104872727271</v>
      </c>
      <c r="H329" s="199">
        <f t="shared" si="230"/>
        <v>5.9836419490909094</v>
      </c>
      <c r="I329" s="204"/>
      <c r="J329" s="204"/>
      <c r="K329" s="195"/>
      <c r="L329" s="204"/>
      <c r="M329" s="204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x14ac:dyDescent="0.2">
      <c r="A330" s="181" t="s">
        <v>84</v>
      </c>
      <c r="B330" s="183" t="s">
        <v>127</v>
      </c>
      <c r="C330" s="162"/>
      <c r="D330" s="162" t="s">
        <v>329</v>
      </c>
      <c r="E330" s="165" t="s">
        <v>337</v>
      </c>
      <c r="F330" s="217">
        <f>F322/F323</f>
        <v>1.7854834375000002</v>
      </c>
      <c r="G330" s="217">
        <f t="shared" ref="G330:H330" si="231">G322/G323</f>
        <v>1.7140640999999996</v>
      </c>
      <c r="H330" s="217">
        <f t="shared" si="231"/>
        <v>6.8562564000000004</v>
      </c>
      <c r="I330" s="205"/>
      <c r="J330" s="205"/>
      <c r="K330" s="174"/>
      <c r="L330" s="205"/>
      <c r="M330" s="205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x14ac:dyDescent="0.2">
      <c r="A331" s="181" t="s">
        <v>126</v>
      </c>
      <c r="B331" s="183" t="s">
        <v>127</v>
      </c>
      <c r="C331" s="162"/>
      <c r="D331" s="162" t="s">
        <v>329</v>
      </c>
      <c r="E331" s="168" t="s">
        <v>338</v>
      </c>
      <c r="F331" s="175">
        <v>3</v>
      </c>
      <c r="G331" s="175">
        <v>3</v>
      </c>
      <c r="H331" s="175">
        <v>3</v>
      </c>
      <c r="I331" s="204"/>
      <c r="J331" s="204"/>
      <c r="K331" s="175"/>
      <c r="L331" s="204"/>
      <c r="M331" s="204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x14ac:dyDescent="0.2">
      <c r="A332" s="181" t="s">
        <v>84</v>
      </c>
      <c r="B332" s="183" t="s">
        <v>85</v>
      </c>
      <c r="C332" s="162"/>
      <c r="D332" s="162" t="s">
        <v>329</v>
      </c>
      <c r="E332" t="s">
        <v>339</v>
      </c>
      <c r="F332" s="144">
        <f>F322*1.2</f>
        <v>23.568381375000001</v>
      </c>
      <c r="G332" s="144">
        <f t="shared" ref="G332:H332" si="232">G322*1.2</f>
        <v>22.625646119999995</v>
      </c>
      <c r="H332" s="144">
        <f t="shared" si="232"/>
        <v>90.502584479999996</v>
      </c>
      <c r="I332" s="202"/>
      <c r="J332" s="202"/>
      <c r="K332" s="145"/>
      <c r="L332" s="202"/>
      <c r="M332" s="202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x14ac:dyDescent="0.2">
      <c r="A333" s="181" t="s">
        <v>84</v>
      </c>
      <c r="B333" s="183" t="s">
        <v>85</v>
      </c>
      <c r="C333" s="162"/>
      <c r="D333" s="162" t="s">
        <v>329</v>
      </c>
      <c r="E333" s="168" t="s">
        <v>340</v>
      </c>
      <c r="F333" s="196">
        <f>F335*((F322)/(F321*F320))</f>
        <v>425.40928381875</v>
      </c>
      <c r="G333" s="196">
        <f t="shared" ref="G333:H333" si="233">G335*((G322)/(G321*G320))</f>
        <v>8167.8582493200001</v>
      </c>
      <c r="H333" s="196">
        <f t="shared" si="233"/>
        <v>32671.432997280001</v>
      </c>
      <c r="I333" s="204"/>
      <c r="J333" s="204"/>
      <c r="K333" s="196"/>
      <c r="L333" s="204"/>
      <c r="M333" s="204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x14ac:dyDescent="0.2">
      <c r="A334" s="181" t="s">
        <v>126</v>
      </c>
      <c r="B334" s="183" t="s">
        <v>127</v>
      </c>
      <c r="C334" s="162"/>
      <c r="D334" s="162" t="s">
        <v>329</v>
      </c>
      <c r="E334" s="165" t="s">
        <v>53</v>
      </c>
      <c r="F334" s="164">
        <v>150</v>
      </c>
      <c r="G334" s="164">
        <v>150</v>
      </c>
      <c r="H334" s="164">
        <v>150</v>
      </c>
      <c r="I334" s="205"/>
      <c r="J334" s="205"/>
      <c r="K334" s="164"/>
      <c r="L334" s="205"/>
      <c r="M334" s="205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6" x14ac:dyDescent="0.2">
      <c r="A335" s="181" t="s">
        <v>84</v>
      </c>
      <c r="B335" s="183" t="s">
        <v>85</v>
      </c>
      <c r="C335" s="162"/>
      <c r="D335" s="162" t="s">
        <v>329</v>
      </c>
      <c r="E335" s="193" t="s">
        <v>308</v>
      </c>
      <c r="F335" s="197">
        <f t="shared" ref="F335:H335" si="234">F334*F316*0.95</f>
        <v>5801.0356884374996</v>
      </c>
      <c r="G335" s="197">
        <f t="shared" si="234"/>
        <v>111379.885218</v>
      </c>
      <c r="H335" s="197">
        <f t="shared" si="234"/>
        <v>445519.54087199998</v>
      </c>
      <c r="I335" s="206"/>
      <c r="J335" s="206"/>
      <c r="K335" s="197"/>
      <c r="L335" s="206"/>
      <c r="M335" s="206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x14ac:dyDescent="0.2">
      <c r="A336" s="181" t="s">
        <v>84</v>
      </c>
      <c r="B336" s="183" t="s">
        <v>127</v>
      </c>
      <c r="C336" s="162"/>
      <c r="D336" s="162" t="s">
        <v>329</v>
      </c>
      <c r="E336" s="165" t="s">
        <v>310</v>
      </c>
      <c r="F336" s="198">
        <f>F335/F334</f>
        <v>38.67357125625</v>
      </c>
      <c r="G336" s="198">
        <f t="shared" ref="G336:H336" si="235">G335/G334</f>
        <v>742.53256811999995</v>
      </c>
      <c r="H336" s="198">
        <f t="shared" si="235"/>
        <v>2970.1302724799998</v>
      </c>
      <c r="I336" s="205"/>
      <c r="J336" s="205"/>
      <c r="K336" s="198"/>
      <c r="L336" s="205"/>
      <c r="M336" s="205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9" x14ac:dyDescent="0.2">
      <c r="A337" s="181" t="s">
        <v>84</v>
      </c>
      <c r="B337" s="183" t="s">
        <v>85</v>
      </c>
      <c r="C337" s="162"/>
      <c r="D337" s="162" t="s">
        <v>329</v>
      </c>
      <c r="E337" s="168" t="s">
        <v>341</v>
      </c>
      <c r="F337" s="199">
        <f>F336*1.2</f>
        <v>46.408285507499997</v>
      </c>
      <c r="G337" s="199">
        <f t="shared" ref="G337:H337" si="236">G336*1.2</f>
        <v>891.03908174399987</v>
      </c>
      <c r="H337" s="199">
        <f t="shared" si="236"/>
        <v>3564.1563269759995</v>
      </c>
      <c r="I337" s="204"/>
      <c r="J337" s="204"/>
      <c r="K337" s="199"/>
      <c r="L337" s="204"/>
      <c r="M337" s="204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9" x14ac:dyDescent="0.2">
      <c r="A338" s="181" t="s">
        <v>84</v>
      </c>
      <c r="B338" s="183" t="s">
        <v>243</v>
      </c>
      <c r="C338" s="162"/>
      <c r="D338" s="162" t="s">
        <v>329</v>
      </c>
      <c r="E338" t="s">
        <v>328</v>
      </c>
      <c r="F338" s="178">
        <f>F316/F321</f>
        <v>22.799999999999997</v>
      </c>
      <c r="G338" s="178">
        <f t="shared" ref="G338:H338" si="237">G316/G321</f>
        <v>456</v>
      </c>
      <c r="H338" s="178">
        <f t="shared" si="237"/>
        <v>455.99999999999994</v>
      </c>
      <c r="I338" s="202"/>
      <c r="J338" s="202"/>
      <c r="K338" s="178"/>
      <c r="L338" s="202"/>
      <c r="M338" s="202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9" ht="17" x14ac:dyDescent="0.2">
      <c r="A339" s="179" t="s">
        <v>84</v>
      </c>
      <c r="B339" s="179" t="s">
        <v>85</v>
      </c>
      <c r="C339" s="162"/>
      <c r="D339" s="162" t="s">
        <v>329</v>
      </c>
      <c r="E339" t="s">
        <v>342</v>
      </c>
      <c r="F339" s="144">
        <f>F328*3</f>
        <v>3.8956002272727273</v>
      </c>
      <c r="G339" s="144">
        <f t="shared" ref="G339:H339" si="238">G328*3</f>
        <v>3.7397762181818175</v>
      </c>
      <c r="H339" s="144">
        <f t="shared" si="238"/>
        <v>14.959104872727274</v>
      </c>
      <c r="I339" s="202"/>
      <c r="J339" s="202"/>
      <c r="K339" s="201"/>
      <c r="L339" s="202"/>
      <c r="M339" s="202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9" hidden="1" x14ac:dyDescent="0.2">
      <c r="A340" s="179"/>
      <c r="B340" s="179"/>
      <c r="C340" s="162"/>
      <c r="D340" s="162" t="s">
        <v>329</v>
      </c>
      <c r="E340" t="s">
        <v>343</v>
      </c>
      <c r="F340">
        <v>6</v>
      </c>
      <c r="G340">
        <v>6</v>
      </c>
      <c r="H340">
        <v>6</v>
      </c>
      <c r="I340" s="202"/>
      <c r="J340" s="202"/>
      <c r="K340"/>
      <c r="L340" s="202"/>
      <c r="M340" s="202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9" x14ac:dyDescent="0.2">
      <c r="AC341" s="13"/>
      <c r="AD341" s="13"/>
    </row>
    <row r="342" spans="1:39" x14ac:dyDescent="0.2">
      <c r="AC342" s="13"/>
      <c r="AD342" s="13"/>
    </row>
    <row r="343" spans="1:39" ht="40" x14ac:dyDescent="0.25">
      <c r="A343"/>
      <c r="B343"/>
      <c r="C343" s="162"/>
      <c r="D343" s="162"/>
      <c r="E343" s="207" t="s">
        <v>344</v>
      </c>
      <c r="F343"/>
      <c r="G343"/>
      <c r="H343"/>
      <c r="I343"/>
      <c r="J343"/>
      <c r="K343"/>
      <c r="L343" s="162"/>
      <c r="M343" s="162"/>
      <c r="AD343" s="13"/>
    </row>
    <row r="344" spans="1:39" x14ac:dyDescent="0.2">
      <c r="A344" s="171" t="s">
        <v>126</v>
      </c>
      <c r="B344" s="189" t="s">
        <v>127</v>
      </c>
      <c r="C344" s="162"/>
      <c r="D344" s="162" t="s">
        <v>345</v>
      </c>
      <c r="E344" s="165" t="s">
        <v>317</v>
      </c>
      <c r="F344" s="166">
        <f>F320</f>
        <v>150</v>
      </c>
      <c r="G344" s="166">
        <f t="shared" ref="G344:H344" si="239">G320</f>
        <v>150</v>
      </c>
      <c r="H344" s="166">
        <f t="shared" si="239"/>
        <v>150</v>
      </c>
      <c r="I344" s="166"/>
      <c r="J344" s="166"/>
      <c r="K344" s="166"/>
      <c r="L344" s="166"/>
      <c r="M344" s="166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</row>
    <row r="345" spans="1:39" x14ac:dyDescent="0.2">
      <c r="A345" s="167" t="s">
        <v>126</v>
      </c>
      <c r="B345" s="190" t="s">
        <v>127</v>
      </c>
      <c r="C345" s="162"/>
      <c r="D345" s="162" t="s">
        <v>345</v>
      </c>
      <c r="E345" s="168" t="s">
        <v>331</v>
      </c>
      <c r="F345" s="170">
        <f>F314</f>
        <v>1.7854834374999999</v>
      </c>
      <c r="G345" s="170">
        <f t="shared" ref="G345:H345" si="240">G314</f>
        <v>1.7140640999999999</v>
      </c>
      <c r="H345" s="170">
        <f t="shared" si="240"/>
        <v>6.8562564000000004</v>
      </c>
      <c r="I345" s="170"/>
      <c r="J345" s="170"/>
      <c r="K345" s="170"/>
      <c r="L345" s="170"/>
      <c r="M345" s="170"/>
      <c r="AC345" s="13"/>
      <c r="AD345" s="13"/>
    </row>
    <row r="346" spans="1:39" x14ac:dyDescent="0.2">
      <c r="A346" s="171" t="s">
        <v>126</v>
      </c>
      <c r="B346" s="189" t="s">
        <v>127</v>
      </c>
      <c r="C346" s="162"/>
      <c r="D346" s="162" t="s">
        <v>345</v>
      </c>
      <c r="E346" s="165" t="s">
        <v>346</v>
      </c>
      <c r="F346" s="191">
        <f>F345*F347</f>
        <v>4.0173377343749994</v>
      </c>
      <c r="G346" s="191">
        <f t="shared" ref="G346:H346" si="241">G345*G347</f>
        <v>3.8566442249999997</v>
      </c>
      <c r="H346" s="191">
        <f t="shared" si="241"/>
        <v>15.426576900000001</v>
      </c>
      <c r="I346" s="191"/>
      <c r="J346" s="191"/>
      <c r="K346" s="191"/>
      <c r="L346" s="191"/>
      <c r="M346" s="191"/>
      <c r="AC346" s="13"/>
      <c r="AD346" s="13"/>
    </row>
    <row r="347" spans="1:39" x14ac:dyDescent="0.2">
      <c r="A347" s="167" t="s">
        <v>126</v>
      </c>
      <c r="B347" s="190" t="s">
        <v>85</v>
      </c>
      <c r="C347" s="162"/>
      <c r="D347" s="162" t="s">
        <v>345</v>
      </c>
      <c r="E347" s="168" t="s">
        <v>347</v>
      </c>
      <c r="F347" s="173">
        <v>2.25</v>
      </c>
      <c r="G347" s="173">
        <v>2.25</v>
      </c>
      <c r="H347" s="173">
        <v>2.25</v>
      </c>
      <c r="I347" s="173"/>
      <c r="J347" s="173"/>
      <c r="K347" s="173"/>
      <c r="L347" s="173"/>
      <c r="M347" s="173"/>
      <c r="AC347" s="13"/>
      <c r="AD347" s="13"/>
    </row>
    <row r="348" spans="1:39" x14ac:dyDescent="0.2">
      <c r="A348" t="s">
        <v>126</v>
      </c>
      <c r="B348" s="200" t="s">
        <v>85</v>
      </c>
      <c r="C348"/>
      <c r="D348" s="162" t="s">
        <v>345</v>
      </c>
      <c r="E348" t="s">
        <v>322</v>
      </c>
      <c r="F348">
        <v>0.13</v>
      </c>
      <c r="G348">
        <v>0.13</v>
      </c>
      <c r="H348">
        <v>0.13</v>
      </c>
      <c r="I348"/>
      <c r="J348"/>
      <c r="K348"/>
      <c r="L348"/>
      <c r="M348"/>
      <c r="AC348" s="13"/>
      <c r="AD348" s="13"/>
    </row>
    <row r="349" spans="1:39" ht="16" x14ac:dyDescent="0.2">
      <c r="A349" s="208" t="s">
        <v>84</v>
      </c>
      <c r="B349" s="209" t="s">
        <v>127</v>
      </c>
      <c r="C349" s="210"/>
      <c r="D349" s="162" t="s">
        <v>345</v>
      </c>
      <c r="E349" s="193" t="s">
        <v>323</v>
      </c>
      <c r="F349" s="211">
        <f>F345*(1/F348)</f>
        <v>13.734487980769229</v>
      </c>
      <c r="G349" s="211">
        <f t="shared" ref="G349:H349" si="242">G345*(1/G348)</f>
        <v>13.185108461538459</v>
      </c>
      <c r="H349" s="211">
        <f t="shared" si="242"/>
        <v>52.740433846153842</v>
      </c>
      <c r="I349" s="211"/>
      <c r="J349" s="211"/>
      <c r="K349" s="211"/>
      <c r="L349" s="211"/>
      <c r="M349" s="211"/>
      <c r="AC349" s="13"/>
      <c r="AD349" s="13"/>
    </row>
    <row r="350" spans="1:39" x14ac:dyDescent="0.2">
      <c r="A350" s="167" t="s">
        <v>84</v>
      </c>
      <c r="B350" s="190" t="s">
        <v>127</v>
      </c>
      <c r="C350" s="162"/>
      <c r="D350" s="162" t="s">
        <v>345</v>
      </c>
      <c r="E350" t="s">
        <v>324</v>
      </c>
      <c r="F350" s="212">
        <f>(F349*1.2)</f>
        <v>16.481385576923074</v>
      </c>
      <c r="G350" s="212">
        <f t="shared" ref="G350:H350" si="243">(G349*1.2)</f>
        <v>15.82213015384615</v>
      </c>
      <c r="H350" s="212">
        <f t="shared" si="243"/>
        <v>63.288520615384606</v>
      </c>
      <c r="I350" s="212"/>
      <c r="J350" s="212"/>
      <c r="K350" s="212"/>
      <c r="L350" s="212"/>
      <c r="M350" s="212"/>
      <c r="AC350" s="13"/>
      <c r="AD350" s="13"/>
    </row>
    <row r="351" spans="1:39" ht="16" x14ac:dyDescent="0.2">
      <c r="A351" s="171" t="s">
        <v>84</v>
      </c>
      <c r="B351" s="189" t="s">
        <v>127</v>
      </c>
      <c r="C351" s="162"/>
      <c r="D351" s="162" t="s">
        <v>345</v>
      </c>
      <c r="E351" s="193" t="s">
        <v>325</v>
      </c>
      <c r="F351" s="213">
        <f>F346/F347</f>
        <v>1.7854834374999997</v>
      </c>
      <c r="G351" s="213">
        <f t="shared" ref="G351:H351" si="244">G346/G347</f>
        <v>1.7140640999999999</v>
      </c>
      <c r="H351" s="213">
        <f t="shared" si="244"/>
        <v>6.8562564000000004</v>
      </c>
      <c r="I351" s="213"/>
      <c r="J351" s="213"/>
      <c r="K351" s="213"/>
      <c r="L351" s="213"/>
      <c r="M351" s="213"/>
      <c r="AC351" s="13"/>
      <c r="AD351" s="13"/>
    </row>
    <row r="352" spans="1:39" x14ac:dyDescent="0.2">
      <c r="A352" s="167" t="s">
        <v>84</v>
      </c>
      <c r="B352" s="190" t="s">
        <v>85</v>
      </c>
      <c r="C352" s="162"/>
      <c r="D352" s="162" t="s">
        <v>345</v>
      </c>
      <c r="E352" t="s">
        <v>298</v>
      </c>
      <c r="F352" s="142">
        <f>F316*F347</f>
        <v>91.595300343749997</v>
      </c>
      <c r="G352" s="142">
        <f t="shared" ref="G352:H352" si="245">G316*G347</f>
        <v>1758.6297665999998</v>
      </c>
      <c r="H352" s="142">
        <f t="shared" si="245"/>
        <v>7034.5190663999992</v>
      </c>
      <c r="I352" s="142"/>
      <c r="J352" s="142"/>
      <c r="K352" s="142"/>
      <c r="L352" s="142"/>
      <c r="M352" s="142"/>
      <c r="AC352" s="13"/>
      <c r="AD352" s="13"/>
    </row>
    <row r="353" spans="1:30" ht="16" x14ac:dyDescent="0.2">
      <c r="A353" s="171" t="s">
        <v>126</v>
      </c>
      <c r="B353" s="189" t="s">
        <v>127</v>
      </c>
      <c r="C353" s="162"/>
      <c r="D353" s="162" t="s">
        <v>345</v>
      </c>
      <c r="E353" s="193" t="s">
        <v>53</v>
      </c>
      <c r="F353" s="214">
        <v>150</v>
      </c>
      <c r="G353" s="214">
        <v>150</v>
      </c>
      <c r="H353" s="214">
        <v>150</v>
      </c>
      <c r="I353" s="214"/>
      <c r="J353" s="214"/>
      <c r="K353" s="214"/>
      <c r="L353" s="214"/>
      <c r="M353" s="214"/>
      <c r="AC353" s="13"/>
      <c r="AD353" s="13"/>
    </row>
    <row r="354" spans="1:30" x14ac:dyDescent="0.2">
      <c r="A354" s="167" t="s">
        <v>84</v>
      </c>
      <c r="B354" s="190" t="s">
        <v>85</v>
      </c>
      <c r="C354" s="162"/>
      <c r="D354" s="162" t="s">
        <v>345</v>
      </c>
      <c r="E354" t="s">
        <v>308</v>
      </c>
      <c r="F354" s="142">
        <f>F353*F316*0.95</f>
        <v>5801.0356884374996</v>
      </c>
      <c r="G354" s="142">
        <f t="shared" ref="G354:H354" si="246">G353*G316*0.95</f>
        <v>111379.885218</v>
      </c>
      <c r="H354" s="142">
        <f t="shared" si="246"/>
        <v>445519.54087199998</v>
      </c>
      <c r="I354" s="142"/>
      <c r="J354" s="142"/>
      <c r="K354" s="142"/>
      <c r="L354" s="142"/>
      <c r="M354" s="142"/>
      <c r="AC354" s="13"/>
      <c r="AD354" s="13"/>
    </row>
    <row r="355" spans="1:30" x14ac:dyDescent="0.2">
      <c r="A355" s="171" t="s">
        <v>84</v>
      </c>
      <c r="B355" s="189" t="s">
        <v>127</v>
      </c>
      <c r="C355" s="162"/>
      <c r="D355" s="162" t="s">
        <v>345</v>
      </c>
      <c r="E355" s="165" t="s">
        <v>310</v>
      </c>
      <c r="F355" s="198">
        <f>F354/F353</f>
        <v>38.67357125625</v>
      </c>
      <c r="G355" s="198">
        <f t="shared" ref="G355:H355" si="247">G354/G353</f>
        <v>742.53256811999995</v>
      </c>
      <c r="H355" s="198">
        <f t="shared" si="247"/>
        <v>2970.1302724799998</v>
      </c>
      <c r="I355" s="198"/>
      <c r="J355" s="215"/>
      <c r="K355" s="198"/>
      <c r="L355" s="198"/>
      <c r="M355" s="198"/>
      <c r="AC355" s="13"/>
      <c r="AD355" s="13"/>
    </row>
    <row r="356" spans="1:30" x14ac:dyDescent="0.2">
      <c r="A356" s="167" t="s">
        <v>84</v>
      </c>
      <c r="B356" s="190" t="s">
        <v>85</v>
      </c>
      <c r="C356" s="162"/>
      <c r="D356" s="162" t="s">
        <v>345</v>
      </c>
      <c r="E356" s="168" t="s">
        <v>341</v>
      </c>
      <c r="F356" s="199">
        <f>F355*1.2</f>
        <v>46.408285507499997</v>
      </c>
      <c r="G356" s="199">
        <f t="shared" ref="G356:H356" si="248">G355*1.2</f>
        <v>891.03908174399987</v>
      </c>
      <c r="H356" s="199">
        <f t="shared" si="248"/>
        <v>3564.1563269759995</v>
      </c>
      <c r="I356" s="199"/>
      <c r="J356" s="199"/>
      <c r="K356" s="199"/>
      <c r="L356" s="199"/>
      <c r="M356" s="199"/>
      <c r="AC356" s="13"/>
      <c r="AD356" s="13"/>
    </row>
    <row r="357" spans="1:30" x14ac:dyDescent="0.2">
      <c r="A357" s="171" t="s">
        <v>84</v>
      </c>
      <c r="B357" s="189" t="s">
        <v>127</v>
      </c>
      <c r="C357" s="162"/>
      <c r="D357" s="162" t="s">
        <v>345</v>
      </c>
      <c r="E357" t="s">
        <v>328</v>
      </c>
      <c r="F357" s="178">
        <f>F316/F345</f>
        <v>22.799999999999997</v>
      </c>
      <c r="G357" s="178">
        <f t="shared" ref="G357:H357" si="249">G316/G345</f>
        <v>456</v>
      </c>
      <c r="H357" s="178">
        <f t="shared" si="249"/>
        <v>455.99999999999994</v>
      </c>
      <c r="I357" s="178"/>
      <c r="J357" s="178"/>
      <c r="K357" s="178"/>
      <c r="L357" s="178"/>
      <c r="M357" s="178"/>
      <c r="AD357" s="13"/>
    </row>
    <row r="358" spans="1:30" x14ac:dyDescent="0.2">
      <c r="A358" s="224" t="s">
        <v>348</v>
      </c>
      <c r="B358" s="225" t="s">
        <v>85</v>
      </c>
      <c r="C358" s="162"/>
      <c r="D358" s="162" t="s">
        <v>345</v>
      </c>
      <c r="E358" t="s">
        <v>343</v>
      </c>
      <c r="F358">
        <v>3</v>
      </c>
      <c r="G358">
        <v>3</v>
      </c>
      <c r="H358">
        <v>3</v>
      </c>
      <c r="I358"/>
      <c r="J358"/>
      <c r="K358"/>
      <c r="L358"/>
      <c r="M358"/>
      <c r="AC358" s="13"/>
      <c r="AD358" s="13"/>
    </row>
    <row r="359" spans="1:30" x14ac:dyDescent="0.2">
      <c r="AC359" s="13"/>
      <c r="AD359" s="13"/>
    </row>
    <row r="360" spans="1:30" x14ac:dyDescent="0.2">
      <c r="AC360" s="13"/>
      <c r="AD360" s="13"/>
    </row>
    <row r="361" spans="1:30" x14ac:dyDescent="0.2">
      <c r="AC361" s="13"/>
      <c r="AD361" s="13"/>
    </row>
    <row r="362" spans="1:30" x14ac:dyDescent="0.2">
      <c r="AC362" s="13"/>
      <c r="AD362" s="13"/>
    </row>
    <row r="363" spans="1:30" x14ac:dyDescent="0.2">
      <c r="AC363" s="13"/>
      <c r="AD363" s="13"/>
    </row>
    <row r="364" spans="1:30" x14ac:dyDescent="0.2">
      <c r="AC364" s="13"/>
      <c r="AD364" s="13"/>
    </row>
    <row r="365" spans="1:30" x14ac:dyDescent="0.2">
      <c r="AC365" s="13"/>
      <c r="AD365" s="13"/>
    </row>
    <row r="366" spans="1:30" x14ac:dyDescent="0.2">
      <c r="AC366" s="13"/>
      <c r="AD366" s="13"/>
    </row>
    <row r="367" spans="1:30" x14ac:dyDescent="0.2">
      <c r="AC367" s="13"/>
      <c r="AD367" s="13"/>
    </row>
    <row r="368" spans="1:30" x14ac:dyDescent="0.2">
      <c r="AC368" s="13"/>
      <c r="AD368" s="13"/>
    </row>
    <row r="369" spans="29:30" x14ac:dyDescent="0.2">
      <c r="AC369" s="13"/>
      <c r="AD369" s="13"/>
    </row>
    <row r="370" spans="29:30" x14ac:dyDescent="0.2">
      <c r="AC370" s="13"/>
      <c r="AD370" s="13"/>
    </row>
    <row r="371" spans="29:30" x14ac:dyDescent="0.2">
      <c r="AC371" s="13"/>
      <c r="AD371" s="13"/>
    </row>
    <row r="372" spans="29:30" x14ac:dyDescent="0.2">
      <c r="AC372" s="13"/>
      <c r="AD372" s="13"/>
    </row>
    <row r="373" spans="29:30" x14ac:dyDescent="0.2">
      <c r="AC373" s="13"/>
      <c r="AD373" s="13"/>
    </row>
    <row r="374" spans="29:30" x14ac:dyDescent="0.2">
      <c r="AC374" s="13"/>
      <c r="AD374" s="13"/>
    </row>
    <row r="375" spans="29:30" x14ac:dyDescent="0.2">
      <c r="AC375" s="13"/>
      <c r="AD375" s="13"/>
    </row>
    <row r="376" spans="29:30" x14ac:dyDescent="0.2">
      <c r="AC376" s="13"/>
      <c r="AD376" s="13"/>
    </row>
    <row r="377" spans="29:30" x14ac:dyDescent="0.2">
      <c r="AC377" s="13"/>
      <c r="AD377" s="13"/>
    </row>
    <row r="378" spans="29:30" x14ac:dyDescent="0.2">
      <c r="AC378" s="13"/>
      <c r="AD378" s="13"/>
    </row>
  </sheetData>
  <phoneticPr fontId="9" type="noConversion"/>
  <pageMargins left="0.7" right="0.7" top="0.75" bottom="0.75" header="0.3" footer="0.3"/>
  <pageSetup orientation="portrait" verticalDpi="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B856-7F5F-7247-94D6-6575EB7F6D05}">
  <dimension ref="C3:AJ59"/>
  <sheetViews>
    <sheetView topLeftCell="K39" zoomScale="165" workbookViewId="0">
      <selection activeCell="L39" sqref="L39:U39"/>
    </sheetView>
  </sheetViews>
  <sheetFormatPr baseColWidth="10" defaultColWidth="11.5" defaultRowHeight="15" x14ac:dyDescent="0.2"/>
  <cols>
    <col min="3" max="3" width="15.83203125" customWidth="1"/>
    <col min="8" max="8" width="14.6640625" bestFit="1" customWidth="1"/>
    <col min="16" max="16" width="11.5" style="152"/>
  </cols>
  <sheetData>
    <row r="3" spans="4:26" x14ac:dyDescent="0.2">
      <c r="N3" t="s">
        <v>349</v>
      </c>
    </row>
    <row r="4" spans="4:26" x14ac:dyDescent="0.2">
      <c r="F4" t="s">
        <v>350</v>
      </c>
      <c r="G4">
        <v>60</v>
      </c>
      <c r="H4" t="s">
        <v>233</v>
      </c>
    </row>
    <row r="5" spans="4:26" x14ac:dyDescent="0.2">
      <c r="F5" t="s">
        <v>351</v>
      </c>
      <c r="G5" s="141">
        <v>0.65</v>
      </c>
      <c r="H5" t="s">
        <v>233</v>
      </c>
      <c r="T5" t="s">
        <v>352</v>
      </c>
      <c r="U5">
        <v>140</v>
      </c>
    </row>
    <row r="6" spans="4:26" s="143" customFormat="1" ht="80" x14ac:dyDescent="0.2">
      <c r="E6" s="143" t="s">
        <v>353</v>
      </c>
      <c r="F6" s="143" t="s">
        <v>354</v>
      </c>
      <c r="G6" s="143" t="s">
        <v>122</v>
      </c>
      <c r="H6" s="143" t="s">
        <v>355</v>
      </c>
      <c r="I6" s="143" t="s">
        <v>356</v>
      </c>
      <c r="P6" s="153"/>
    </row>
    <row r="7" spans="4:26" ht="64" x14ac:dyDescent="0.2">
      <c r="D7" t="s">
        <v>357</v>
      </c>
      <c r="E7">
        <v>6</v>
      </c>
      <c r="F7">
        <v>18</v>
      </c>
      <c r="G7" s="142">
        <f t="shared" ref="G7:G12" si="0">F7*1000/(G$5*G$4)</f>
        <v>461.53846153846155</v>
      </c>
      <c r="H7">
        <v>5</v>
      </c>
      <c r="I7" s="142">
        <f>G7/H7</f>
        <v>92.307692307692307</v>
      </c>
      <c r="M7" s="143"/>
      <c r="N7" t="s">
        <v>358</v>
      </c>
      <c r="O7" t="s">
        <v>359</v>
      </c>
      <c r="Q7" s="143" t="s">
        <v>360</v>
      </c>
      <c r="R7" s="143" t="s">
        <v>361</v>
      </c>
      <c r="S7" t="s">
        <v>362</v>
      </c>
      <c r="T7" s="143" t="s">
        <v>122</v>
      </c>
      <c r="W7" s="143" t="s">
        <v>363</v>
      </c>
      <c r="X7" s="143" t="s">
        <v>364</v>
      </c>
      <c r="Y7" s="143" t="s">
        <v>365</v>
      </c>
      <c r="Z7" s="143" t="s">
        <v>366</v>
      </c>
    </row>
    <row r="8" spans="4:26" x14ac:dyDescent="0.2">
      <c r="D8" t="s">
        <v>367</v>
      </c>
      <c r="E8">
        <v>3</v>
      </c>
      <c r="F8">
        <v>9</v>
      </c>
      <c r="G8" s="142">
        <f t="shared" si="0"/>
        <v>230.76923076923077</v>
      </c>
      <c r="H8">
        <v>5</v>
      </c>
      <c r="I8" s="142">
        <f t="shared" ref="I8:I11" si="1">G8/H8</f>
        <v>46.153846153846153</v>
      </c>
      <c r="N8" t="s">
        <v>368</v>
      </c>
      <c r="O8" t="s">
        <v>369</v>
      </c>
      <c r="R8" t="s">
        <v>370</v>
      </c>
    </row>
    <row r="9" spans="4:26" x14ac:dyDescent="0.2">
      <c r="D9" t="s">
        <v>371</v>
      </c>
      <c r="E9">
        <v>3</v>
      </c>
      <c r="F9">
        <v>17</v>
      </c>
      <c r="G9" s="142">
        <f t="shared" si="0"/>
        <v>435.89743589743591</v>
      </c>
      <c r="H9">
        <v>5</v>
      </c>
      <c r="I9" s="142">
        <f t="shared" si="1"/>
        <v>87.179487179487182</v>
      </c>
      <c r="M9" t="s">
        <v>372</v>
      </c>
    </row>
    <row r="10" spans="4:26" x14ac:dyDescent="0.2">
      <c r="D10" t="s">
        <v>45</v>
      </c>
      <c r="E10">
        <v>1</v>
      </c>
      <c r="F10">
        <v>5</v>
      </c>
      <c r="G10" s="142">
        <f t="shared" si="0"/>
        <v>128.2051282051282</v>
      </c>
      <c r="H10">
        <v>1</v>
      </c>
      <c r="I10" s="142">
        <f t="shared" si="1"/>
        <v>128.2051282051282</v>
      </c>
      <c r="N10">
        <v>1.5</v>
      </c>
      <c r="O10">
        <v>12</v>
      </c>
      <c r="Q10">
        <f>120</f>
        <v>120</v>
      </c>
      <c r="R10">
        <f>Q10*O10/1000</f>
        <v>1.44</v>
      </c>
      <c r="S10">
        <v>3</v>
      </c>
      <c r="T10" s="142">
        <f>(N10/R10)/S10/G$5*1000</f>
        <v>534.18803418803429</v>
      </c>
      <c r="W10" s="132">
        <f>U$5*T10</f>
        <v>74786.324786324796</v>
      </c>
      <c r="X10" s="144">
        <f>ROUNDUP(W10/5000,0)</f>
        <v>15</v>
      </c>
      <c r="Y10" s="142">
        <f>ROUNDUP($U$5/0.65*1000/20/R10/2000,0)</f>
        <v>4</v>
      </c>
      <c r="Z10" s="145">
        <f>X10*1870/1000/140</f>
        <v>0.20035714285714287</v>
      </c>
    </row>
    <row r="11" spans="4:26" x14ac:dyDescent="0.2">
      <c r="D11" t="s">
        <v>373</v>
      </c>
      <c r="E11">
        <v>1</v>
      </c>
      <c r="F11">
        <v>9</v>
      </c>
      <c r="G11" s="142">
        <f t="shared" si="0"/>
        <v>230.76923076923077</v>
      </c>
      <c r="H11">
        <v>5</v>
      </c>
      <c r="I11" s="142">
        <f t="shared" si="1"/>
        <v>46.153846153846153</v>
      </c>
      <c r="N11">
        <v>1.5</v>
      </c>
      <c r="O11">
        <v>15</v>
      </c>
      <c r="Q11">
        <f>120</f>
        <v>120</v>
      </c>
      <c r="R11">
        <f t="shared" ref="R11:R14" si="2">Q11*O11/1000</f>
        <v>1.8</v>
      </c>
      <c r="S11">
        <v>3</v>
      </c>
      <c r="T11" s="142">
        <f>(N11/R11)/S11/G$5*1000</f>
        <v>427.35042735042725</v>
      </c>
      <c r="W11" s="132">
        <f>U$5*T11</f>
        <v>59829.059829059814</v>
      </c>
      <c r="X11" s="144">
        <f t="shared" ref="X11:X14" si="3">ROUNDUP(W11/5000,0)</f>
        <v>12</v>
      </c>
      <c r="Y11" s="142">
        <f>ROUNDUP($U$5/0.65*1000/20/R11/2000,0)</f>
        <v>3</v>
      </c>
      <c r="Z11" s="145">
        <f t="shared" ref="Z11:Z14" si="4">X11*1870/1000/140</f>
        <v>0.16028571428571428</v>
      </c>
    </row>
    <row r="12" spans="4:26" x14ac:dyDescent="0.2">
      <c r="D12" t="s">
        <v>374</v>
      </c>
      <c r="E12">
        <v>3</v>
      </c>
      <c r="F12">
        <v>1</v>
      </c>
      <c r="G12" s="142">
        <f t="shared" si="0"/>
        <v>25.641025641025642</v>
      </c>
      <c r="H12">
        <v>1</v>
      </c>
      <c r="I12" s="142">
        <f t="shared" ref="I12" si="5">G12/H12</f>
        <v>25.641025641025642</v>
      </c>
      <c r="N12">
        <v>1.5</v>
      </c>
      <c r="O12">
        <v>23</v>
      </c>
      <c r="Q12">
        <f>120</f>
        <v>120</v>
      </c>
      <c r="R12">
        <f t="shared" si="2"/>
        <v>2.76</v>
      </c>
      <c r="S12">
        <v>3</v>
      </c>
      <c r="T12" s="142">
        <f>(N12/R12)/S12/G$5*1000</f>
        <v>278.70680044593092</v>
      </c>
      <c r="W12" s="132">
        <f>U$5*T12</f>
        <v>39018.952062430326</v>
      </c>
      <c r="X12" s="144">
        <f t="shared" si="3"/>
        <v>8</v>
      </c>
      <c r="Y12" s="142">
        <f>ROUNDUP($U$5/0.65*1000/20/R12/2000,0)</f>
        <v>2</v>
      </c>
      <c r="Z12" s="145">
        <f t="shared" si="4"/>
        <v>0.10685714285714286</v>
      </c>
    </row>
    <row r="13" spans="4:26" x14ac:dyDescent="0.2">
      <c r="D13" t="s">
        <v>375</v>
      </c>
      <c r="E13">
        <f>SUM(E7:E11)</f>
        <v>14</v>
      </c>
      <c r="F13" s="142">
        <f>SUM(F7:F12)</f>
        <v>59</v>
      </c>
      <c r="G13" s="142">
        <f>SUM(G7:G11)</f>
        <v>1487.1794871794873</v>
      </c>
      <c r="I13" s="142">
        <f>SUM(I7:I11)</f>
        <v>399.99999999999994</v>
      </c>
      <c r="J13" s="142">
        <f>I13/E13</f>
        <v>28.571428571428566</v>
      </c>
      <c r="N13">
        <v>1.5</v>
      </c>
      <c r="O13">
        <v>40</v>
      </c>
      <c r="Q13">
        <f>120</f>
        <v>120</v>
      </c>
      <c r="R13">
        <f t="shared" si="2"/>
        <v>4.8</v>
      </c>
      <c r="S13">
        <v>3</v>
      </c>
      <c r="T13" s="142">
        <f>(N13/R13)/S13/G$5*1000</f>
        <v>160.25641025641028</v>
      </c>
      <c r="W13" s="132">
        <f>U$5*T13</f>
        <v>22435.897435897437</v>
      </c>
      <c r="X13" s="144">
        <f t="shared" si="3"/>
        <v>5</v>
      </c>
      <c r="Y13" s="142">
        <f>ROUNDUP($U$5/0.65*1000/20/R13/2000,0)</f>
        <v>2</v>
      </c>
      <c r="Z13" s="145">
        <f t="shared" si="4"/>
        <v>6.6785714285714282E-2</v>
      </c>
    </row>
    <row r="14" spans="4:26" x14ac:dyDescent="0.2">
      <c r="D14" t="s">
        <v>376</v>
      </c>
      <c r="N14">
        <v>1.5</v>
      </c>
      <c r="O14">
        <v>50</v>
      </c>
      <c r="Q14">
        <f>120</f>
        <v>120</v>
      </c>
      <c r="R14">
        <f t="shared" si="2"/>
        <v>6</v>
      </c>
      <c r="S14">
        <v>3</v>
      </c>
      <c r="T14" s="142">
        <f>(N14/R14)/S14/G$5*1000</f>
        <v>128.2051282051282</v>
      </c>
      <c r="W14" s="132">
        <f>U$5*T14</f>
        <v>17948.717948717949</v>
      </c>
      <c r="X14" s="144">
        <f t="shared" si="3"/>
        <v>4</v>
      </c>
      <c r="Y14" s="142">
        <f>ROUNDUP($U$5/0.65*1000/20/R14/2000,0)</f>
        <v>1</v>
      </c>
      <c r="Z14" s="145">
        <f t="shared" si="4"/>
        <v>5.3428571428571429E-2</v>
      </c>
    </row>
    <row r="15" spans="4:26" x14ac:dyDescent="0.2">
      <c r="M15" t="s">
        <v>377</v>
      </c>
      <c r="W15" s="132"/>
    </row>
    <row r="16" spans="4:26" x14ac:dyDescent="0.2">
      <c r="N16">
        <v>1.5</v>
      </c>
      <c r="O16">
        <v>10</v>
      </c>
      <c r="Q16">
        <v>50</v>
      </c>
      <c r="R16">
        <f>Q16*O16/1000</f>
        <v>0.5</v>
      </c>
      <c r="S16">
        <v>3</v>
      </c>
      <c r="T16" s="142">
        <f>(N16/R16)/S16/G$5*1000</f>
        <v>1538.4615384615383</v>
      </c>
      <c r="W16" s="132">
        <f>U$5*T16</f>
        <v>215384.61538461538</v>
      </c>
      <c r="X16" s="144">
        <f>ROUNDUP(W16/5000,0)</f>
        <v>44</v>
      </c>
      <c r="Y16" s="142">
        <f>ROUNDUP($U$5/0.65*1000/20/R16/2000,0)</f>
        <v>11</v>
      </c>
      <c r="Z16" s="145">
        <f>X16*1870/1000/140</f>
        <v>0.58771428571428574</v>
      </c>
    </row>
    <row r="17" spans="4:28" x14ac:dyDescent="0.2">
      <c r="E17" t="s">
        <v>378</v>
      </c>
      <c r="N17">
        <v>1.5</v>
      </c>
      <c r="O17">
        <v>20</v>
      </c>
      <c r="Q17">
        <v>50</v>
      </c>
      <c r="R17">
        <f t="shared" ref="R17:R20" si="6">Q17*O17/1000</f>
        <v>1</v>
      </c>
      <c r="S17">
        <v>3</v>
      </c>
      <c r="T17" s="142">
        <f>(N17/R17)/S17/G$5*1000</f>
        <v>769.23076923076917</v>
      </c>
      <c r="W17" s="132">
        <f>U$5*T17</f>
        <v>107692.30769230769</v>
      </c>
      <c r="X17" s="144">
        <f t="shared" ref="X17:X20" si="7">ROUNDUP(W17/5000,0)</f>
        <v>22</v>
      </c>
      <c r="Y17" s="142">
        <f>ROUNDUP($U$5/0.65*1000/20/R17/2000,0)</f>
        <v>6</v>
      </c>
      <c r="Z17" s="145">
        <f t="shared" ref="Z17:Z20" si="8">X17*1870/1000/140</f>
        <v>0.29385714285714287</v>
      </c>
    </row>
    <row r="18" spans="4:28" x14ac:dyDescent="0.2">
      <c r="E18" t="s">
        <v>379</v>
      </c>
      <c r="N18">
        <v>1.5</v>
      </c>
      <c r="O18">
        <v>30</v>
      </c>
      <c r="Q18">
        <v>50</v>
      </c>
      <c r="R18">
        <f t="shared" si="6"/>
        <v>1.5</v>
      </c>
      <c r="S18">
        <v>3</v>
      </c>
      <c r="T18" s="142">
        <f>(N18/R18)/S18/G$5*1000</f>
        <v>512.82051282051282</v>
      </c>
      <c r="W18" s="132">
        <f>U$5*T18</f>
        <v>71794.871794871797</v>
      </c>
      <c r="X18" s="144">
        <f t="shared" si="7"/>
        <v>15</v>
      </c>
      <c r="Y18" s="142">
        <f>ROUNDUP($U$5/0.65*1000/20/R18/2000,0)</f>
        <v>4</v>
      </c>
      <c r="Z18" s="145">
        <f t="shared" si="8"/>
        <v>0.20035714285714287</v>
      </c>
    </row>
    <row r="19" spans="4:28" x14ac:dyDescent="0.2">
      <c r="N19">
        <v>1.5</v>
      </c>
      <c r="O19">
        <v>40</v>
      </c>
      <c r="Q19">
        <v>50</v>
      </c>
      <c r="R19">
        <f t="shared" si="6"/>
        <v>2</v>
      </c>
      <c r="S19">
        <v>3</v>
      </c>
      <c r="T19" s="142">
        <f>(N19/R19)/S19/G$5*1000</f>
        <v>384.61538461538458</v>
      </c>
      <c r="W19" s="132">
        <f>U$5*T19</f>
        <v>53846.153846153844</v>
      </c>
      <c r="X19" s="144">
        <f t="shared" si="7"/>
        <v>11</v>
      </c>
      <c r="Y19" s="142">
        <f>ROUNDUP($U$5/0.65*1000/20/R19/2000,0)</f>
        <v>3</v>
      </c>
      <c r="Z19" s="145">
        <f t="shared" si="8"/>
        <v>0.14692857142857144</v>
      </c>
    </row>
    <row r="20" spans="4:28" x14ac:dyDescent="0.2">
      <c r="E20" t="s">
        <v>380</v>
      </c>
      <c r="F20" s="142">
        <f>U5*J13</f>
        <v>3999.9999999999991</v>
      </c>
      <c r="G20" t="s">
        <v>381</v>
      </c>
      <c r="N20">
        <v>1.5</v>
      </c>
      <c r="O20">
        <v>50</v>
      </c>
      <c r="Q20">
        <v>50</v>
      </c>
      <c r="R20">
        <f t="shared" si="6"/>
        <v>2.5</v>
      </c>
      <c r="S20">
        <v>3</v>
      </c>
      <c r="T20" s="142">
        <f>(N20/R20)/S20/G$5*1000</f>
        <v>307.69230769230768</v>
      </c>
      <c r="W20" s="132">
        <f>U$5*T20</f>
        <v>43076.923076923078</v>
      </c>
      <c r="X20" s="144">
        <f t="shared" si="7"/>
        <v>9</v>
      </c>
      <c r="Y20" s="142">
        <f>ROUNDUP($U$5/0.65*1000/20/R20/2000,0)</f>
        <v>3</v>
      </c>
      <c r="Z20" s="145">
        <f t="shared" si="8"/>
        <v>0.1202142857142857</v>
      </c>
    </row>
    <row r="21" spans="4:28" x14ac:dyDescent="0.2">
      <c r="F21">
        <v>5000</v>
      </c>
      <c r="G21" t="s">
        <v>382</v>
      </c>
    </row>
    <row r="22" spans="4:28" x14ac:dyDescent="0.2">
      <c r="F22" s="132">
        <f>E13*F20/F21</f>
        <v>11.199999999999998</v>
      </c>
      <c r="G22" t="s">
        <v>383</v>
      </c>
    </row>
    <row r="23" spans="4:28" x14ac:dyDescent="0.2">
      <c r="AA23">
        <f>16*1870</f>
        <v>29920</v>
      </c>
      <c r="AB23">
        <f>AA23/110000</f>
        <v>0.27200000000000002</v>
      </c>
    </row>
    <row r="24" spans="4:28" x14ac:dyDescent="0.2">
      <c r="G24" t="s">
        <v>384</v>
      </c>
      <c r="R24" s="132">
        <f>2000*1.5/3*20</f>
        <v>20000</v>
      </c>
    </row>
    <row r="25" spans="4:28" s="143" customFormat="1" ht="64" x14ac:dyDescent="0.2">
      <c r="D25" s="143" t="s">
        <v>385</v>
      </c>
      <c r="E25" s="143" t="s">
        <v>386</v>
      </c>
      <c r="F25" s="143" t="s">
        <v>387</v>
      </c>
      <c r="G25" s="143" t="s">
        <v>388</v>
      </c>
      <c r="H25" s="143" t="s">
        <v>389</v>
      </c>
      <c r="M25" s="143" t="s">
        <v>390</v>
      </c>
      <c r="N25" s="146">
        <f>F22+X12</f>
        <v>19.199999999999996</v>
      </c>
      <c r="P25" s="153"/>
    </row>
    <row r="26" spans="4:28" x14ac:dyDescent="0.2">
      <c r="D26" s="148">
        <f>E26/0.65/8000/20*1000</f>
        <v>0.48076923076923067</v>
      </c>
      <c r="E26">
        <v>50</v>
      </c>
      <c r="F26" s="132">
        <f>$I$13*E26</f>
        <v>19999.999999999996</v>
      </c>
      <c r="G26">
        <f>ROUNDUP(F26/5000,0)</f>
        <v>4</v>
      </c>
      <c r="H26" s="147">
        <f>G26*1870/E26/1000</f>
        <v>0.14959999999999998</v>
      </c>
    </row>
    <row r="27" spans="4:28" x14ac:dyDescent="0.2">
      <c r="D27" s="148">
        <f t="shared" ref="D27:D30" si="9">E27/0.65/8000/20*1000</f>
        <v>0.96153846153846134</v>
      </c>
      <c r="E27">
        <v>100</v>
      </c>
      <c r="F27" s="132">
        <f t="shared" ref="F27:F30" si="10">$I$13*E27</f>
        <v>39999.999999999993</v>
      </c>
      <c r="G27">
        <f t="shared" ref="G27:G30" si="11">ROUNDUP(F27/5000,0)</f>
        <v>8</v>
      </c>
      <c r="H27" s="147">
        <f t="shared" ref="H27:H30" si="12">G27*1870/E27/1000</f>
        <v>0.14959999999999998</v>
      </c>
    </row>
    <row r="28" spans="4:28" x14ac:dyDescent="0.2">
      <c r="D28" s="148">
        <f t="shared" si="9"/>
        <v>1.4423076923076923</v>
      </c>
      <c r="E28">
        <v>150</v>
      </c>
      <c r="F28" s="132">
        <f t="shared" si="10"/>
        <v>59999.999999999993</v>
      </c>
      <c r="G28">
        <f t="shared" si="11"/>
        <v>12</v>
      </c>
      <c r="H28" s="147">
        <f t="shared" si="12"/>
        <v>0.14959999999999998</v>
      </c>
    </row>
    <row r="29" spans="4:28" x14ac:dyDescent="0.2">
      <c r="D29" s="148">
        <f t="shared" si="9"/>
        <v>2.8846153846153846</v>
      </c>
      <c r="E29">
        <v>300</v>
      </c>
      <c r="F29" s="132">
        <f t="shared" si="10"/>
        <v>119999.99999999999</v>
      </c>
      <c r="G29">
        <f t="shared" si="11"/>
        <v>24</v>
      </c>
      <c r="H29" s="147">
        <f t="shared" si="12"/>
        <v>0.14959999999999998</v>
      </c>
    </row>
    <row r="30" spans="4:28" x14ac:dyDescent="0.2">
      <c r="D30" s="148">
        <f t="shared" si="9"/>
        <v>4.8076923076923075</v>
      </c>
      <c r="E30">
        <v>500</v>
      </c>
      <c r="F30" s="132">
        <f t="shared" si="10"/>
        <v>199999.99999999997</v>
      </c>
      <c r="G30">
        <f t="shared" si="11"/>
        <v>40</v>
      </c>
      <c r="H30" s="147">
        <f t="shared" si="12"/>
        <v>0.14959999999999998</v>
      </c>
      <c r="J30">
        <f>5*30</f>
        <v>150</v>
      </c>
    </row>
    <row r="37" spans="3:36" x14ac:dyDescent="0.2">
      <c r="D37" t="s">
        <v>391</v>
      </c>
      <c r="E37" t="s">
        <v>392</v>
      </c>
      <c r="F37" t="s">
        <v>393</v>
      </c>
      <c r="O37">
        <f>1/0.611</f>
        <v>1.6366612111292962</v>
      </c>
    </row>
    <row r="38" spans="3:36" x14ac:dyDescent="0.2">
      <c r="C38" t="s">
        <v>394</v>
      </c>
      <c r="D38" s="132">
        <v>80000</v>
      </c>
      <c r="E38" s="132">
        <v>20</v>
      </c>
      <c r="F38" s="132">
        <f>D38/E38</f>
        <v>4000</v>
      </c>
    </row>
    <row r="39" spans="3:36" s="143" customFormat="1" ht="96" x14ac:dyDescent="0.2">
      <c r="C39" s="143" t="s">
        <v>395</v>
      </c>
      <c r="D39" s="151">
        <f>400*500</f>
        <v>200000</v>
      </c>
      <c r="E39" s="151">
        <v>20</v>
      </c>
      <c r="F39" s="151">
        <f>D39/E39</f>
        <v>10000</v>
      </c>
      <c r="L39" s="240"/>
      <c r="M39" s="240" t="s">
        <v>396</v>
      </c>
      <c r="N39" s="240" t="s">
        <v>397</v>
      </c>
      <c r="O39" s="240" t="s">
        <v>35</v>
      </c>
      <c r="P39" s="241" t="s">
        <v>398</v>
      </c>
      <c r="Q39" s="240" t="s">
        <v>399</v>
      </c>
      <c r="R39" s="240" t="s">
        <v>400</v>
      </c>
      <c r="S39" s="240" t="s">
        <v>401</v>
      </c>
      <c r="T39" s="240" t="s">
        <v>466</v>
      </c>
      <c r="U39" s="240" t="s">
        <v>467</v>
      </c>
    </row>
    <row r="40" spans="3:36" x14ac:dyDescent="0.2">
      <c r="C40" t="s">
        <v>402</v>
      </c>
      <c r="D40" s="132">
        <v>160000</v>
      </c>
      <c r="E40" s="132">
        <v>20</v>
      </c>
      <c r="F40" s="132">
        <f t="shared" ref="F40:F41" si="13">D40/E40</f>
        <v>8000</v>
      </c>
      <c r="L40" t="s">
        <v>3</v>
      </c>
      <c r="M40">
        <v>2</v>
      </c>
      <c r="N40">
        <v>1.5</v>
      </c>
      <c r="O40" s="141">
        <v>1</v>
      </c>
      <c r="P40" s="132">
        <v>3</v>
      </c>
      <c r="Q40" s="157">
        <f>N40/M40/PRODUCT(O40:O$48)*1000</f>
        <v>1270.5346187332073</v>
      </c>
      <c r="R40">
        <v>3</v>
      </c>
      <c r="S40" s="142">
        <f>Q40/R40</f>
        <v>423.51153957773573</v>
      </c>
      <c r="AE40" t="s">
        <v>458</v>
      </c>
    </row>
    <row r="41" spans="3:36" x14ac:dyDescent="0.2">
      <c r="C41" t="s">
        <v>403</v>
      </c>
      <c r="D41" s="132">
        <v>500000</v>
      </c>
      <c r="E41" s="132">
        <v>20</v>
      </c>
      <c r="F41" s="132">
        <f t="shared" si="13"/>
        <v>25000</v>
      </c>
      <c r="L41" t="s">
        <v>3</v>
      </c>
      <c r="M41">
        <v>4.8</v>
      </c>
      <c r="N41">
        <v>1.5</v>
      </c>
      <c r="O41" s="141">
        <v>1</v>
      </c>
      <c r="P41" s="132">
        <v>3</v>
      </c>
      <c r="Q41" s="157">
        <f>N41/M41/PRODUCT(O41:O$48)*1000</f>
        <v>529.38942447216971</v>
      </c>
      <c r="R41">
        <v>3</v>
      </c>
      <c r="S41" s="142">
        <f>Q41/R41</f>
        <v>176.46314149072325</v>
      </c>
      <c r="AE41" t="s">
        <v>463</v>
      </c>
    </row>
    <row r="42" spans="3:36" x14ac:dyDescent="0.2">
      <c r="D42" s="132"/>
      <c r="E42" s="132" t="s">
        <v>404</v>
      </c>
      <c r="F42" s="132">
        <f>SUM(F38:F41)</f>
        <v>47000</v>
      </c>
      <c r="L42" t="s">
        <v>464</v>
      </c>
      <c r="M42" t="s">
        <v>465</v>
      </c>
      <c r="N42" t="s">
        <v>11</v>
      </c>
      <c r="O42" s="141">
        <v>0.9</v>
      </c>
      <c r="P42" s="152" t="s">
        <v>11</v>
      </c>
      <c r="Q42" t="s">
        <v>11</v>
      </c>
      <c r="R42" t="s">
        <v>11</v>
      </c>
      <c r="S42" t="s">
        <v>11</v>
      </c>
      <c r="AA42" t="s">
        <v>405</v>
      </c>
    </row>
    <row r="43" spans="3:36" x14ac:dyDescent="0.2">
      <c r="L43" s="154" t="s">
        <v>357</v>
      </c>
      <c r="M43" s="154">
        <v>60</v>
      </c>
      <c r="N43" s="154">
        <v>21</v>
      </c>
      <c r="O43" s="155">
        <v>0.9</v>
      </c>
      <c r="P43" s="156">
        <v>7</v>
      </c>
      <c r="Q43" s="157">
        <f>N43/M43/PRODUCT(O43:O$48)*1000</f>
        <v>533.62453986794696</v>
      </c>
      <c r="R43" s="154">
        <v>5</v>
      </c>
      <c r="S43" s="157">
        <f>Q43/R43</f>
        <v>106.7249079735894</v>
      </c>
      <c r="T43">
        <v>20</v>
      </c>
      <c r="U43" s="148">
        <f>Q43/T43</f>
        <v>26.681226993397349</v>
      </c>
      <c r="V43" s="142"/>
      <c r="AF43" t="s">
        <v>461</v>
      </c>
      <c r="AG43" t="s">
        <v>460</v>
      </c>
      <c r="AH43" t="s">
        <v>459</v>
      </c>
      <c r="AI43" t="s">
        <v>462</v>
      </c>
    </row>
    <row r="44" spans="3:36" x14ac:dyDescent="0.2">
      <c r="L44" s="154" t="s">
        <v>406</v>
      </c>
      <c r="M44" s="154" t="s">
        <v>11</v>
      </c>
      <c r="N44" s="154">
        <v>0.1</v>
      </c>
      <c r="O44" s="155">
        <v>1</v>
      </c>
      <c r="P44" s="156" t="s">
        <v>11</v>
      </c>
      <c r="Q44" s="154">
        <v>15</v>
      </c>
      <c r="R44" s="154">
        <v>1</v>
      </c>
      <c r="S44" s="157">
        <f>Q44/R44</f>
        <v>15</v>
      </c>
      <c r="T44">
        <v>1</v>
      </c>
      <c r="U44" s="148">
        <f t="shared" ref="U44:U48" si="14">Q44/T44</f>
        <v>15</v>
      </c>
      <c r="V44" s="142"/>
      <c r="AA44" t="s">
        <v>407</v>
      </c>
      <c r="AF44">
        <v>500</v>
      </c>
      <c r="AG44">
        <f>(80000+ (500-AF44)*400)*3/1.5/20</f>
        <v>8000</v>
      </c>
      <c r="AH44" s="148">
        <f>AF44/20/AG44/0.59*1000</f>
        <v>5.296610169491526</v>
      </c>
      <c r="AI44" s="148">
        <f>1.5*AG44/24/60</f>
        <v>8.3333333333333339</v>
      </c>
      <c r="AJ44" t="s">
        <v>195</v>
      </c>
    </row>
    <row r="45" spans="3:36" x14ac:dyDescent="0.2">
      <c r="L45" s="154" t="s">
        <v>367</v>
      </c>
      <c r="M45" s="154">
        <v>100</v>
      </c>
      <c r="N45" s="154">
        <v>16</v>
      </c>
      <c r="O45" s="155">
        <v>0.95</v>
      </c>
      <c r="P45" s="156">
        <v>4</v>
      </c>
      <c r="Q45" s="157">
        <f>N45/M45/PRODUCT(O45:O$48)*1000</f>
        <v>219.54838211709821</v>
      </c>
      <c r="R45" s="154">
        <v>5</v>
      </c>
      <c r="S45" s="157">
        <f t="shared" ref="S45:S48" si="15">Q45/R45</f>
        <v>43.90967642341964</v>
      </c>
      <c r="T45">
        <v>20</v>
      </c>
      <c r="U45" s="148">
        <f t="shared" si="14"/>
        <v>10.97741910585491</v>
      </c>
      <c r="V45" s="142"/>
      <c r="AF45">
        <v>400</v>
      </c>
      <c r="AG45">
        <f t="shared" ref="AG45:AG47" si="16">(80000+ (500-AF45)*400)*3/1.5/20</f>
        <v>12000</v>
      </c>
      <c r="AH45" s="148">
        <f t="shared" ref="AH45:AH47" si="17">AF45/20/AG45/0.59*1000</f>
        <v>2.8248587570621475</v>
      </c>
      <c r="AI45" s="148">
        <f t="shared" ref="AI45:AI46" si="18">1.5*AG45/24/60</f>
        <v>12.5</v>
      </c>
    </row>
    <row r="46" spans="3:36" x14ac:dyDescent="0.2">
      <c r="L46" s="154" t="s">
        <v>371</v>
      </c>
      <c r="M46" s="154">
        <v>40</v>
      </c>
      <c r="N46" s="154">
        <v>16</v>
      </c>
      <c r="O46" s="155">
        <v>0.85</v>
      </c>
      <c r="P46" s="156">
        <v>5</v>
      </c>
      <c r="Q46" s="157">
        <f>N46/M46/PRODUCT(O46:O$48)*1000</f>
        <v>521.42740752810823</v>
      </c>
      <c r="R46" s="154">
        <v>5</v>
      </c>
      <c r="S46" s="157">
        <f t="shared" si="15"/>
        <v>104.28548150562165</v>
      </c>
      <c r="T46">
        <v>20</v>
      </c>
      <c r="U46" s="148">
        <f t="shared" si="14"/>
        <v>26.071370376405412</v>
      </c>
      <c r="V46" s="142"/>
      <c r="AF46">
        <v>300</v>
      </c>
      <c r="AG46">
        <f t="shared" si="16"/>
        <v>16000</v>
      </c>
      <c r="AH46" s="148">
        <f t="shared" si="17"/>
        <v>1.5889830508474578</v>
      </c>
      <c r="AI46" s="148">
        <f t="shared" si="18"/>
        <v>16.666666666666668</v>
      </c>
    </row>
    <row r="47" spans="3:36" x14ac:dyDescent="0.2">
      <c r="L47" s="154" t="s">
        <v>266</v>
      </c>
      <c r="M47" s="154" t="s">
        <v>408</v>
      </c>
      <c r="N47" s="154" t="s">
        <v>11</v>
      </c>
      <c r="O47" s="155">
        <v>0.95</v>
      </c>
      <c r="P47" s="156" t="s">
        <v>11</v>
      </c>
      <c r="Q47" s="157">
        <v>15</v>
      </c>
      <c r="R47" s="154">
        <v>5</v>
      </c>
      <c r="S47" s="157">
        <f t="shared" si="15"/>
        <v>3</v>
      </c>
      <c r="T47">
        <v>5</v>
      </c>
      <c r="U47" s="148">
        <f t="shared" si="14"/>
        <v>3</v>
      </c>
      <c r="V47" s="142"/>
      <c r="AA47" t="s">
        <v>409</v>
      </c>
      <c r="AF47">
        <v>200</v>
      </c>
      <c r="AG47">
        <f t="shared" si="16"/>
        <v>20000</v>
      </c>
      <c r="AH47" s="148">
        <f t="shared" si="17"/>
        <v>0.84745762711864414</v>
      </c>
      <c r="AI47" s="148">
        <f>1.5*AG47/24/60</f>
        <v>20.833333333333332</v>
      </c>
    </row>
    <row r="48" spans="3:36" x14ac:dyDescent="0.2">
      <c r="L48" s="154" t="s">
        <v>45</v>
      </c>
      <c r="M48" s="154">
        <v>50</v>
      </c>
      <c r="N48" s="154">
        <v>6</v>
      </c>
      <c r="O48" s="155">
        <v>0.95</v>
      </c>
      <c r="P48" s="156">
        <v>2</v>
      </c>
      <c r="Q48" s="157">
        <f>N48/M48/PRODUCT(O48:O$48)*1000</f>
        <v>126.31578947368422</v>
      </c>
      <c r="R48" s="154">
        <v>1</v>
      </c>
      <c r="S48" s="157">
        <f t="shared" si="15"/>
        <v>126.31578947368422</v>
      </c>
      <c r="T48">
        <v>20</v>
      </c>
      <c r="U48" s="148">
        <f t="shared" si="14"/>
        <v>6.3157894736842106</v>
      </c>
      <c r="V48" s="142"/>
    </row>
    <row r="49" spans="12:29" x14ac:dyDescent="0.2">
      <c r="L49" s="154"/>
      <c r="M49" s="154"/>
      <c r="N49" s="154"/>
      <c r="O49" s="158">
        <f>PRODUCT(O42:O48)</f>
        <v>0.59030268749999992</v>
      </c>
      <c r="P49" s="154">
        <v>14</v>
      </c>
      <c r="Q49" s="157">
        <f>SUM(Q43:Q48)</f>
        <v>1430.9161189868375</v>
      </c>
      <c r="R49" s="154"/>
      <c r="S49" s="238">
        <f>SUM(S43:S48)</f>
        <v>399.23585537631487</v>
      </c>
      <c r="U49" s="239">
        <f>SUM(U43:U48)</f>
        <v>88.045805949341869</v>
      </c>
      <c r="V49" s="239"/>
    </row>
    <row r="50" spans="12:29" x14ac:dyDescent="0.2">
      <c r="N50" t="s">
        <v>410</v>
      </c>
      <c r="Q50" s="142">
        <f>SUM(Q41:Q48)</f>
        <v>1960.3055434590074</v>
      </c>
      <c r="S50" s="142">
        <f>S49+S41</f>
        <v>575.69899686703809</v>
      </c>
      <c r="U50" s="142">
        <f>500*U49</f>
        <v>44022.902974670935</v>
      </c>
      <c r="V50" s="142">
        <f>U50/5</f>
        <v>8804.5805949341866</v>
      </c>
    </row>
    <row r="51" spans="12:29" x14ac:dyDescent="0.2">
      <c r="AB51" s="132">
        <f>500*S49+500*S41</f>
        <v>287849.49843351904</v>
      </c>
      <c r="AC51" s="145">
        <f>AB51/5000</f>
        <v>57.569899686703806</v>
      </c>
    </row>
    <row r="52" spans="12:29" x14ac:dyDescent="0.2">
      <c r="N52" s="154" t="s">
        <v>411</v>
      </c>
      <c r="S52">
        <f>S50/5000</f>
        <v>0.11513979937340761</v>
      </c>
    </row>
    <row r="53" spans="12:29" x14ac:dyDescent="0.2">
      <c r="N53" s="154" t="s">
        <v>412</v>
      </c>
      <c r="R53">
        <v>1870</v>
      </c>
      <c r="S53">
        <f>R53*S52/1000</f>
        <v>0.21531142482827223</v>
      </c>
    </row>
    <row r="55" spans="12:29" x14ac:dyDescent="0.2">
      <c r="N55" s="154" t="s">
        <v>411</v>
      </c>
      <c r="S55">
        <f>(S40+S49)/5000</f>
        <v>0.16454947899081013</v>
      </c>
    </row>
    <row r="56" spans="12:29" x14ac:dyDescent="0.2">
      <c r="N56" s="154" t="s">
        <v>412</v>
      </c>
      <c r="R56">
        <v>1870</v>
      </c>
      <c r="S56">
        <f>R56*S55/1000</f>
        <v>0.3077075257128149</v>
      </c>
    </row>
    <row r="59" spans="12:29" x14ac:dyDescent="0.2">
      <c r="V59">
        <f>29*40</f>
        <v>1160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5935-77D1-5B42-865C-03B591A6FD41}">
  <dimension ref="D8:I23"/>
  <sheetViews>
    <sheetView workbookViewId="0">
      <selection activeCell="G13" sqref="G13"/>
    </sheetView>
  </sheetViews>
  <sheetFormatPr baseColWidth="10" defaultColWidth="11.5" defaultRowHeight="15" x14ac:dyDescent="0.2"/>
  <cols>
    <col min="5" max="5" width="10.83203125" style="221"/>
  </cols>
  <sheetData>
    <row r="8" spans="4:7" x14ac:dyDescent="0.2">
      <c r="D8" t="s">
        <v>413</v>
      </c>
    </row>
    <row r="10" spans="4:7" x14ac:dyDescent="0.2">
      <c r="D10" t="s">
        <v>414</v>
      </c>
    </row>
    <row r="12" spans="4:7" x14ac:dyDescent="0.2">
      <c r="E12" s="221" t="s">
        <v>415</v>
      </c>
      <c r="F12" t="s">
        <v>416</v>
      </c>
      <c r="G12" t="s">
        <v>417</v>
      </c>
    </row>
    <row r="13" spans="4:7" x14ac:dyDescent="0.2">
      <c r="D13" s="132">
        <v>500</v>
      </c>
      <c r="E13" s="222">
        <f>D13/1000*3.7+73</f>
        <v>74.849999999999994</v>
      </c>
      <c r="F13">
        <v>0.5</v>
      </c>
      <c r="G13" s="223">
        <f>(E13*1000000/10)/(F13*1000000)</f>
        <v>14.97</v>
      </c>
    </row>
    <row r="14" spans="4:7" x14ac:dyDescent="0.2">
      <c r="D14" s="132">
        <v>2000</v>
      </c>
      <c r="E14" s="222">
        <f t="shared" ref="E14:E15" si="0">D14/1000*3.7+73</f>
        <v>80.400000000000006</v>
      </c>
      <c r="F14">
        <v>2.1</v>
      </c>
      <c r="G14" s="223">
        <f t="shared" ref="G14:G15" si="1">(E14*1000000/10)/(F14*1000000)</f>
        <v>3.8285714285714287</v>
      </c>
    </row>
    <row r="15" spans="4:7" x14ac:dyDescent="0.2">
      <c r="D15" s="132">
        <f>8000+4*500</f>
        <v>10000</v>
      </c>
      <c r="E15" s="222">
        <f t="shared" si="0"/>
        <v>110</v>
      </c>
      <c r="F15">
        <v>8.6999999999999993</v>
      </c>
      <c r="G15" s="223">
        <f t="shared" si="1"/>
        <v>1.264367816091954</v>
      </c>
    </row>
    <row r="23" spans="9:9" x14ac:dyDescent="0.2">
      <c r="I23">
        <f>75000000/500000</f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10E-F37F-C94E-B2E6-C7FA11AEB331}">
  <dimension ref="D14:M29"/>
  <sheetViews>
    <sheetView topLeftCell="A7" workbookViewId="0">
      <selection activeCell="D30" sqref="D30"/>
    </sheetView>
  </sheetViews>
  <sheetFormatPr baseColWidth="10" defaultRowHeight="15" x14ac:dyDescent="0.2"/>
  <cols>
    <col min="4" max="4" width="19.83203125" customWidth="1"/>
    <col min="7" max="7" width="12.33203125" customWidth="1"/>
    <col min="9" max="9" width="13" customWidth="1"/>
    <col min="10" max="10" width="12.6640625" customWidth="1"/>
  </cols>
  <sheetData>
    <row r="14" spans="4:13" ht="16" thickBot="1" x14ac:dyDescent="0.25"/>
    <row r="15" spans="4:13" ht="58" thickBot="1" x14ac:dyDescent="0.25">
      <c r="D15" s="228"/>
      <c r="E15" s="229" t="s">
        <v>428</v>
      </c>
      <c r="F15" s="229" t="s">
        <v>429</v>
      </c>
      <c r="G15" s="229" t="s">
        <v>430</v>
      </c>
      <c r="H15" s="229" t="s">
        <v>431</v>
      </c>
      <c r="I15" s="229" t="s">
        <v>430</v>
      </c>
      <c r="J15" s="229" t="s">
        <v>430</v>
      </c>
      <c r="K15" s="229" t="s">
        <v>432</v>
      </c>
      <c r="L15" s="229" t="s">
        <v>45</v>
      </c>
      <c r="M15" s="229" t="s">
        <v>433</v>
      </c>
    </row>
    <row r="16" spans="4:13" ht="21" thickTop="1" thickBot="1" x14ac:dyDescent="0.25">
      <c r="D16" s="230" t="s">
        <v>434</v>
      </c>
      <c r="E16" s="231" t="s">
        <v>435</v>
      </c>
      <c r="F16" s="231" t="s">
        <v>436</v>
      </c>
      <c r="G16" s="231" t="s">
        <v>437</v>
      </c>
      <c r="H16" s="231" t="s">
        <v>438</v>
      </c>
      <c r="I16" s="231" t="s">
        <v>437</v>
      </c>
      <c r="J16" s="231" t="s">
        <v>437</v>
      </c>
      <c r="K16" s="231" t="s">
        <v>438</v>
      </c>
      <c r="L16" s="231" t="s">
        <v>438</v>
      </c>
      <c r="M16" s="231" t="s">
        <v>439</v>
      </c>
    </row>
    <row r="17" spans="4:13" ht="20" thickBot="1" x14ac:dyDescent="0.25">
      <c r="D17" s="232" t="s">
        <v>453</v>
      </c>
      <c r="E17" s="233" t="s">
        <v>436</v>
      </c>
      <c r="F17" s="233" t="s">
        <v>436</v>
      </c>
      <c r="G17" s="233" t="s">
        <v>442</v>
      </c>
      <c r="H17" s="233" t="s">
        <v>441</v>
      </c>
      <c r="I17" s="233" t="s">
        <v>437</v>
      </c>
      <c r="J17" s="233" t="s">
        <v>437</v>
      </c>
      <c r="K17" s="233" t="s">
        <v>438</v>
      </c>
      <c r="L17" s="233" t="s">
        <v>438</v>
      </c>
      <c r="M17" s="233" t="s">
        <v>450</v>
      </c>
    </row>
    <row r="18" spans="4:13" ht="20" thickBot="1" x14ac:dyDescent="0.25">
      <c r="D18" s="232" t="s">
        <v>451</v>
      </c>
      <c r="E18" s="233" t="s">
        <v>435</v>
      </c>
      <c r="F18" s="233" t="s">
        <v>438</v>
      </c>
      <c r="G18" s="233" t="s">
        <v>442</v>
      </c>
      <c r="H18" s="233" t="s">
        <v>444</v>
      </c>
      <c r="I18" s="233" t="s">
        <v>442</v>
      </c>
      <c r="J18" s="233" t="s">
        <v>442</v>
      </c>
      <c r="K18" s="233" t="s">
        <v>435</v>
      </c>
      <c r="L18" s="233" t="s">
        <v>435</v>
      </c>
      <c r="M18" s="233" t="s">
        <v>435</v>
      </c>
    </row>
    <row r="19" spans="4:13" ht="20" thickBot="1" x14ac:dyDescent="0.25">
      <c r="D19" s="232" t="s">
        <v>455</v>
      </c>
      <c r="E19" s="233" t="s">
        <v>435</v>
      </c>
      <c r="F19" s="233" t="s">
        <v>436</v>
      </c>
      <c r="G19" s="233" t="s">
        <v>442</v>
      </c>
      <c r="H19" s="233" t="s">
        <v>438</v>
      </c>
      <c r="I19" s="233" t="s">
        <v>442</v>
      </c>
      <c r="J19" s="233" t="s">
        <v>442</v>
      </c>
      <c r="K19" s="233" t="s">
        <v>444</v>
      </c>
      <c r="L19" s="233" t="s">
        <v>438</v>
      </c>
      <c r="M19" s="233" t="s">
        <v>439</v>
      </c>
    </row>
    <row r="20" spans="4:13" ht="20" thickBot="1" x14ac:dyDescent="0.25">
      <c r="D20" s="232" t="s">
        <v>446</v>
      </c>
      <c r="E20" s="233" t="s">
        <v>436</v>
      </c>
      <c r="F20" s="233" t="s">
        <v>438</v>
      </c>
      <c r="G20" s="233" t="s">
        <v>442</v>
      </c>
      <c r="H20" s="233" t="s">
        <v>438</v>
      </c>
      <c r="I20" s="233" t="s">
        <v>437</v>
      </c>
      <c r="J20" s="233" t="s">
        <v>437</v>
      </c>
      <c r="K20" s="233" t="s">
        <v>438</v>
      </c>
      <c r="L20" s="233" t="s">
        <v>438</v>
      </c>
      <c r="M20" s="233" t="s">
        <v>439</v>
      </c>
    </row>
    <row r="21" spans="4:13" ht="20" thickBot="1" x14ac:dyDescent="0.25">
      <c r="D21" s="234" t="s">
        <v>452</v>
      </c>
      <c r="E21" s="235" t="s">
        <v>436</v>
      </c>
      <c r="F21" s="235" t="s">
        <v>438</v>
      </c>
      <c r="G21" s="235" t="s">
        <v>437</v>
      </c>
      <c r="H21" s="235" t="s">
        <v>438</v>
      </c>
      <c r="I21" s="235" t="s">
        <v>437</v>
      </c>
      <c r="J21" s="235" t="s">
        <v>437</v>
      </c>
      <c r="K21" s="235" t="s">
        <v>438</v>
      </c>
      <c r="L21" s="235" t="s">
        <v>438</v>
      </c>
      <c r="M21" s="235" t="s">
        <v>439</v>
      </c>
    </row>
    <row r="22" spans="4:13" ht="20" thickBot="1" x14ac:dyDescent="0.25">
      <c r="D22" s="234" t="s">
        <v>456</v>
      </c>
      <c r="E22" s="235" t="s">
        <v>436</v>
      </c>
      <c r="F22" s="235" t="s">
        <v>436</v>
      </c>
      <c r="G22" s="235" t="s">
        <v>442</v>
      </c>
      <c r="H22" s="235" t="s">
        <v>457</v>
      </c>
      <c r="I22" s="235" t="s">
        <v>442</v>
      </c>
      <c r="J22" s="235" t="s">
        <v>442</v>
      </c>
      <c r="K22" s="235" t="s">
        <v>444</v>
      </c>
      <c r="L22" s="235" t="s">
        <v>444</v>
      </c>
      <c r="M22" s="235" t="s">
        <v>439</v>
      </c>
    </row>
    <row r="23" spans="4:13" ht="20" thickBot="1" x14ac:dyDescent="0.25">
      <c r="D23" s="232" t="s">
        <v>448</v>
      </c>
      <c r="E23" s="233" t="s">
        <v>435</v>
      </c>
      <c r="F23" s="233" t="s">
        <v>438</v>
      </c>
      <c r="G23" s="233" t="s">
        <v>442</v>
      </c>
      <c r="H23" s="233" t="s">
        <v>444</v>
      </c>
      <c r="I23" s="233" t="s">
        <v>442</v>
      </c>
      <c r="J23" s="233" t="s">
        <v>442</v>
      </c>
      <c r="K23" s="233" t="s">
        <v>438</v>
      </c>
      <c r="L23" s="233" t="s">
        <v>438</v>
      </c>
      <c r="M23" s="233" t="s">
        <v>439</v>
      </c>
    </row>
    <row r="24" spans="4:13" ht="20" thickBot="1" x14ac:dyDescent="0.25">
      <c r="D24" s="234" t="s">
        <v>447</v>
      </c>
      <c r="E24" s="235" t="s">
        <v>436</v>
      </c>
      <c r="F24" s="235" t="s">
        <v>436</v>
      </c>
      <c r="G24" s="235" t="s">
        <v>442</v>
      </c>
      <c r="H24" s="235" t="s">
        <v>438</v>
      </c>
      <c r="I24" s="235" t="s">
        <v>442</v>
      </c>
      <c r="J24" s="235" t="s">
        <v>442</v>
      </c>
      <c r="K24" s="235" t="s">
        <v>444</v>
      </c>
      <c r="L24" s="235" t="s">
        <v>438</v>
      </c>
      <c r="M24" s="235" t="s">
        <v>439</v>
      </c>
    </row>
    <row r="25" spans="4:13" ht="20" thickBot="1" x14ac:dyDescent="0.25">
      <c r="D25" s="234" t="s">
        <v>445</v>
      </c>
      <c r="E25" s="235" t="s">
        <v>436</v>
      </c>
      <c r="F25" s="235" t="s">
        <v>436</v>
      </c>
      <c r="G25" s="235" t="s">
        <v>442</v>
      </c>
      <c r="H25" s="235" t="s">
        <v>438</v>
      </c>
      <c r="I25" s="235" t="s">
        <v>437</v>
      </c>
      <c r="J25" s="235" t="s">
        <v>437</v>
      </c>
      <c r="K25" s="235" t="s">
        <v>444</v>
      </c>
      <c r="L25" s="235" t="s">
        <v>444</v>
      </c>
      <c r="M25" s="235" t="s">
        <v>439</v>
      </c>
    </row>
    <row r="26" spans="4:13" ht="20" thickBot="1" x14ac:dyDescent="0.25">
      <c r="D26" s="236" t="s">
        <v>449</v>
      </c>
      <c r="E26" s="237" t="s">
        <v>436</v>
      </c>
      <c r="F26" s="237" t="s">
        <v>436</v>
      </c>
      <c r="G26" s="237" t="s">
        <v>442</v>
      </c>
      <c r="H26" s="237" t="s">
        <v>444</v>
      </c>
      <c r="I26" s="237" t="s">
        <v>437</v>
      </c>
      <c r="J26" s="237" t="s">
        <v>437</v>
      </c>
      <c r="K26" s="237" t="s">
        <v>438</v>
      </c>
      <c r="L26" s="237" t="s">
        <v>438</v>
      </c>
      <c r="M26" s="237" t="s">
        <v>450</v>
      </c>
    </row>
    <row r="27" spans="4:13" ht="20" thickBot="1" x14ac:dyDescent="0.25">
      <c r="D27" s="232" t="s">
        <v>440</v>
      </c>
      <c r="E27" s="233" t="s">
        <v>441</v>
      </c>
      <c r="F27" s="233" t="s">
        <v>436</v>
      </c>
      <c r="G27" s="233" t="s">
        <v>442</v>
      </c>
      <c r="H27" s="233" t="s">
        <v>443</v>
      </c>
      <c r="I27" s="233" t="s">
        <v>442</v>
      </c>
      <c r="J27" s="233" t="s">
        <v>442</v>
      </c>
      <c r="K27" s="233" t="s">
        <v>444</v>
      </c>
      <c r="L27" s="233" t="s">
        <v>444</v>
      </c>
      <c r="M27" s="233" t="s">
        <v>439</v>
      </c>
    </row>
    <row r="28" spans="4:13" ht="19" x14ac:dyDescent="0.2">
      <c r="D28" s="236" t="s">
        <v>454</v>
      </c>
      <c r="E28" s="237" t="s">
        <v>436</v>
      </c>
      <c r="F28" s="237" t="s">
        <v>436</v>
      </c>
      <c r="G28" s="237" t="s">
        <v>442</v>
      </c>
      <c r="H28" s="237" t="s">
        <v>435</v>
      </c>
      <c r="I28" s="237" t="s">
        <v>442</v>
      </c>
      <c r="J28" s="237" t="s">
        <v>442</v>
      </c>
      <c r="K28" s="237" t="s">
        <v>435</v>
      </c>
      <c r="L28" s="237" t="s">
        <v>435</v>
      </c>
      <c r="M28" s="237" t="s">
        <v>435</v>
      </c>
    </row>
    <row r="29" spans="4:13" ht="19" x14ac:dyDescent="0.2">
      <c r="D29" s="236" t="s">
        <v>468</v>
      </c>
      <c r="E29" s="237" t="s">
        <v>436</v>
      </c>
      <c r="F29" s="237" t="s">
        <v>436</v>
      </c>
      <c r="G29" s="237" t="s">
        <v>437</v>
      </c>
      <c r="H29" s="237" t="s">
        <v>438</v>
      </c>
      <c r="I29" s="237" t="s">
        <v>437</v>
      </c>
      <c r="J29" s="237" t="s">
        <v>437</v>
      </c>
      <c r="K29" s="237" t="s">
        <v>438</v>
      </c>
      <c r="L29" s="237" t="s">
        <v>438</v>
      </c>
      <c r="M29" s="237" t="s">
        <v>450</v>
      </c>
    </row>
  </sheetData>
  <sortState xmlns:xlrd2="http://schemas.microsoft.com/office/spreadsheetml/2017/richdata2" ref="D16:M28">
    <sortCondition ref="D16:D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BDF8F37476341B9D39D65645BF51C" ma:contentTypeVersion="12" ma:contentTypeDescription="Create a new document." ma:contentTypeScope="" ma:versionID="a09af3228dfc4c7d5b95ebf13c2d8aaa">
  <xsd:schema xmlns:xsd="http://www.w3.org/2001/XMLSchema" xmlns:xs="http://www.w3.org/2001/XMLSchema" xmlns:p="http://schemas.microsoft.com/office/2006/metadata/properties" xmlns:ns2="44a56295-c29e-4898-8136-a54736c65b82" xmlns:ns3="2e4c4031-660d-4e58-9ce8-c57ab9837421" xmlns:ns4="fa5ff81b-b9ee-4a9f-9791-e78ba43670af" targetNamespace="http://schemas.microsoft.com/office/2006/metadata/properties" ma:root="true" ma:fieldsID="544d638925d0053aa0f7a509bb274327" ns2:_="" ns3:_="" ns4:_="">
    <xsd:import namespace="44a56295-c29e-4898-8136-a54736c65b82"/>
    <xsd:import namespace="2e4c4031-660d-4e58-9ce8-c57ab9837421"/>
    <xsd:import namespace="fa5ff81b-b9ee-4a9f-9791-e78ba43670af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c4031-660d-4e58-9ce8-c57ab98374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ff81b-b9ee-4a9f-9791-e78ba43670a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1ee89e71-04cd-405e-9ca3-99e020c1694d" ContentTypeId="0x0101" PreviousValue="false"/>
</file>

<file path=customXml/itemProps1.xml><?xml version="1.0" encoding="utf-8"?>
<ds:datastoreItem xmlns:ds="http://schemas.openxmlformats.org/officeDocument/2006/customXml" ds:itemID="{63BF7798-1A29-4751-BBF3-735BAA3A5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56295-c29e-4898-8136-a54736c65b82"/>
    <ds:schemaRef ds:uri="2e4c4031-660d-4e58-9ce8-c57ab9837421"/>
    <ds:schemaRef ds:uri="fa5ff81b-b9ee-4a9f-9791-e78ba4367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73421-1239-45AF-BBE8-DEA0D1741FED}">
  <ds:schemaRefs>
    <ds:schemaRef ds:uri="fa5ff81b-b9ee-4a9f-9791-e78ba43670af"/>
    <ds:schemaRef ds:uri="44a56295-c29e-4898-8136-a54736c65b82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2e4c4031-660d-4e58-9ce8-c57ab983742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5788CBC-C5B8-45D5-A76E-B490A26D198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B5724E-E3AF-4AF2-B14A-CB77021509E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Assumptions</vt:lpstr>
      <vt:lpstr>Scenarios</vt:lpstr>
      <vt:lpstr>Buffer Summary</vt:lpstr>
      <vt:lpstr>CAPEX</vt:lpstr>
      <vt:lpstr>ICB</vt:lpstr>
      <vt:lpstr>Scenarios!Capture_Buffer</vt:lpstr>
      <vt:lpstr>Scenarios!Capture_WFI</vt:lpstr>
      <vt:lpstr>Assumptions!N_Col_ProA</vt:lpstr>
      <vt:lpstr>N_Col_ProA</vt:lpstr>
      <vt:lpstr>Assumptions!N_Cycles_ProA</vt:lpstr>
      <vt:lpstr>N_Cycles_ProA</vt:lpstr>
      <vt:lpstr>Scenarios!Tbatch</vt:lpstr>
      <vt:lpstr>V_ProA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2020-05-13T12:08:56Z</dcterms:created>
  <dcterms:modified xsi:type="dcterms:W3CDTF">2020-09-24T17:43:02Z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0x0101009A3BDF8F37476341B9D39D65645BF51C</vt:lpwstr>
  </property>
</Properties>
</file>