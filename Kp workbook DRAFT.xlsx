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ohnp\Dropbox\Rivanna Bioprocess\AstraZeneca\"/>
    </mc:Choice>
  </mc:AlternateContent>
  <xr:revisionPtr revIDLastSave="0" documentId="8_{E139B4FD-DDE6-49A4-A644-FEF29EE5CB77}" xr6:coauthVersionLast="47" xr6:coauthVersionMax="47" xr10:uidLastSave="{00000000-0000-0000-0000-000000000000}"/>
  <bookViews>
    <workbookView xWindow="57480" yWindow="-120" windowWidth="29040" windowHeight="15720" activeTab="2" xr2:uid="{45A20DAD-84CE-4541-910E-42ADC3B4E4CE}"/>
  </bookViews>
  <sheets>
    <sheet name="Inputs" sheetId="1" r:id="rId1"/>
    <sheet name="UV calibration and raw data" sheetId="2" r:id="rId2"/>
    <sheet name="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6" i="2" l="1"/>
  <c r="AP46" i="2"/>
  <c r="AP56" i="2" s="1"/>
  <c r="AQ46" i="2"/>
  <c r="AR46" i="2"/>
  <c r="AR56" i="2" s="1"/>
  <c r="AS46" i="2"/>
  <c r="AS56" i="2" s="1"/>
  <c r="AT46" i="2"/>
  <c r="AT56" i="2" s="1"/>
  <c r="AU46" i="2"/>
  <c r="AV46" i="2"/>
  <c r="AW46" i="2"/>
  <c r="AW56" i="2" s="1"/>
  <c r="AX46" i="2"/>
  <c r="AY46" i="2"/>
  <c r="AY56" i="2" s="1"/>
  <c r="AZ46" i="2"/>
  <c r="AZ56" i="2" s="1"/>
  <c r="AO47" i="2"/>
  <c r="AO57" i="2" s="1"/>
  <c r="AP47" i="2"/>
  <c r="AP57" i="2" s="1"/>
  <c r="AQ47" i="2"/>
  <c r="AR47" i="2"/>
  <c r="AS47" i="2"/>
  <c r="AT47" i="2"/>
  <c r="AT57" i="2" s="1"/>
  <c r="AU47" i="2"/>
  <c r="AV47" i="2"/>
  <c r="AV57" i="2" s="1"/>
  <c r="AW47" i="2"/>
  <c r="AW57" i="2" s="1"/>
  <c r="AX47" i="2"/>
  <c r="AX57" i="2" s="1"/>
  <c r="AY47" i="2"/>
  <c r="AZ47" i="2"/>
  <c r="AO48" i="2"/>
  <c r="AO58" i="2" s="1"/>
  <c r="AP48" i="2"/>
  <c r="AP58" i="2" s="1"/>
  <c r="AQ48" i="2"/>
  <c r="AQ58" i="2" s="1"/>
  <c r="AR48" i="2"/>
  <c r="AR58" i="2" s="1"/>
  <c r="AS48" i="2"/>
  <c r="AS58" i="2" s="1"/>
  <c r="AT48" i="2"/>
  <c r="AT58" i="2" s="1"/>
  <c r="AU48" i="2"/>
  <c r="AV48" i="2"/>
  <c r="AW48" i="2"/>
  <c r="AX48" i="2"/>
  <c r="AX58" i="2" s="1"/>
  <c r="AY48" i="2"/>
  <c r="AZ48" i="2"/>
  <c r="AZ58" i="2" s="1"/>
  <c r="AO49" i="2"/>
  <c r="AO59" i="2" s="1"/>
  <c r="AP49" i="2"/>
  <c r="AP59" i="2" s="1"/>
  <c r="AQ49" i="2"/>
  <c r="AR49" i="2"/>
  <c r="AS49" i="2"/>
  <c r="AS59" i="2" s="1"/>
  <c r="AT49" i="2"/>
  <c r="AT59" i="2" s="1"/>
  <c r="AU49" i="2"/>
  <c r="AU59" i="2" s="1"/>
  <c r="AV49" i="2"/>
  <c r="AV59" i="2" s="1"/>
  <c r="AW49" i="2"/>
  <c r="AW59" i="2" s="1"/>
  <c r="AX49" i="2"/>
  <c r="AX59" i="2" s="1"/>
  <c r="AY49" i="2"/>
  <c r="AZ49" i="2"/>
  <c r="AO50" i="2"/>
  <c r="AP50" i="2"/>
  <c r="AP60" i="2" s="1"/>
  <c r="AQ50" i="2"/>
  <c r="AR50" i="2"/>
  <c r="AR60" i="2" s="1"/>
  <c r="AS50" i="2"/>
  <c r="AS60" i="2" s="1"/>
  <c r="AT50" i="2"/>
  <c r="AT60" i="2" s="1"/>
  <c r="AU50" i="2"/>
  <c r="AV50" i="2"/>
  <c r="AV60" i="2" s="1"/>
  <c r="AW50" i="2"/>
  <c r="AX50" i="2"/>
  <c r="AX60" i="2" s="1"/>
  <c r="AY50" i="2"/>
  <c r="AY60" i="2" s="1"/>
  <c r="AZ50" i="2"/>
  <c r="AZ60" i="2" s="1"/>
  <c r="AO51" i="2"/>
  <c r="AO61" i="2" s="1"/>
  <c r="AP51" i="2"/>
  <c r="AP61" i="2" s="1"/>
  <c r="AQ51" i="2"/>
  <c r="AR51" i="2"/>
  <c r="AS51" i="2"/>
  <c r="AS61" i="2" s="1"/>
  <c r="AT51" i="2"/>
  <c r="AT61" i="2" s="1"/>
  <c r="AU51" i="2"/>
  <c r="AV51" i="2"/>
  <c r="AV61" i="2" s="1"/>
  <c r="AW51" i="2"/>
  <c r="AW61" i="2" s="1"/>
  <c r="AX51" i="2"/>
  <c r="AX61" i="2" s="1"/>
  <c r="AY51" i="2"/>
  <c r="AZ51" i="2"/>
  <c r="AO52" i="2"/>
  <c r="AP52" i="2"/>
  <c r="AP62" i="2" s="1"/>
  <c r="AQ52" i="2"/>
  <c r="AQ62" i="2" s="1"/>
  <c r="AR52" i="2"/>
  <c r="AR62" i="2" s="1"/>
  <c r="AS52" i="2"/>
  <c r="AS62" i="2" s="1"/>
  <c r="AT52" i="2"/>
  <c r="AT62" i="2" s="1"/>
  <c r="AU52" i="2"/>
  <c r="AV52" i="2"/>
  <c r="AV62" i="2" s="1"/>
  <c r="AW52" i="2"/>
  <c r="AW62" i="2" s="1"/>
  <c r="AX52" i="2"/>
  <c r="AY52" i="2"/>
  <c r="AZ52" i="2"/>
  <c r="AZ62" i="2" s="1"/>
  <c r="AZ57" i="2"/>
  <c r="AR61" i="2"/>
  <c r="AV56" i="2"/>
  <c r="AR57" i="2"/>
  <c r="AV58" i="2"/>
  <c r="AR59" i="2"/>
  <c r="AZ59" i="2"/>
  <c r="AZ61" i="2"/>
  <c r="AP45" i="2"/>
  <c r="AP55" i="2" s="1"/>
  <c r="AQ45" i="2"/>
  <c r="AQ55" i="2" s="1"/>
  <c r="AR45" i="2"/>
  <c r="AR55" i="2" s="1"/>
  <c r="AS45" i="2"/>
  <c r="AS55" i="2" s="1"/>
  <c r="AT45" i="2"/>
  <c r="AU45" i="2"/>
  <c r="AV45" i="2"/>
  <c r="AV55" i="2" s="1"/>
  <c r="AW45" i="2"/>
  <c r="AW55" i="2" s="1"/>
  <c r="AX45" i="2"/>
  <c r="AX55" i="2" s="1"/>
  <c r="AY45" i="2"/>
  <c r="AY55" i="2" s="1"/>
  <c r="AZ45" i="2"/>
  <c r="AO45" i="2"/>
  <c r="AO55" i="2" s="1"/>
  <c r="AY10" i="2"/>
  <c r="AY62" i="2"/>
  <c r="AX62" i="2"/>
  <c r="AU62" i="2"/>
  <c r="AO62" i="2"/>
  <c r="AY61" i="2"/>
  <c r="AU61" i="2"/>
  <c r="AQ61" i="2"/>
  <c r="AW60" i="2"/>
  <c r="AU60" i="2"/>
  <c r="AQ60" i="2"/>
  <c r="AO60" i="2"/>
  <c r="AY59" i="2"/>
  <c r="AQ59" i="2"/>
  <c r="AY58" i="2"/>
  <c r="AW58" i="2"/>
  <c r="AU58" i="2"/>
  <c r="AY57" i="2"/>
  <c r="AU57" i="2"/>
  <c r="AS57" i="2"/>
  <c r="AQ57" i="2"/>
  <c r="AX56" i="2"/>
  <c r="AU56" i="2"/>
  <c r="AQ56" i="2"/>
  <c r="AO56" i="2"/>
  <c r="AZ55" i="2"/>
  <c r="AU55" i="2"/>
  <c r="AT55" i="2"/>
  <c r="AX10" i="2"/>
  <c r="AW10" i="2"/>
  <c r="AY9" i="2"/>
  <c r="AX9" i="2"/>
  <c r="AW9" i="2"/>
  <c r="BA9" i="2" s="1"/>
  <c r="AY8" i="2"/>
  <c r="AX8" i="2"/>
  <c r="AW8" i="2"/>
  <c r="AY7" i="2"/>
  <c r="AX7" i="2"/>
  <c r="AW7" i="2"/>
  <c r="BA7" i="2" s="1"/>
  <c r="AY6" i="2"/>
  <c r="AX6" i="2"/>
  <c r="AW6" i="2"/>
  <c r="AZ6" i="2" s="1"/>
  <c r="AY5" i="2"/>
  <c r="AX5" i="2"/>
  <c r="AW5" i="2"/>
  <c r="BA5" i="2" s="1"/>
  <c r="AY4" i="2"/>
  <c r="AX4" i="2"/>
  <c r="AW4" i="2"/>
  <c r="AZ4" i="2" s="1"/>
  <c r="AY3" i="2"/>
  <c r="AX3" i="2"/>
  <c r="AW3" i="2"/>
  <c r="AZ3" i="2" s="1"/>
  <c r="Q34" i="1"/>
  <c r="R34" i="1"/>
  <c r="S34" i="1"/>
  <c r="T34" i="1"/>
  <c r="U34" i="1"/>
  <c r="V34" i="1"/>
  <c r="W34" i="1"/>
  <c r="X34" i="1"/>
  <c r="Y34" i="1"/>
  <c r="Z34" i="1"/>
  <c r="AA34" i="1"/>
  <c r="AB34" i="1"/>
  <c r="Q35" i="1"/>
  <c r="R35" i="1"/>
  <c r="S35" i="1"/>
  <c r="T35" i="1"/>
  <c r="U35" i="1"/>
  <c r="V35" i="1"/>
  <c r="W35" i="1"/>
  <c r="X35" i="1"/>
  <c r="Y35" i="1"/>
  <c r="Z35" i="1"/>
  <c r="AA35" i="1"/>
  <c r="AB35" i="1"/>
  <c r="Q36" i="1"/>
  <c r="R36" i="1"/>
  <c r="S36" i="1"/>
  <c r="T36" i="1"/>
  <c r="U36" i="1"/>
  <c r="V36" i="1"/>
  <c r="W36" i="1"/>
  <c r="X36" i="1"/>
  <c r="Y36" i="1"/>
  <c r="Z36" i="1"/>
  <c r="AA36" i="1"/>
  <c r="AB36" i="1"/>
  <c r="Q37" i="1"/>
  <c r="R37" i="1"/>
  <c r="S37" i="1"/>
  <c r="T37" i="1"/>
  <c r="U37" i="1"/>
  <c r="V37" i="1"/>
  <c r="W37" i="1"/>
  <c r="X37" i="1"/>
  <c r="Y37" i="1"/>
  <c r="Z37" i="1"/>
  <c r="AA37" i="1"/>
  <c r="AB37" i="1"/>
  <c r="Q38" i="1"/>
  <c r="R38" i="1"/>
  <c r="S38" i="1"/>
  <c r="T38" i="1"/>
  <c r="U38" i="1"/>
  <c r="V38" i="1"/>
  <c r="W38" i="1"/>
  <c r="X38" i="1"/>
  <c r="Y38" i="1"/>
  <c r="Z38" i="1"/>
  <c r="AA38" i="1"/>
  <c r="AB38" i="1"/>
  <c r="Q39" i="1"/>
  <c r="R39" i="1"/>
  <c r="S39" i="1"/>
  <c r="T39" i="1"/>
  <c r="U39" i="1"/>
  <c r="V39" i="1"/>
  <c r="W39" i="1"/>
  <c r="X39" i="1"/>
  <c r="Y39" i="1"/>
  <c r="Z39" i="1"/>
  <c r="AA39" i="1"/>
  <c r="AB39" i="1"/>
  <c r="Q40" i="1"/>
  <c r="R40" i="1"/>
  <c r="S40" i="1"/>
  <c r="T40" i="1"/>
  <c r="U40" i="1"/>
  <c r="V40" i="1"/>
  <c r="W40" i="1"/>
  <c r="X40" i="1"/>
  <c r="Y40" i="1"/>
  <c r="Z40" i="1"/>
  <c r="AA40" i="1"/>
  <c r="AB40" i="1"/>
  <c r="R33" i="1"/>
  <c r="S33" i="1"/>
  <c r="T33" i="1"/>
  <c r="U33" i="1"/>
  <c r="V33" i="1"/>
  <c r="W33" i="1"/>
  <c r="X33" i="1"/>
  <c r="Y33" i="1"/>
  <c r="Z33" i="1"/>
  <c r="AA33" i="1"/>
  <c r="AB33" i="1"/>
  <c r="Q33" i="1"/>
  <c r="BA10" i="2" l="1"/>
  <c r="BA8" i="2"/>
  <c r="BA3" i="2"/>
  <c r="BA6" i="2"/>
  <c r="BA4" i="2"/>
  <c r="AZ7" i="2"/>
  <c r="AZ9" i="2"/>
  <c r="AZ8" i="2"/>
  <c r="AZ5" i="2"/>
  <c r="AZ10" i="2"/>
  <c r="Q44" i="1"/>
  <c r="R44" i="1"/>
  <c r="S44" i="1"/>
  <c r="T44" i="1"/>
  <c r="U44" i="1"/>
  <c r="V44" i="1"/>
  <c r="W44" i="1"/>
  <c r="X44" i="1"/>
  <c r="Y44" i="1"/>
  <c r="Z44" i="1"/>
  <c r="AA44" i="1"/>
  <c r="AB44" i="1"/>
  <c r="Q45" i="1"/>
  <c r="R45" i="1"/>
  <c r="S45" i="1"/>
  <c r="T45" i="1"/>
  <c r="U45" i="1"/>
  <c r="V45" i="1"/>
  <c r="W45" i="1"/>
  <c r="X45" i="1"/>
  <c r="Y45" i="1"/>
  <c r="Z45" i="1"/>
  <c r="AA45" i="1"/>
  <c r="AB45" i="1"/>
  <c r="Q46" i="1"/>
  <c r="R46" i="1"/>
  <c r="S46" i="1"/>
  <c r="T46" i="1"/>
  <c r="U46" i="1"/>
  <c r="V46" i="1"/>
  <c r="W46" i="1"/>
  <c r="X46" i="1"/>
  <c r="Y46" i="1"/>
  <c r="Z46" i="1"/>
  <c r="AA46" i="1"/>
  <c r="AB46" i="1"/>
  <c r="Q47" i="1"/>
  <c r="R47" i="1"/>
  <c r="S47" i="1"/>
  <c r="T47" i="1"/>
  <c r="U47" i="1"/>
  <c r="V47" i="1"/>
  <c r="W47" i="1"/>
  <c r="X47" i="1"/>
  <c r="Y47" i="1"/>
  <c r="Z47" i="1"/>
  <c r="AA47" i="1"/>
  <c r="AB47" i="1"/>
  <c r="Q48" i="1"/>
  <c r="R48" i="1"/>
  <c r="S48" i="1"/>
  <c r="T48" i="1"/>
  <c r="U48" i="1"/>
  <c r="V48" i="1"/>
  <c r="W48" i="1"/>
  <c r="X48" i="1"/>
  <c r="Y48" i="1"/>
  <c r="Z48" i="1"/>
  <c r="AA48" i="1"/>
  <c r="AB48" i="1"/>
  <c r="Q49" i="1"/>
  <c r="R49" i="1"/>
  <c r="S49" i="1"/>
  <c r="T49" i="1"/>
  <c r="U49" i="1"/>
  <c r="V49" i="1"/>
  <c r="W49" i="1"/>
  <c r="X49" i="1"/>
  <c r="Y49" i="1"/>
  <c r="Z49" i="1"/>
  <c r="AA49" i="1"/>
  <c r="AB49" i="1"/>
  <c r="Q50" i="1"/>
  <c r="R50" i="1"/>
  <c r="S50" i="1"/>
  <c r="T50" i="1"/>
  <c r="U50" i="1"/>
  <c r="V50" i="1"/>
  <c r="W50" i="1"/>
  <c r="X50" i="1"/>
  <c r="Y50" i="1"/>
  <c r="Z50" i="1"/>
  <c r="AA50" i="1"/>
  <c r="AB50" i="1"/>
  <c r="R43" i="1"/>
  <c r="S43" i="1"/>
  <c r="T43" i="1"/>
  <c r="U43" i="1"/>
  <c r="V43" i="1"/>
  <c r="W43" i="1"/>
  <c r="X43" i="1"/>
  <c r="Y43" i="1"/>
  <c r="Z43" i="1"/>
  <c r="AA43" i="1"/>
  <c r="AB43" i="1"/>
  <c r="Q43" i="1"/>
  <c r="Q3" i="3"/>
  <c r="Q23" i="3" s="1"/>
  <c r="Q33" i="3" s="1"/>
  <c r="Q43" i="3" s="1"/>
  <c r="Q53" i="3" s="1"/>
  <c r="R3" i="3"/>
  <c r="S3" i="3"/>
  <c r="T3" i="3"/>
  <c r="T23" i="3" s="1"/>
  <c r="T33" i="3" s="1"/>
  <c r="T43" i="3" s="1"/>
  <c r="T53" i="3" s="1"/>
  <c r="U3" i="3"/>
  <c r="U23" i="3" s="1"/>
  <c r="U33" i="3" s="1"/>
  <c r="U43" i="3" s="1"/>
  <c r="U53" i="3" s="1"/>
  <c r="V3" i="3"/>
  <c r="W3" i="3"/>
  <c r="X3" i="3"/>
  <c r="X23" i="3" s="1"/>
  <c r="X33" i="3" s="1"/>
  <c r="X43" i="3" s="1"/>
  <c r="X53" i="3" s="1"/>
  <c r="Y3" i="3"/>
  <c r="Y23" i="3" s="1"/>
  <c r="Y33" i="3" s="1"/>
  <c r="Y43" i="3" s="1"/>
  <c r="Y53" i="3" s="1"/>
  <c r="Z3" i="3"/>
  <c r="Z23" i="3" s="1"/>
  <c r="Z33" i="3" s="1"/>
  <c r="Z43" i="3" s="1"/>
  <c r="Z53" i="3" s="1"/>
  <c r="AA3" i="3"/>
  <c r="AB3" i="3"/>
  <c r="AB23" i="3" s="1"/>
  <c r="AB33" i="3" s="1"/>
  <c r="AB43" i="3" s="1"/>
  <c r="AB53" i="3" s="1"/>
  <c r="Q4" i="3"/>
  <c r="Q24" i="3" s="1"/>
  <c r="Q34" i="3" s="1"/>
  <c r="Q44" i="3" s="1"/>
  <c r="Q54" i="3" s="1"/>
  <c r="R4" i="3"/>
  <c r="S4" i="3"/>
  <c r="T4" i="3"/>
  <c r="T24" i="3" s="1"/>
  <c r="T34" i="3" s="1"/>
  <c r="T44" i="3" s="1"/>
  <c r="T54" i="3" s="1"/>
  <c r="U4" i="3"/>
  <c r="V4" i="3"/>
  <c r="V24" i="3" s="1"/>
  <c r="V34" i="3" s="1"/>
  <c r="V44" i="3" s="1"/>
  <c r="V54" i="3" s="1"/>
  <c r="W4" i="3"/>
  <c r="X4" i="3"/>
  <c r="Y4" i="3"/>
  <c r="Z4" i="3"/>
  <c r="Z24" i="3" s="1"/>
  <c r="Z34" i="3" s="1"/>
  <c r="Z44" i="3" s="1"/>
  <c r="Z54" i="3" s="1"/>
  <c r="AA4" i="3"/>
  <c r="AB4" i="3"/>
  <c r="AB24" i="3" s="1"/>
  <c r="AB34" i="3" s="1"/>
  <c r="AB44" i="3" s="1"/>
  <c r="AB54" i="3" s="1"/>
  <c r="Q5" i="3"/>
  <c r="Q25" i="3" s="1"/>
  <c r="Q35" i="3" s="1"/>
  <c r="Q45" i="3" s="1"/>
  <c r="Q55" i="3" s="1"/>
  <c r="R5" i="3"/>
  <c r="S5" i="3"/>
  <c r="T5" i="3"/>
  <c r="U5" i="3"/>
  <c r="U25" i="3" s="1"/>
  <c r="U35" i="3" s="1"/>
  <c r="U45" i="3" s="1"/>
  <c r="U55" i="3" s="1"/>
  <c r="V5" i="3"/>
  <c r="V25" i="3" s="1"/>
  <c r="V35" i="3" s="1"/>
  <c r="V45" i="3" s="1"/>
  <c r="V55" i="3" s="1"/>
  <c r="W5" i="3"/>
  <c r="X5" i="3"/>
  <c r="X25" i="3" s="1"/>
  <c r="X35" i="3" s="1"/>
  <c r="X45" i="3" s="1"/>
  <c r="X55" i="3" s="1"/>
  <c r="Y5" i="3"/>
  <c r="Y25" i="3" s="1"/>
  <c r="Y35" i="3" s="1"/>
  <c r="Y45" i="3" s="1"/>
  <c r="Y55" i="3" s="1"/>
  <c r="Z5" i="3"/>
  <c r="Z25" i="3" s="1"/>
  <c r="Z35" i="3" s="1"/>
  <c r="Z45" i="3" s="1"/>
  <c r="Z55" i="3" s="1"/>
  <c r="AA5" i="3"/>
  <c r="AB5" i="3"/>
  <c r="Q6" i="3"/>
  <c r="Q26" i="3" s="1"/>
  <c r="Q36" i="3" s="1"/>
  <c r="Q46" i="3" s="1"/>
  <c r="Q56" i="3" s="1"/>
  <c r="R6" i="3"/>
  <c r="S6" i="3"/>
  <c r="T6" i="3"/>
  <c r="T26" i="3" s="1"/>
  <c r="T36" i="3" s="1"/>
  <c r="T46" i="3" s="1"/>
  <c r="T56" i="3" s="1"/>
  <c r="U6" i="3"/>
  <c r="U26" i="3" s="1"/>
  <c r="U36" i="3" s="1"/>
  <c r="U46" i="3" s="1"/>
  <c r="U56" i="3" s="1"/>
  <c r="V6" i="3"/>
  <c r="V26" i="3" s="1"/>
  <c r="V36" i="3" s="1"/>
  <c r="V46" i="3" s="1"/>
  <c r="V56" i="3" s="1"/>
  <c r="W6" i="3"/>
  <c r="X6" i="3"/>
  <c r="X26" i="3" s="1"/>
  <c r="X36" i="3" s="1"/>
  <c r="X46" i="3" s="1"/>
  <c r="X56" i="3" s="1"/>
  <c r="Y6" i="3"/>
  <c r="Y26" i="3" s="1"/>
  <c r="Y36" i="3" s="1"/>
  <c r="Y46" i="3" s="1"/>
  <c r="Y56" i="3" s="1"/>
  <c r="Z6" i="3"/>
  <c r="AA6" i="3"/>
  <c r="AB6" i="3"/>
  <c r="AB26" i="3" s="1"/>
  <c r="AB36" i="3" s="1"/>
  <c r="AB46" i="3" s="1"/>
  <c r="AB56" i="3" s="1"/>
  <c r="Q7" i="3"/>
  <c r="R7" i="3"/>
  <c r="S7" i="3"/>
  <c r="T7" i="3"/>
  <c r="T27" i="3" s="1"/>
  <c r="T37" i="3" s="1"/>
  <c r="T47" i="3" s="1"/>
  <c r="U7" i="3"/>
  <c r="U27" i="3" s="1"/>
  <c r="U37" i="3" s="1"/>
  <c r="U47" i="3" s="1"/>
  <c r="U57" i="3" s="1"/>
  <c r="V7" i="3"/>
  <c r="W7" i="3"/>
  <c r="X7" i="3"/>
  <c r="X27" i="3" s="1"/>
  <c r="X37" i="3" s="1"/>
  <c r="X47" i="3" s="1"/>
  <c r="X57" i="3" s="1"/>
  <c r="Y7" i="3"/>
  <c r="Y27" i="3" s="1"/>
  <c r="Y37" i="3" s="1"/>
  <c r="Y47" i="3" s="1"/>
  <c r="Y57" i="3" s="1"/>
  <c r="Z7" i="3"/>
  <c r="Z27" i="3" s="1"/>
  <c r="Z37" i="3" s="1"/>
  <c r="Z47" i="3" s="1"/>
  <c r="Z57" i="3" s="1"/>
  <c r="AA7" i="3"/>
  <c r="AB7" i="3"/>
  <c r="Q8" i="3"/>
  <c r="R8" i="3"/>
  <c r="S8" i="3"/>
  <c r="T8" i="3"/>
  <c r="T28" i="3" s="1"/>
  <c r="T38" i="3" s="1"/>
  <c r="T48" i="3" s="1"/>
  <c r="T58" i="3" s="1"/>
  <c r="U8" i="3"/>
  <c r="U28" i="3" s="1"/>
  <c r="U38" i="3" s="1"/>
  <c r="U48" i="3" s="1"/>
  <c r="U58" i="3" s="1"/>
  <c r="V8" i="3"/>
  <c r="V28" i="3" s="1"/>
  <c r="V38" i="3" s="1"/>
  <c r="V48" i="3" s="1"/>
  <c r="V58" i="3" s="1"/>
  <c r="W8" i="3"/>
  <c r="X8" i="3"/>
  <c r="Y8" i="3"/>
  <c r="Y28" i="3" s="1"/>
  <c r="Y38" i="3" s="1"/>
  <c r="Y48" i="3" s="1"/>
  <c r="Y58" i="3" s="1"/>
  <c r="Z8" i="3"/>
  <c r="AA8" i="3"/>
  <c r="AB8" i="3"/>
  <c r="AB28" i="3" s="1"/>
  <c r="AB38" i="3" s="1"/>
  <c r="AB48" i="3" s="1"/>
  <c r="AB58" i="3" s="1"/>
  <c r="Q9" i="3"/>
  <c r="Q29" i="3" s="1"/>
  <c r="Q39" i="3" s="1"/>
  <c r="Q49" i="3" s="1"/>
  <c r="Q59" i="3" s="1"/>
  <c r="R9" i="3"/>
  <c r="S9" i="3"/>
  <c r="T9" i="3"/>
  <c r="U9" i="3"/>
  <c r="V9" i="3"/>
  <c r="V29" i="3" s="1"/>
  <c r="V39" i="3" s="1"/>
  <c r="V49" i="3" s="1"/>
  <c r="V59" i="3" s="1"/>
  <c r="W9" i="3"/>
  <c r="X9" i="3"/>
  <c r="X29" i="3" s="1"/>
  <c r="X39" i="3" s="1"/>
  <c r="X49" i="3" s="1"/>
  <c r="X59" i="3" s="1"/>
  <c r="Y9" i="3"/>
  <c r="Z9" i="3"/>
  <c r="Z29" i="3" s="1"/>
  <c r="Z39" i="3" s="1"/>
  <c r="Z49" i="3" s="1"/>
  <c r="Z59" i="3" s="1"/>
  <c r="AA9" i="3"/>
  <c r="AB9" i="3"/>
  <c r="Q10" i="3"/>
  <c r="R10" i="3"/>
  <c r="S10" i="3"/>
  <c r="T10" i="3"/>
  <c r="T30" i="3" s="1"/>
  <c r="T40" i="3" s="1"/>
  <c r="T50" i="3" s="1"/>
  <c r="T60" i="3" s="1"/>
  <c r="U10" i="3"/>
  <c r="U30" i="3" s="1"/>
  <c r="U40" i="3" s="1"/>
  <c r="U50" i="3" s="1"/>
  <c r="U60" i="3" s="1"/>
  <c r="V10" i="3"/>
  <c r="V30" i="3" s="1"/>
  <c r="V40" i="3" s="1"/>
  <c r="V50" i="3" s="1"/>
  <c r="V60" i="3" s="1"/>
  <c r="W10" i="3"/>
  <c r="X10" i="3"/>
  <c r="X30" i="3" s="1"/>
  <c r="X40" i="3" s="1"/>
  <c r="X50" i="3" s="1"/>
  <c r="X60" i="3" s="1"/>
  <c r="Y10" i="3"/>
  <c r="Y30" i="3" s="1"/>
  <c r="Y40" i="3" s="1"/>
  <c r="Y50" i="3" s="1"/>
  <c r="Y60" i="3" s="1"/>
  <c r="Z10" i="3"/>
  <c r="Z30" i="3" s="1"/>
  <c r="Z40" i="3" s="1"/>
  <c r="Z50" i="3" s="1"/>
  <c r="Z60" i="3" s="1"/>
  <c r="AA10" i="3"/>
  <c r="AB10" i="3"/>
  <c r="AB30" i="3" s="1"/>
  <c r="AB40" i="3" s="1"/>
  <c r="AB50" i="3" s="1"/>
  <c r="AB60" i="3" s="1"/>
  <c r="AD3" i="3"/>
  <c r="AE3" i="3"/>
  <c r="AF3" i="3"/>
  <c r="AG3" i="3"/>
  <c r="AG23" i="3" s="1"/>
  <c r="AG33" i="3" s="1"/>
  <c r="AG43" i="3" s="1"/>
  <c r="AG53" i="3" s="1"/>
  <c r="AH3" i="3"/>
  <c r="AH23" i="3" s="1"/>
  <c r="AH33" i="3" s="1"/>
  <c r="AH43" i="3" s="1"/>
  <c r="AH53" i="3" s="1"/>
  <c r="AI3" i="3"/>
  <c r="AI23" i="3" s="1"/>
  <c r="AI33" i="3" s="1"/>
  <c r="AI43" i="3" s="1"/>
  <c r="AI53" i="3" s="1"/>
  <c r="AJ3" i="3"/>
  <c r="AK3" i="3"/>
  <c r="AK23" i="3" s="1"/>
  <c r="AK33" i="3" s="1"/>
  <c r="AK43" i="3" s="1"/>
  <c r="AK53" i="3" s="1"/>
  <c r="AL3" i="3"/>
  <c r="AM3" i="3"/>
  <c r="AM23" i="3" s="1"/>
  <c r="AM33" i="3" s="1"/>
  <c r="AM43" i="3" s="1"/>
  <c r="AM53" i="3" s="1"/>
  <c r="AN3" i="3"/>
  <c r="AO3" i="3"/>
  <c r="AD4" i="3"/>
  <c r="AD24" i="3" s="1"/>
  <c r="AD34" i="3" s="1"/>
  <c r="AD44" i="3" s="1"/>
  <c r="AD54" i="3" s="1"/>
  <c r="AE4" i="3"/>
  <c r="AF4" i="3"/>
  <c r="AG4" i="3"/>
  <c r="AG24" i="3" s="1"/>
  <c r="AG34" i="3" s="1"/>
  <c r="AG44" i="3" s="1"/>
  <c r="AG54" i="3" s="1"/>
  <c r="AH4" i="3"/>
  <c r="AH24" i="3" s="1"/>
  <c r="AH34" i="3" s="1"/>
  <c r="AH44" i="3" s="1"/>
  <c r="AH54" i="3" s="1"/>
  <c r="AI4" i="3"/>
  <c r="AI24" i="3" s="1"/>
  <c r="AI34" i="3" s="1"/>
  <c r="AI44" i="3" s="1"/>
  <c r="AI54" i="3" s="1"/>
  <c r="AJ4" i="3"/>
  <c r="AK4" i="3"/>
  <c r="AL4" i="3"/>
  <c r="AM4" i="3"/>
  <c r="AM24" i="3" s="1"/>
  <c r="AM34" i="3" s="1"/>
  <c r="AM44" i="3" s="1"/>
  <c r="AM54" i="3" s="1"/>
  <c r="AN4" i="3"/>
  <c r="AO4" i="3"/>
  <c r="AO24" i="3" s="1"/>
  <c r="AO34" i="3" s="1"/>
  <c r="AO44" i="3" s="1"/>
  <c r="AO54" i="3" s="1"/>
  <c r="AD5" i="3"/>
  <c r="AE5" i="3"/>
  <c r="AF5" i="3"/>
  <c r="AG5" i="3"/>
  <c r="AG25" i="3" s="1"/>
  <c r="AG35" i="3" s="1"/>
  <c r="AG45" i="3" s="1"/>
  <c r="AG55" i="3" s="1"/>
  <c r="AH5" i="3"/>
  <c r="AH25" i="3" s="1"/>
  <c r="AH35" i="3" s="1"/>
  <c r="AH45" i="3" s="1"/>
  <c r="AH55" i="3" s="1"/>
  <c r="AI5" i="3"/>
  <c r="AI25" i="3" s="1"/>
  <c r="AI35" i="3" s="1"/>
  <c r="AI45" i="3" s="1"/>
  <c r="AI55" i="3" s="1"/>
  <c r="AJ5" i="3"/>
  <c r="AK5" i="3"/>
  <c r="AK25" i="3" s="1"/>
  <c r="AK35" i="3" s="1"/>
  <c r="AK45" i="3" s="1"/>
  <c r="AK55" i="3" s="1"/>
  <c r="AL5" i="3"/>
  <c r="AM5" i="3"/>
  <c r="AM25" i="3" s="1"/>
  <c r="AM35" i="3" s="1"/>
  <c r="AM45" i="3" s="1"/>
  <c r="AM55" i="3" s="1"/>
  <c r="AN5" i="3"/>
  <c r="AO5" i="3"/>
  <c r="AD6" i="3"/>
  <c r="AE6" i="3"/>
  <c r="AF6" i="3"/>
  <c r="AG6" i="3"/>
  <c r="AG26" i="3" s="1"/>
  <c r="AG36" i="3" s="1"/>
  <c r="AG46" i="3" s="1"/>
  <c r="AG56" i="3" s="1"/>
  <c r="AH6" i="3"/>
  <c r="AH26" i="3" s="1"/>
  <c r="AH36" i="3" s="1"/>
  <c r="AH46" i="3" s="1"/>
  <c r="AH56" i="3" s="1"/>
  <c r="AI6" i="3"/>
  <c r="AI26" i="3" s="1"/>
  <c r="AI36" i="3" s="1"/>
  <c r="AI46" i="3" s="1"/>
  <c r="AI56" i="3" s="1"/>
  <c r="AJ6" i="3"/>
  <c r="AK6" i="3"/>
  <c r="AL6" i="3"/>
  <c r="AL26" i="3" s="1"/>
  <c r="AL36" i="3" s="1"/>
  <c r="AL46" i="3" s="1"/>
  <c r="AL56" i="3" s="1"/>
  <c r="AM6" i="3"/>
  <c r="AM26" i="3" s="1"/>
  <c r="AM36" i="3" s="1"/>
  <c r="AM46" i="3" s="1"/>
  <c r="AM56" i="3" s="1"/>
  <c r="AN6" i="3"/>
  <c r="AO6" i="3"/>
  <c r="AO26" i="3" s="1"/>
  <c r="AO36" i="3" s="1"/>
  <c r="AO46" i="3" s="1"/>
  <c r="AO56" i="3" s="1"/>
  <c r="AD7" i="3"/>
  <c r="AD27" i="3" s="1"/>
  <c r="AD37" i="3" s="1"/>
  <c r="AD47" i="3" s="1"/>
  <c r="AD57" i="3" s="1"/>
  <c r="AE7" i="3"/>
  <c r="AF7" i="3"/>
  <c r="AG7" i="3"/>
  <c r="AH7" i="3"/>
  <c r="AH27" i="3" s="1"/>
  <c r="AH37" i="3" s="1"/>
  <c r="AH47" i="3" s="1"/>
  <c r="AH57" i="3" s="1"/>
  <c r="AI7" i="3"/>
  <c r="AI27" i="3" s="1"/>
  <c r="AI37" i="3" s="1"/>
  <c r="AI47" i="3" s="1"/>
  <c r="AI57" i="3" s="1"/>
  <c r="AJ7" i="3"/>
  <c r="AK7" i="3"/>
  <c r="AK27" i="3" s="1"/>
  <c r="AK37" i="3" s="1"/>
  <c r="AK47" i="3" s="1"/>
  <c r="AK57" i="3" s="1"/>
  <c r="AL7" i="3"/>
  <c r="AL27" i="3" s="1"/>
  <c r="AL37" i="3" s="1"/>
  <c r="AL47" i="3" s="1"/>
  <c r="AL57" i="3" s="1"/>
  <c r="AM7" i="3"/>
  <c r="AM27" i="3" s="1"/>
  <c r="AM37" i="3" s="1"/>
  <c r="AM47" i="3" s="1"/>
  <c r="AM57" i="3" s="1"/>
  <c r="AN7" i="3"/>
  <c r="AO7" i="3"/>
  <c r="AO27" i="3" s="1"/>
  <c r="AO37" i="3" s="1"/>
  <c r="AO47" i="3" s="1"/>
  <c r="AO57" i="3" s="1"/>
  <c r="AD8" i="3"/>
  <c r="AE8" i="3"/>
  <c r="AF8" i="3"/>
  <c r="AG8" i="3"/>
  <c r="AH8" i="3"/>
  <c r="AH28" i="3" s="1"/>
  <c r="AH38" i="3" s="1"/>
  <c r="AH48" i="3" s="1"/>
  <c r="AH58" i="3" s="1"/>
  <c r="AI8" i="3"/>
  <c r="AI28" i="3" s="1"/>
  <c r="AI38" i="3" s="1"/>
  <c r="AI48" i="3" s="1"/>
  <c r="AI58" i="3" s="1"/>
  <c r="AJ8" i="3"/>
  <c r="AK8" i="3"/>
  <c r="AL8" i="3"/>
  <c r="AM8" i="3"/>
  <c r="AM28" i="3" s="1"/>
  <c r="AM38" i="3" s="1"/>
  <c r="AM48" i="3" s="1"/>
  <c r="AM58" i="3" s="1"/>
  <c r="AN8" i="3"/>
  <c r="AO8" i="3"/>
  <c r="AO28" i="3" s="1"/>
  <c r="AO38" i="3" s="1"/>
  <c r="AO48" i="3" s="1"/>
  <c r="AO58" i="3" s="1"/>
  <c r="AD9" i="3"/>
  <c r="AE9" i="3"/>
  <c r="AF9" i="3"/>
  <c r="AG9" i="3"/>
  <c r="AG29" i="3" s="1"/>
  <c r="AG39" i="3" s="1"/>
  <c r="AG49" i="3" s="1"/>
  <c r="AG59" i="3" s="1"/>
  <c r="AH9" i="3"/>
  <c r="AH29" i="3" s="1"/>
  <c r="AH39" i="3" s="1"/>
  <c r="AH49" i="3" s="1"/>
  <c r="AH59" i="3" s="1"/>
  <c r="AI9" i="3"/>
  <c r="AI29" i="3" s="1"/>
  <c r="AI39" i="3" s="1"/>
  <c r="AI49" i="3" s="1"/>
  <c r="AI59" i="3" s="1"/>
  <c r="AJ9" i="3"/>
  <c r="AK9" i="3"/>
  <c r="AK29" i="3" s="1"/>
  <c r="AK39" i="3" s="1"/>
  <c r="AK49" i="3" s="1"/>
  <c r="AK59" i="3" s="1"/>
  <c r="AL9" i="3"/>
  <c r="AM9" i="3"/>
  <c r="AM29" i="3" s="1"/>
  <c r="AM39" i="3" s="1"/>
  <c r="AM49" i="3" s="1"/>
  <c r="AM59" i="3" s="1"/>
  <c r="AN9" i="3"/>
  <c r="AO9" i="3"/>
  <c r="AD10" i="3"/>
  <c r="AE10" i="3"/>
  <c r="AF10" i="3"/>
  <c r="AG10" i="3"/>
  <c r="AG30" i="3" s="1"/>
  <c r="AG40" i="3" s="1"/>
  <c r="AG50" i="3" s="1"/>
  <c r="AG60" i="3" s="1"/>
  <c r="AH10" i="3"/>
  <c r="AH30" i="3" s="1"/>
  <c r="AH40" i="3" s="1"/>
  <c r="AH50" i="3" s="1"/>
  <c r="AH60" i="3" s="1"/>
  <c r="AI10" i="3"/>
  <c r="AI30" i="3" s="1"/>
  <c r="AI40" i="3" s="1"/>
  <c r="AI50" i="3" s="1"/>
  <c r="AI60" i="3" s="1"/>
  <c r="AJ10" i="3"/>
  <c r="AK10" i="3"/>
  <c r="AL10" i="3"/>
  <c r="AM10" i="3"/>
  <c r="AM30" i="3" s="1"/>
  <c r="AM40" i="3" s="1"/>
  <c r="AM50" i="3" s="1"/>
  <c r="AM60" i="3" s="1"/>
  <c r="AN10" i="3"/>
  <c r="AO10" i="3"/>
  <c r="AG63" i="3"/>
  <c r="AF63" i="3"/>
  <c r="T63" i="3"/>
  <c r="S63" i="3"/>
  <c r="AG62" i="3"/>
  <c r="T62" i="3"/>
  <c r="G62" i="3"/>
  <c r="AD23" i="3"/>
  <c r="AF24" i="3"/>
  <c r="AF34" i="3" s="1"/>
  <c r="AF44" i="3" s="1"/>
  <c r="AF54" i="3" s="1"/>
  <c r="AJ24" i="3"/>
  <c r="AJ34" i="3" s="1"/>
  <c r="AJ44" i="3" s="1"/>
  <c r="AJ54" i="3" s="1"/>
  <c r="AK24" i="3"/>
  <c r="AK34" i="3" s="1"/>
  <c r="AK44" i="3" s="1"/>
  <c r="AK54" i="3" s="1"/>
  <c r="AL24" i="3"/>
  <c r="AL34" i="3" s="1"/>
  <c r="AL44" i="3" s="1"/>
  <c r="AL54" i="3" s="1"/>
  <c r="AN24" i="3"/>
  <c r="AN34" i="3" s="1"/>
  <c r="AN44" i="3" s="1"/>
  <c r="AN54" i="3" s="1"/>
  <c r="AD25" i="3"/>
  <c r="AD35" i="3" s="1"/>
  <c r="AD45" i="3" s="1"/>
  <c r="AD55" i="3" s="1"/>
  <c r="AF25" i="3"/>
  <c r="AF35" i="3" s="1"/>
  <c r="AF45" i="3" s="1"/>
  <c r="AF55" i="3" s="1"/>
  <c r="AL25" i="3"/>
  <c r="AL35" i="3" s="1"/>
  <c r="AL45" i="3" s="1"/>
  <c r="AL55" i="3" s="1"/>
  <c r="AN25" i="3"/>
  <c r="AN35" i="3" s="1"/>
  <c r="AN45" i="3" s="1"/>
  <c r="AN55" i="3" s="1"/>
  <c r="AO25" i="3"/>
  <c r="AO35" i="3" s="1"/>
  <c r="AO45" i="3" s="1"/>
  <c r="AO55" i="3" s="1"/>
  <c r="AD26" i="3"/>
  <c r="AD36" i="3" s="1"/>
  <c r="AD46" i="3" s="1"/>
  <c r="AD56" i="3" s="1"/>
  <c r="AJ26" i="3"/>
  <c r="AJ36" i="3" s="1"/>
  <c r="AJ46" i="3" s="1"/>
  <c r="AJ56" i="3" s="1"/>
  <c r="AK26" i="3"/>
  <c r="AK36" i="3" s="1"/>
  <c r="AK46" i="3" s="1"/>
  <c r="AK56" i="3" s="1"/>
  <c r="AN26" i="3"/>
  <c r="AN36" i="3" s="1"/>
  <c r="AN46" i="3" s="1"/>
  <c r="AN56" i="3" s="1"/>
  <c r="AF27" i="3"/>
  <c r="AF37" i="3" s="1"/>
  <c r="AF47" i="3" s="1"/>
  <c r="AF57" i="3" s="1"/>
  <c r="AG27" i="3"/>
  <c r="AG37" i="3" s="1"/>
  <c r="AG47" i="3" s="1"/>
  <c r="AG57" i="3" s="1"/>
  <c r="AJ27" i="3"/>
  <c r="AJ37" i="3" s="1"/>
  <c r="AJ47" i="3" s="1"/>
  <c r="AJ57" i="3" s="1"/>
  <c r="AN27" i="3"/>
  <c r="AN37" i="3" s="1"/>
  <c r="AN47" i="3" s="1"/>
  <c r="AN57" i="3" s="1"/>
  <c r="AD28" i="3"/>
  <c r="AD38" i="3" s="1"/>
  <c r="AD48" i="3" s="1"/>
  <c r="AD58" i="3" s="1"/>
  <c r="AG28" i="3"/>
  <c r="AG38" i="3" s="1"/>
  <c r="AG48" i="3" s="1"/>
  <c r="AG58" i="3" s="1"/>
  <c r="AJ28" i="3"/>
  <c r="AJ38" i="3" s="1"/>
  <c r="AJ48" i="3" s="1"/>
  <c r="AJ58" i="3" s="1"/>
  <c r="AK28" i="3"/>
  <c r="AK38" i="3" s="1"/>
  <c r="AK48" i="3" s="1"/>
  <c r="AK58" i="3" s="1"/>
  <c r="AL28" i="3"/>
  <c r="AL38" i="3" s="1"/>
  <c r="AL48" i="3" s="1"/>
  <c r="AL58" i="3" s="1"/>
  <c r="AD29" i="3"/>
  <c r="AD39" i="3" s="1"/>
  <c r="AD49" i="3" s="1"/>
  <c r="AD59" i="3" s="1"/>
  <c r="AF29" i="3"/>
  <c r="AF39" i="3" s="1"/>
  <c r="AF49" i="3" s="1"/>
  <c r="AF59" i="3" s="1"/>
  <c r="AJ29" i="3"/>
  <c r="AJ39" i="3" s="1"/>
  <c r="AJ49" i="3" s="1"/>
  <c r="AJ59" i="3" s="1"/>
  <c r="AL29" i="3"/>
  <c r="AL39" i="3" s="1"/>
  <c r="AL49" i="3" s="1"/>
  <c r="AL59" i="3" s="1"/>
  <c r="AN29" i="3"/>
  <c r="AN39" i="3" s="1"/>
  <c r="AN49" i="3" s="1"/>
  <c r="AN59" i="3" s="1"/>
  <c r="AO29" i="3"/>
  <c r="AO39" i="3" s="1"/>
  <c r="AO49" i="3" s="1"/>
  <c r="AO59" i="3" s="1"/>
  <c r="AD30" i="3"/>
  <c r="AD40" i="3" s="1"/>
  <c r="AD50" i="3" s="1"/>
  <c r="AD60" i="3" s="1"/>
  <c r="AF30" i="3"/>
  <c r="AF40" i="3" s="1"/>
  <c r="AF50" i="3" s="1"/>
  <c r="AF60" i="3" s="1"/>
  <c r="AJ30" i="3"/>
  <c r="AJ40" i="3" s="1"/>
  <c r="AJ50" i="3" s="1"/>
  <c r="AJ60" i="3" s="1"/>
  <c r="AK30" i="3"/>
  <c r="AK40" i="3" s="1"/>
  <c r="AK50" i="3" s="1"/>
  <c r="AK60" i="3" s="1"/>
  <c r="AL30" i="3"/>
  <c r="AL40" i="3" s="1"/>
  <c r="AL50" i="3" s="1"/>
  <c r="AL60" i="3" s="1"/>
  <c r="AO30" i="3"/>
  <c r="AO40" i="3" s="1"/>
  <c r="AO50" i="3" s="1"/>
  <c r="AO60" i="3" s="1"/>
  <c r="AF23" i="3"/>
  <c r="AF33" i="3" s="1"/>
  <c r="AF43" i="3" s="1"/>
  <c r="AF53" i="3" s="1"/>
  <c r="AJ23" i="3"/>
  <c r="AJ33" i="3" s="1"/>
  <c r="AJ43" i="3" s="1"/>
  <c r="AJ53" i="3" s="1"/>
  <c r="AL23" i="3"/>
  <c r="AL33" i="3" s="1"/>
  <c r="AL43" i="3" s="1"/>
  <c r="AL53" i="3" s="1"/>
  <c r="AN23" i="3"/>
  <c r="AN33" i="3" s="1"/>
  <c r="AN43" i="3" s="1"/>
  <c r="AN53" i="3" s="1"/>
  <c r="AO23" i="3"/>
  <c r="AO33" i="3" s="1"/>
  <c r="AO43" i="3" s="1"/>
  <c r="AO53" i="3" s="1"/>
  <c r="S24" i="3"/>
  <c r="S34" i="3" s="1"/>
  <c r="S44" i="3" s="1"/>
  <c r="S54" i="3" s="1"/>
  <c r="W24" i="3"/>
  <c r="W34" i="3" s="1"/>
  <c r="W44" i="3" s="1"/>
  <c r="W54" i="3" s="1"/>
  <c r="X24" i="3"/>
  <c r="X34" i="3" s="1"/>
  <c r="X44" i="3" s="1"/>
  <c r="X54" i="3" s="1"/>
  <c r="Y24" i="3"/>
  <c r="Y34" i="3" s="1"/>
  <c r="Y44" i="3" s="1"/>
  <c r="Y54" i="3" s="1"/>
  <c r="AA24" i="3"/>
  <c r="AA34" i="3" s="1"/>
  <c r="AA44" i="3" s="1"/>
  <c r="AA54" i="3" s="1"/>
  <c r="S25" i="3"/>
  <c r="S35" i="3" s="1"/>
  <c r="S45" i="3" s="1"/>
  <c r="S55" i="3" s="1"/>
  <c r="T25" i="3"/>
  <c r="T35" i="3" s="1"/>
  <c r="T45" i="3" s="1"/>
  <c r="T55" i="3" s="1"/>
  <c r="W25" i="3"/>
  <c r="W35" i="3" s="1"/>
  <c r="W45" i="3" s="1"/>
  <c r="W55" i="3" s="1"/>
  <c r="AA25" i="3"/>
  <c r="AA35" i="3" s="1"/>
  <c r="AA45" i="3" s="1"/>
  <c r="AA55" i="3" s="1"/>
  <c r="AB25" i="3"/>
  <c r="AB35" i="3" s="1"/>
  <c r="AB45" i="3" s="1"/>
  <c r="AB55" i="3" s="1"/>
  <c r="W26" i="3"/>
  <c r="W36" i="3" s="1"/>
  <c r="W46" i="3" s="1"/>
  <c r="W56" i="3" s="1"/>
  <c r="Z26" i="3"/>
  <c r="Z36" i="3" s="1"/>
  <c r="Z46" i="3" s="1"/>
  <c r="Z56" i="3" s="1"/>
  <c r="S27" i="3"/>
  <c r="S37" i="3" s="1"/>
  <c r="S47" i="3" s="1"/>
  <c r="S57" i="3" s="1"/>
  <c r="V27" i="3"/>
  <c r="V37" i="3" s="1"/>
  <c r="V47" i="3" s="1"/>
  <c r="V57" i="3" s="1"/>
  <c r="AA27" i="3"/>
  <c r="AA37" i="3" s="1"/>
  <c r="AA47" i="3" s="1"/>
  <c r="AA57" i="3" s="1"/>
  <c r="AB27" i="3"/>
  <c r="AB37" i="3" s="1"/>
  <c r="AB47" i="3" s="1"/>
  <c r="AB57" i="3" s="1"/>
  <c r="Q28" i="3"/>
  <c r="Q38" i="3" s="1"/>
  <c r="Q48" i="3" s="1"/>
  <c r="Q58" i="3" s="1"/>
  <c r="S28" i="3"/>
  <c r="S38" i="3" s="1"/>
  <c r="S48" i="3" s="1"/>
  <c r="S58" i="3" s="1"/>
  <c r="W28" i="3"/>
  <c r="W38" i="3" s="1"/>
  <c r="W48" i="3" s="1"/>
  <c r="W58" i="3" s="1"/>
  <c r="X28" i="3"/>
  <c r="X38" i="3" s="1"/>
  <c r="X48" i="3" s="1"/>
  <c r="X58" i="3" s="1"/>
  <c r="Z28" i="3"/>
  <c r="Z38" i="3" s="1"/>
  <c r="Z48" i="3" s="1"/>
  <c r="Z58" i="3" s="1"/>
  <c r="S29" i="3"/>
  <c r="S39" i="3" s="1"/>
  <c r="S49" i="3" s="1"/>
  <c r="S59" i="3" s="1"/>
  <c r="T29" i="3"/>
  <c r="T39" i="3" s="1"/>
  <c r="T49" i="3" s="1"/>
  <c r="T59" i="3" s="1"/>
  <c r="U29" i="3"/>
  <c r="U39" i="3" s="1"/>
  <c r="U49" i="3" s="1"/>
  <c r="U59" i="3" s="1"/>
  <c r="AA29" i="3"/>
  <c r="AA39" i="3" s="1"/>
  <c r="AA49" i="3" s="1"/>
  <c r="AA59" i="3" s="1"/>
  <c r="AB29" i="3"/>
  <c r="AB39" i="3" s="1"/>
  <c r="AB49" i="3" s="1"/>
  <c r="AB59" i="3" s="1"/>
  <c r="Q30" i="3"/>
  <c r="Q40" i="3" s="1"/>
  <c r="Q50" i="3" s="1"/>
  <c r="Q60" i="3" s="1"/>
  <c r="W30" i="3"/>
  <c r="W40" i="3" s="1"/>
  <c r="W50" i="3" s="1"/>
  <c r="W60" i="3" s="1"/>
  <c r="AA30" i="3"/>
  <c r="AA40" i="3" s="1"/>
  <c r="AA50" i="3" s="1"/>
  <c r="AA60" i="3" s="1"/>
  <c r="S23" i="3"/>
  <c r="S33" i="3" s="1"/>
  <c r="S43" i="3" s="1"/>
  <c r="S53" i="3" s="1"/>
  <c r="W23" i="3"/>
  <c r="W33" i="3" s="1"/>
  <c r="W43" i="3" s="1"/>
  <c r="W53" i="3" s="1"/>
  <c r="U24" i="3"/>
  <c r="U34" i="3" s="1"/>
  <c r="U44" i="3" s="1"/>
  <c r="U54" i="3" s="1"/>
  <c r="Q27" i="3"/>
  <c r="Q37" i="3" s="1"/>
  <c r="Q47" i="3" s="1"/>
  <c r="Q57" i="3" s="1"/>
  <c r="Y29" i="3"/>
  <c r="Y39" i="3" s="1"/>
  <c r="Y49" i="3" s="1"/>
  <c r="Y59" i="3" s="1"/>
  <c r="AA23" i="3"/>
  <c r="AA33" i="3" s="1"/>
  <c r="AA43" i="3" s="1"/>
  <c r="AA53" i="3" s="1"/>
  <c r="AH1" i="3"/>
  <c r="AE1" i="3"/>
  <c r="U1" i="3"/>
  <c r="R1" i="3"/>
  <c r="AJ25" i="3"/>
  <c r="AJ35" i="3" s="1"/>
  <c r="AJ45" i="3" s="1"/>
  <c r="AJ55" i="3" s="1"/>
  <c r="AF26" i="3"/>
  <c r="AF36" i="3" s="1"/>
  <c r="AF46" i="3" s="1"/>
  <c r="AF56" i="3" s="1"/>
  <c r="AF28" i="3"/>
  <c r="AF38" i="3" s="1"/>
  <c r="AF48" i="3" s="1"/>
  <c r="AF58" i="3" s="1"/>
  <c r="AN28" i="3"/>
  <c r="AN38" i="3" s="1"/>
  <c r="AN48" i="3" s="1"/>
  <c r="AN58" i="3" s="1"/>
  <c r="AN30" i="3"/>
  <c r="AN40" i="3" s="1"/>
  <c r="AN50" i="3" s="1"/>
  <c r="AN60" i="3" s="1"/>
  <c r="S26" i="3"/>
  <c r="S36" i="3" s="1"/>
  <c r="S46" i="3" s="1"/>
  <c r="S56" i="3" s="1"/>
  <c r="AA26" i="3"/>
  <c r="AA36" i="3" s="1"/>
  <c r="AA46" i="3" s="1"/>
  <c r="AA56" i="3" s="1"/>
  <c r="W27" i="3"/>
  <c r="W37" i="3" s="1"/>
  <c r="W47" i="3" s="1"/>
  <c r="W57" i="3" s="1"/>
  <c r="AA28" i="3"/>
  <c r="AA38" i="3" s="1"/>
  <c r="AA48" i="3" s="1"/>
  <c r="AA58" i="3" s="1"/>
  <c r="W29" i="3"/>
  <c r="W39" i="3" s="1"/>
  <c r="W49" i="3" s="1"/>
  <c r="W59" i="3" s="1"/>
  <c r="S30" i="3"/>
  <c r="S40" i="3" s="1"/>
  <c r="S50" i="3" s="1"/>
  <c r="S60" i="3" s="1"/>
  <c r="V23" i="3"/>
  <c r="V33" i="3" s="1"/>
  <c r="V43" i="3" s="1"/>
  <c r="V53" i="3" s="1"/>
  <c r="B4" i="3"/>
  <c r="B5" i="3"/>
  <c r="B8" i="3"/>
  <c r="B3" i="3"/>
  <c r="AM52" i="2"/>
  <c r="AM62" i="2" s="1"/>
  <c r="AL52" i="2"/>
  <c r="AL62" i="2" s="1"/>
  <c r="AK52" i="2"/>
  <c r="AK62" i="2" s="1"/>
  <c r="AJ52" i="2"/>
  <c r="AJ62" i="2" s="1"/>
  <c r="AI52" i="2"/>
  <c r="AI62" i="2" s="1"/>
  <c r="AH52" i="2"/>
  <c r="AH62" i="2" s="1"/>
  <c r="AG52" i="2"/>
  <c r="AG62" i="2" s="1"/>
  <c r="AF52" i="2"/>
  <c r="AF62" i="2" s="1"/>
  <c r="AE52" i="2"/>
  <c r="AE62" i="2" s="1"/>
  <c r="AD52" i="2"/>
  <c r="AD62" i="2" s="1"/>
  <c r="AC52" i="2"/>
  <c r="AC62" i="2" s="1"/>
  <c r="AB52" i="2"/>
  <c r="AB62" i="2" s="1"/>
  <c r="AM51" i="2"/>
  <c r="AM61" i="2" s="1"/>
  <c r="AL51" i="2"/>
  <c r="AL61" i="2" s="1"/>
  <c r="AK51" i="2"/>
  <c r="AK61" i="2" s="1"/>
  <c r="AJ51" i="2"/>
  <c r="AJ61" i="2" s="1"/>
  <c r="AI51" i="2"/>
  <c r="AI61" i="2" s="1"/>
  <c r="AH51" i="2"/>
  <c r="AH61" i="2" s="1"/>
  <c r="AG51" i="2"/>
  <c r="AG61" i="2" s="1"/>
  <c r="AF51" i="2"/>
  <c r="AF61" i="2" s="1"/>
  <c r="AE51" i="2"/>
  <c r="AE61" i="2" s="1"/>
  <c r="AD51" i="2"/>
  <c r="AD61" i="2" s="1"/>
  <c r="AC51" i="2"/>
  <c r="AC61" i="2" s="1"/>
  <c r="AB51" i="2"/>
  <c r="AB61" i="2" s="1"/>
  <c r="AM50" i="2"/>
  <c r="AM60" i="2" s="1"/>
  <c r="AL50" i="2"/>
  <c r="AL60" i="2" s="1"/>
  <c r="AK50" i="2"/>
  <c r="AK60" i="2" s="1"/>
  <c r="AJ50" i="2"/>
  <c r="AJ60" i="2" s="1"/>
  <c r="AI50" i="2"/>
  <c r="AI60" i="2" s="1"/>
  <c r="AH50" i="2"/>
  <c r="AH60" i="2" s="1"/>
  <c r="AG50" i="2"/>
  <c r="AG60" i="2" s="1"/>
  <c r="AF50" i="2"/>
  <c r="AF60" i="2" s="1"/>
  <c r="AE50" i="2"/>
  <c r="AE60" i="2" s="1"/>
  <c r="AD50" i="2"/>
  <c r="AD60" i="2" s="1"/>
  <c r="AC50" i="2"/>
  <c r="AC60" i="2" s="1"/>
  <c r="AB50" i="2"/>
  <c r="AB60" i="2" s="1"/>
  <c r="AM49" i="2"/>
  <c r="AM59" i="2" s="1"/>
  <c r="AL49" i="2"/>
  <c r="AL59" i="2" s="1"/>
  <c r="AK49" i="2"/>
  <c r="AK59" i="2" s="1"/>
  <c r="AJ49" i="2"/>
  <c r="AJ59" i="2" s="1"/>
  <c r="AI49" i="2"/>
  <c r="AI59" i="2" s="1"/>
  <c r="AH49" i="2"/>
  <c r="AH59" i="2" s="1"/>
  <c r="AG49" i="2"/>
  <c r="AG59" i="2" s="1"/>
  <c r="AF49" i="2"/>
  <c r="AF59" i="2" s="1"/>
  <c r="AE49" i="2"/>
  <c r="AE59" i="2" s="1"/>
  <c r="AD49" i="2"/>
  <c r="AD59" i="2" s="1"/>
  <c r="AC49" i="2"/>
  <c r="AC59" i="2" s="1"/>
  <c r="AB49" i="2"/>
  <c r="AB59" i="2" s="1"/>
  <c r="AM48" i="2"/>
  <c r="AM58" i="2" s="1"/>
  <c r="AL48" i="2"/>
  <c r="AL58" i="2" s="1"/>
  <c r="AK48" i="2"/>
  <c r="AK58" i="2" s="1"/>
  <c r="AJ48" i="2"/>
  <c r="AJ58" i="2" s="1"/>
  <c r="AI48" i="2"/>
  <c r="AI58" i="2" s="1"/>
  <c r="AH48" i="2"/>
  <c r="AH58" i="2" s="1"/>
  <c r="AG48" i="2"/>
  <c r="AG58" i="2" s="1"/>
  <c r="AF48" i="2"/>
  <c r="AF58" i="2" s="1"/>
  <c r="AE48" i="2"/>
  <c r="AE58" i="2" s="1"/>
  <c r="AD48" i="2"/>
  <c r="AD58" i="2" s="1"/>
  <c r="AC48" i="2"/>
  <c r="AC58" i="2" s="1"/>
  <c r="AB48" i="2"/>
  <c r="AB58" i="2" s="1"/>
  <c r="AM47" i="2"/>
  <c r="AM57" i="2" s="1"/>
  <c r="AL47" i="2"/>
  <c r="AL57" i="2" s="1"/>
  <c r="AK47" i="2"/>
  <c r="AK57" i="2" s="1"/>
  <c r="AJ47" i="2"/>
  <c r="AJ57" i="2" s="1"/>
  <c r="AI47" i="2"/>
  <c r="AI57" i="2" s="1"/>
  <c r="AH47" i="2"/>
  <c r="AH57" i="2" s="1"/>
  <c r="AG47" i="2"/>
  <c r="AG57" i="2" s="1"/>
  <c r="AF47" i="2"/>
  <c r="AF57" i="2" s="1"/>
  <c r="AE47" i="2"/>
  <c r="AE57" i="2" s="1"/>
  <c r="AD47" i="2"/>
  <c r="AD57" i="2" s="1"/>
  <c r="AC47" i="2"/>
  <c r="AC57" i="2" s="1"/>
  <c r="AB47" i="2"/>
  <c r="AB57" i="2" s="1"/>
  <c r="AM46" i="2"/>
  <c r="AM56" i="2" s="1"/>
  <c r="AL46" i="2"/>
  <c r="AL56" i="2" s="1"/>
  <c r="AK46" i="2"/>
  <c r="AK56" i="2" s="1"/>
  <c r="AJ46" i="2"/>
  <c r="AJ56" i="2" s="1"/>
  <c r="AI46" i="2"/>
  <c r="AI56" i="2" s="1"/>
  <c r="AH46" i="2"/>
  <c r="AH56" i="2" s="1"/>
  <c r="AG46" i="2"/>
  <c r="AG56" i="2" s="1"/>
  <c r="AF46" i="2"/>
  <c r="AF56" i="2" s="1"/>
  <c r="AE46" i="2"/>
  <c r="AE56" i="2" s="1"/>
  <c r="AD46" i="2"/>
  <c r="AD56" i="2" s="1"/>
  <c r="AC46" i="2"/>
  <c r="AC56" i="2" s="1"/>
  <c r="AB46" i="2"/>
  <c r="AB56" i="2" s="1"/>
  <c r="AM45" i="2"/>
  <c r="AM55" i="2" s="1"/>
  <c r="AL45" i="2"/>
  <c r="AL55" i="2" s="1"/>
  <c r="AK45" i="2"/>
  <c r="AK55" i="2" s="1"/>
  <c r="AJ45" i="2"/>
  <c r="AJ55" i="2" s="1"/>
  <c r="AI45" i="2"/>
  <c r="AI55" i="2" s="1"/>
  <c r="AH45" i="2"/>
  <c r="AH55" i="2" s="1"/>
  <c r="AG45" i="2"/>
  <c r="AG55" i="2" s="1"/>
  <c r="AF45" i="2"/>
  <c r="AF55" i="2" s="1"/>
  <c r="AE45" i="2"/>
  <c r="AE55" i="2" s="1"/>
  <c r="AD45" i="2"/>
  <c r="AD55" i="2" s="1"/>
  <c r="AC45" i="2"/>
  <c r="AC55" i="2" s="1"/>
  <c r="AB45" i="2"/>
  <c r="AB55" i="2" s="1"/>
  <c r="O61" i="2"/>
  <c r="S60" i="2"/>
  <c r="Z52" i="2"/>
  <c r="Z62" i="2" s="1"/>
  <c r="Y52" i="2"/>
  <c r="Y62" i="2" s="1"/>
  <c r="X52" i="2"/>
  <c r="X62" i="2" s="1"/>
  <c r="W52" i="2"/>
  <c r="W62" i="2" s="1"/>
  <c r="V52" i="2"/>
  <c r="V62" i="2" s="1"/>
  <c r="U52" i="2"/>
  <c r="U62" i="2" s="1"/>
  <c r="T52" i="2"/>
  <c r="T62" i="2" s="1"/>
  <c r="S52" i="2"/>
  <c r="S62" i="2" s="1"/>
  <c r="R52" i="2"/>
  <c r="R62" i="2" s="1"/>
  <c r="Q52" i="2"/>
  <c r="Q62" i="2" s="1"/>
  <c r="P52" i="2"/>
  <c r="P62" i="2" s="1"/>
  <c r="O52" i="2"/>
  <c r="O62" i="2" s="1"/>
  <c r="Z51" i="2"/>
  <c r="Z61" i="2" s="1"/>
  <c r="Y51" i="2"/>
  <c r="Y61" i="2" s="1"/>
  <c r="X51" i="2"/>
  <c r="X61" i="2" s="1"/>
  <c r="W51" i="2"/>
  <c r="W61" i="2" s="1"/>
  <c r="V51" i="2"/>
  <c r="V61" i="2" s="1"/>
  <c r="U51" i="2"/>
  <c r="U61" i="2" s="1"/>
  <c r="T51" i="2"/>
  <c r="T61" i="2" s="1"/>
  <c r="S51" i="2"/>
  <c r="S61" i="2" s="1"/>
  <c r="R51" i="2"/>
  <c r="R61" i="2" s="1"/>
  <c r="Q51" i="2"/>
  <c r="Q61" i="2" s="1"/>
  <c r="P51" i="2"/>
  <c r="P61" i="2" s="1"/>
  <c r="O51" i="2"/>
  <c r="Z50" i="2"/>
  <c r="Z60" i="2" s="1"/>
  <c r="Y50" i="2"/>
  <c r="Y60" i="2" s="1"/>
  <c r="X50" i="2"/>
  <c r="X60" i="2" s="1"/>
  <c r="W50" i="2"/>
  <c r="W60" i="2" s="1"/>
  <c r="V50" i="2"/>
  <c r="V60" i="2" s="1"/>
  <c r="U50" i="2"/>
  <c r="U60" i="2" s="1"/>
  <c r="T50" i="2"/>
  <c r="T60" i="2" s="1"/>
  <c r="S50" i="2"/>
  <c r="R50" i="2"/>
  <c r="R60" i="2" s="1"/>
  <c r="Q50" i="2"/>
  <c r="Q60" i="2" s="1"/>
  <c r="P50" i="2"/>
  <c r="P60" i="2" s="1"/>
  <c r="O50" i="2"/>
  <c r="O60" i="2" s="1"/>
  <c r="Z49" i="2"/>
  <c r="Z59" i="2" s="1"/>
  <c r="Y49" i="2"/>
  <c r="Y59" i="2" s="1"/>
  <c r="X49" i="2"/>
  <c r="X59" i="2" s="1"/>
  <c r="W49" i="2"/>
  <c r="W59" i="2" s="1"/>
  <c r="V49" i="2"/>
  <c r="V59" i="2" s="1"/>
  <c r="U49" i="2"/>
  <c r="U59" i="2" s="1"/>
  <c r="T49" i="2"/>
  <c r="T59" i="2" s="1"/>
  <c r="S49" i="2"/>
  <c r="S59" i="2" s="1"/>
  <c r="R49" i="2"/>
  <c r="R59" i="2" s="1"/>
  <c r="Q49" i="2"/>
  <c r="Q59" i="2" s="1"/>
  <c r="P49" i="2"/>
  <c r="P59" i="2" s="1"/>
  <c r="O49" i="2"/>
  <c r="O59" i="2" s="1"/>
  <c r="Z48" i="2"/>
  <c r="Z58" i="2" s="1"/>
  <c r="Y48" i="2"/>
  <c r="Y58" i="2" s="1"/>
  <c r="X48" i="2"/>
  <c r="X58" i="2" s="1"/>
  <c r="W48" i="2"/>
  <c r="W58" i="2" s="1"/>
  <c r="V48" i="2"/>
  <c r="V58" i="2" s="1"/>
  <c r="U48" i="2"/>
  <c r="U58" i="2" s="1"/>
  <c r="T48" i="2"/>
  <c r="T58" i="2" s="1"/>
  <c r="S48" i="2"/>
  <c r="S58" i="2" s="1"/>
  <c r="R48" i="2"/>
  <c r="R58" i="2" s="1"/>
  <c r="Q48" i="2"/>
  <c r="Q58" i="2" s="1"/>
  <c r="P48" i="2"/>
  <c r="P58" i="2" s="1"/>
  <c r="O48" i="2"/>
  <c r="O58" i="2" s="1"/>
  <c r="Z47" i="2"/>
  <c r="Z57" i="2" s="1"/>
  <c r="Y47" i="2"/>
  <c r="Y57" i="2" s="1"/>
  <c r="X47" i="2"/>
  <c r="X57" i="2" s="1"/>
  <c r="W47" i="2"/>
  <c r="W57" i="2" s="1"/>
  <c r="V47" i="2"/>
  <c r="V57" i="2" s="1"/>
  <c r="U47" i="2"/>
  <c r="U57" i="2" s="1"/>
  <c r="T47" i="2"/>
  <c r="T57" i="2" s="1"/>
  <c r="S47" i="2"/>
  <c r="S57" i="2" s="1"/>
  <c r="R47" i="2"/>
  <c r="R57" i="2" s="1"/>
  <c r="Q47" i="2"/>
  <c r="Q57" i="2" s="1"/>
  <c r="P47" i="2"/>
  <c r="P57" i="2" s="1"/>
  <c r="O47" i="2"/>
  <c r="O57" i="2" s="1"/>
  <c r="Z46" i="2"/>
  <c r="Z56" i="2" s="1"/>
  <c r="Y46" i="2"/>
  <c r="Y56" i="2" s="1"/>
  <c r="X46" i="2"/>
  <c r="X56" i="2" s="1"/>
  <c r="W46" i="2"/>
  <c r="W56" i="2" s="1"/>
  <c r="V46" i="2"/>
  <c r="V56" i="2" s="1"/>
  <c r="U46" i="2"/>
  <c r="U56" i="2" s="1"/>
  <c r="T46" i="2"/>
  <c r="T56" i="2" s="1"/>
  <c r="S46" i="2"/>
  <c r="S56" i="2" s="1"/>
  <c r="R46" i="2"/>
  <c r="R56" i="2" s="1"/>
  <c r="Q46" i="2"/>
  <c r="Q56" i="2" s="1"/>
  <c r="P46" i="2"/>
  <c r="P56" i="2" s="1"/>
  <c r="O46" i="2"/>
  <c r="O56" i="2" s="1"/>
  <c r="Z45" i="2"/>
  <c r="Z55" i="2" s="1"/>
  <c r="Y45" i="2"/>
  <c r="Y55" i="2" s="1"/>
  <c r="X45" i="2"/>
  <c r="X55" i="2" s="1"/>
  <c r="W45" i="2"/>
  <c r="W55" i="2" s="1"/>
  <c r="V45" i="2"/>
  <c r="V55" i="2" s="1"/>
  <c r="U45" i="2"/>
  <c r="U55" i="2" s="1"/>
  <c r="T45" i="2"/>
  <c r="T55" i="2" s="1"/>
  <c r="S45" i="2"/>
  <c r="S55" i="2" s="1"/>
  <c r="R45" i="2"/>
  <c r="R55" i="2" s="1"/>
  <c r="Q45" i="2"/>
  <c r="Q55" i="2" s="1"/>
  <c r="P45" i="2"/>
  <c r="P55" i="2" s="1"/>
  <c r="O45" i="2"/>
  <c r="O55" i="2" s="1"/>
  <c r="B46" i="2"/>
  <c r="B56" i="2" s="1"/>
  <c r="D14" i="3" s="1"/>
  <c r="C46" i="2"/>
  <c r="C56" i="2" s="1"/>
  <c r="E14" i="3" s="1"/>
  <c r="D46" i="2"/>
  <c r="D56" i="2" s="1"/>
  <c r="F14" i="3" s="1"/>
  <c r="E46" i="2"/>
  <c r="E56" i="2" s="1"/>
  <c r="G14" i="3" s="1"/>
  <c r="F46" i="2"/>
  <c r="F56" i="2" s="1"/>
  <c r="H14" i="3" s="1"/>
  <c r="G46" i="2"/>
  <c r="G56" i="2" s="1"/>
  <c r="I14" i="3" s="1"/>
  <c r="H46" i="2"/>
  <c r="H56" i="2" s="1"/>
  <c r="J14" i="3" s="1"/>
  <c r="I46" i="2"/>
  <c r="I56" i="2" s="1"/>
  <c r="K14" i="3" s="1"/>
  <c r="J46" i="2"/>
  <c r="J56" i="2" s="1"/>
  <c r="L14" i="3" s="1"/>
  <c r="K46" i="2"/>
  <c r="K56" i="2" s="1"/>
  <c r="M14" i="3" s="1"/>
  <c r="L46" i="2"/>
  <c r="L56" i="2" s="1"/>
  <c r="N14" i="3" s="1"/>
  <c r="M46" i="2"/>
  <c r="M56" i="2" s="1"/>
  <c r="O14" i="3" s="1"/>
  <c r="B47" i="2"/>
  <c r="B57" i="2" s="1"/>
  <c r="D15" i="3" s="1"/>
  <c r="C47" i="2"/>
  <c r="C57" i="2" s="1"/>
  <c r="E15" i="3" s="1"/>
  <c r="D47" i="2"/>
  <c r="D57" i="2" s="1"/>
  <c r="F15" i="3" s="1"/>
  <c r="E47" i="2"/>
  <c r="E57" i="2" s="1"/>
  <c r="G15" i="3" s="1"/>
  <c r="F47" i="2"/>
  <c r="F57" i="2" s="1"/>
  <c r="H15" i="3" s="1"/>
  <c r="G47" i="2"/>
  <c r="G57" i="2" s="1"/>
  <c r="I15" i="3" s="1"/>
  <c r="H47" i="2"/>
  <c r="H57" i="2" s="1"/>
  <c r="J15" i="3" s="1"/>
  <c r="I47" i="2"/>
  <c r="I57" i="2" s="1"/>
  <c r="K15" i="3" s="1"/>
  <c r="J47" i="2"/>
  <c r="J57" i="2" s="1"/>
  <c r="L15" i="3" s="1"/>
  <c r="K47" i="2"/>
  <c r="K57" i="2" s="1"/>
  <c r="M15" i="3" s="1"/>
  <c r="L47" i="2"/>
  <c r="L57" i="2" s="1"/>
  <c r="N15" i="3" s="1"/>
  <c r="M47" i="2"/>
  <c r="M57" i="2" s="1"/>
  <c r="O15" i="3" s="1"/>
  <c r="B48" i="2"/>
  <c r="B58" i="2" s="1"/>
  <c r="D16" i="3" s="1"/>
  <c r="C48" i="2"/>
  <c r="C58" i="2" s="1"/>
  <c r="E16" i="3" s="1"/>
  <c r="D48" i="2"/>
  <c r="D58" i="2" s="1"/>
  <c r="F16" i="3" s="1"/>
  <c r="E48" i="2"/>
  <c r="E58" i="2" s="1"/>
  <c r="G16" i="3" s="1"/>
  <c r="F48" i="2"/>
  <c r="F58" i="2" s="1"/>
  <c r="H16" i="3" s="1"/>
  <c r="G48" i="2"/>
  <c r="G58" i="2" s="1"/>
  <c r="I16" i="3" s="1"/>
  <c r="H48" i="2"/>
  <c r="H58" i="2" s="1"/>
  <c r="J16" i="3" s="1"/>
  <c r="I48" i="2"/>
  <c r="I58" i="2" s="1"/>
  <c r="K16" i="3" s="1"/>
  <c r="J48" i="2"/>
  <c r="J58" i="2" s="1"/>
  <c r="L16" i="3" s="1"/>
  <c r="K48" i="2"/>
  <c r="K58" i="2" s="1"/>
  <c r="M16" i="3" s="1"/>
  <c r="L48" i="2"/>
  <c r="L58" i="2" s="1"/>
  <c r="N16" i="3" s="1"/>
  <c r="M48" i="2"/>
  <c r="M58" i="2" s="1"/>
  <c r="O16" i="3" s="1"/>
  <c r="B49" i="2"/>
  <c r="B59" i="2" s="1"/>
  <c r="D17" i="3" s="1"/>
  <c r="C49" i="2"/>
  <c r="C59" i="2" s="1"/>
  <c r="E17" i="3" s="1"/>
  <c r="D49" i="2"/>
  <c r="D59" i="2" s="1"/>
  <c r="F17" i="3" s="1"/>
  <c r="E49" i="2"/>
  <c r="E59" i="2" s="1"/>
  <c r="G17" i="3" s="1"/>
  <c r="F49" i="2"/>
  <c r="F59" i="2" s="1"/>
  <c r="H17" i="3" s="1"/>
  <c r="G49" i="2"/>
  <c r="G59" i="2" s="1"/>
  <c r="I17" i="3" s="1"/>
  <c r="H49" i="2"/>
  <c r="H59" i="2" s="1"/>
  <c r="J17" i="3" s="1"/>
  <c r="I49" i="2"/>
  <c r="I59" i="2" s="1"/>
  <c r="K17" i="3" s="1"/>
  <c r="J49" i="2"/>
  <c r="J59" i="2" s="1"/>
  <c r="L17" i="3" s="1"/>
  <c r="K49" i="2"/>
  <c r="K59" i="2" s="1"/>
  <c r="M17" i="3" s="1"/>
  <c r="L49" i="2"/>
  <c r="L59" i="2" s="1"/>
  <c r="N17" i="3" s="1"/>
  <c r="M49" i="2"/>
  <c r="M59" i="2" s="1"/>
  <c r="O17" i="3" s="1"/>
  <c r="B50" i="2"/>
  <c r="B60" i="2" s="1"/>
  <c r="D18" i="3" s="1"/>
  <c r="C50" i="2"/>
  <c r="C60" i="2" s="1"/>
  <c r="E18" i="3" s="1"/>
  <c r="D50" i="2"/>
  <c r="D60" i="2" s="1"/>
  <c r="F18" i="3" s="1"/>
  <c r="E50" i="2"/>
  <c r="E60" i="2" s="1"/>
  <c r="G18" i="3" s="1"/>
  <c r="F50" i="2"/>
  <c r="F60" i="2" s="1"/>
  <c r="H18" i="3" s="1"/>
  <c r="G50" i="2"/>
  <c r="G60" i="2" s="1"/>
  <c r="I18" i="3" s="1"/>
  <c r="H50" i="2"/>
  <c r="H60" i="2" s="1"/>
  <c r="J18" i="3" s="1"/>
  <c r="I50" i="2"/>
  <c r="I60" i="2" s="1"/>
  <c r="K18" i="3" s="1"/>
  <c r="J50" i="2"/>
  <c r="J60" i="2" s="1"/>
  <c r="L18" i="3" s="1"/>
  <c r="K50" i="2"/>
  <c r="K60" i="2" s="1"/>
  <c r="M18" i="3" s="1"/>
  <c r="L50" i="2"/>
  <c r="L60" i="2" s="1"/>
  <c r="N18" i="3" s="1"/>
  <c r="M50" i="2"/>
  <c r="M60" i="2" s="1"/>
  <c r="O18" i="3" s="1"/>
  <c r="B51" i="2"/>
  <c r="B61" i="2" s="1"/>
  <c r="D19" i="3" s="1"/>
  <c r="C51" i="2"/>
  <c r="C61" i="2" s="1"/>
  <c r="E19" i="3" s="1"/>
  <c r="D51" i="2"/>
  <c r="D61" i="2" s="1"/>
  <c r="F19" i="3" s="1"/>
  <c r="E51" i="2"/>
  <c r="E61" i="2" s="1"/>
  <c r="G19" i="3" s="1"/>
  <c r="F51" i="2"/>
  <c r="F61" i="2" s="1"/>
  <c r="H19" i="3" s="1"/>
  <c r="G51" i="2"/>
  <c r="G61" i="2" s="1"/>
  <c r="I19" i="3" s="1"/>
  <c r="H51" i="2"/>
  <c r="H61" i="2" s="1"/>
  <c r="J19" i="3" s="1"/>
  <c r="I51" i="2"/>
  <c r="I61" i="2" s="1"/>
  <c r="K19" i="3" s="1"/>
  <c r="J51" i="2"/>
  <c r="J61" i="2" s="1"/>
  <c r="L19" i="3" s="1"/>
  <c r="K51" i="2"/>
  <c r="K61" i="2" s="1"/>
  <c r="M19" i="3" s="1"/>
  <c r="L51" i="2"/>
  <c r="L61" i="2" s="1"/>
  <c r="N19" i="3" s="1"/>
  <c r="M51" i="2"/>
  <c r="M61" i="2" s="1"/>
  <c r="O19" i="3" s="1"/>
  <c r="B52" i="2"/>
  <c r="B62" i="2" s="1"/>
  <c r="D20" i="3" s="1"/>
  <c r="C52" i="2"/>
  <c r="C62" i="2" s="1"/>
  <c r="E20" i="3" s="1"/>
  <c r="D52" i="2"/>
  <c r="D62" i="2" s="1"/>
  <c r="F20" i="3" s="1"/>
  <c r="E52" i="2"/>
  <c r="E62" i="2" s="1"/>
  <c r="G20" i="3" s="1"/>
  <c r="F52" i="2"/>
  <c r="F62" i="2" s="1"/>
  <c r="H20" i="3" s="1"/>
  <c r="G52" i="2"/>
  <c r="G62" i="2" s="1"/>
  <c r="I20" i="3" s="1"/>
  <c r="H52" i="2"/>
  <c r="H62" i="2" s="1"/>
  <c r="J20" i="3" s="1"/>
  <c r="I52" i="2"/>
  <c r="I62" i="2" s="1"/>
  <c r="K20" i="3" s="1"/>
  <c r="J52" i="2"/>
  <c r="J62" i="2" s="1"/>
  <c r="L20" i="3" s="1"/>
  <c r="K52" i="2"/>
  <c r="K62" i="2" s="1"/>
  <c r="M20" i="3" s="1"/>
  <c r="L52" i="2"/>
  <c r="L62" i="2" s="1"/>
  <c r="N20" i="3" s="1"/>
  <c r="M52" i="2"/>
  <c r="M62" i="2" s="1"/>
  <c r="O20" i="3" s="1"/>
  <c r="C45" i="2"/>
  <c r="C55" i="2" s="1"/>
  <c r="E13" i="3" s="1"/>
  <c r="D45" i="2"/>
  <c r="D55" i="2" s="1"/>
  <c r="F13" i="3" s="1"/>
  <c r="E45" i="2"/>
  <c r="E55" i="2" s="1"/>
  <c r="G13" i="3" s="1"/>
  <c r="F45" i="2"/>
  <c r="F55" i="2" s="1"/>
  <c r="H13" i="3" s="1"/>
  <c r="G45" i="2"/>
  <c r="G55" i="2" s="1"/>
  <c r="I13" i="3" s="1"/>
  <c r="H45" i="2"/>
  <c r="H55" i="2" s="1"/>
  <c r="J13" i="3" s="1"/>
  <c r="I45" i="2"/>
  <c r="I55" i="2" s="1"/>
  <c r="K13" i="3" s="1"/>
  <c r="J45" i="2"/>
  <c r="J55" i="2" s="1"/>
  <c r="L13" i="3" s="1"/>
  <c r="K45" i="2"/>
  <c r="K55" i="2" s="1"/>
  <c r="M13" i="3" s="1"/>
  <c r="L45" i="2"/>
  <c r="L55" i="2" s="1"/>
  <c r="N13" i="3" s="1"/>
  <c r="M45" i="2"/>
  <c r="M55" i="2" s="1"/>
  <c r="O13" i="3" s="1"/>
  <c r="B45" i="2"/>
  <c r="B55" i="2" s="1"/>
  <c r="D13" i="3" s="1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K3" i="2"/>
  <c r="L3" i="2"/>
  <c r="J3" i="2"/>
  <c r="Q24" i="1"/>
  <c r="R24" i="1"/>
  <c r="S24" i="1"/>
  <c r="T24" i="1"/>
  <c r="U24" i="1"/>
  <c r="V24" i="1"/>
  <c r="W24" i="1"/>
  <c r="X24" i="1"/>
  <c r="Y24" i="1"/>
  <c r="Z24" i="1"/>
  <c r="AA24" i="1"/>
  <c r="AB24" i="1"/>
  <c r="Q25" i="1"/>
  <c r="R25" i="1"/>
  <c r="S25" i="1"/>
  <c r="T25" i="1"/>
  <c r="U25" i="1"/>
  <c r="V25" i="1"/>
  <c r="W25" i="1"/>
  <c r="X25" i="1"/>
  <c r="Y25" i="1"/>
  <c r="Z25" i="1"/>
  <c r="AA25" i="1"/>
  <c r="AB25" i="1"/>
  <c r="Q26" i="1"/>
  <c r="R26" i="1"/>
  <c r="S26" i="1"/>
  <c r="T26" i="1"/>
  <c r="U26" i="1"/>
  <c r="V26" i="1"/>
  <c r="W26" i="1"/>
  <c r="X26" i="1"/>
  <c r="Y26" i="1"/>
  <c r="Z26" i="1"/>
  <c r="AA26" i="1"/>
  <c r="AB26" i="1"/>
  <c r="Q27" i="1"/>
  <c r="R27" i="1"/>
  <c r="S27" i="1"/>
  <c r="T27" i="1"/>
  <c r="U27" i="1"/>
  <c r="V27" i="1"/>
  <c r="W27" i="1"/>
  <c r="X27" i="1"/>
  <c r="Y27" i="1"/>
  <c r="Z27" i="1"/>
  <c r="AA27" i="1"/>
  <c r="AB27" i="1"/>
  <c r="Q28" i="1"/>
  <c r="R28" i="1"/>
  <c r="S28" i="1"/>
  <c r="T28" i="1"/>
  <c r="U28" i="1"/>
  <c r="V28" i="1"/>
  <c r="W28" i="1"/>
  <c r="X28" i="1"/>
  <c r="Y28" i="1"/>
  <c r="Z28" i="1"/>
  <c r="AA28" i="1"/>
  <c r="AB28" i="1"/>
  <c r="Q29" i="1"/>
  <c r="R29" i="1"/>
  <c r="S29" i="1"/>
  <c r="T29" i="1"/>
  <c r="U29" i="1"/>
  <c r="V29" i="1"/>
  <c r="W29" i="1"/>
  <c r="X29" i="1"/>
  <c r="Y29" i="1"/>
  <c r="Z29" i="1"/>
  <c r="AA29" i="1"/>
  <c r="AB29" i="1"/>
  <c r="Q30" i="1"/>
  <c r="R30" i="1"/>
  <c r="S30" i="1"/>
  <c r="T30" i="1"/>
  <c r="U30" i="1"/>
  <c r="V30" i="1"/>
  <c r="W30" i="1"/>
  <c r="X30" i="1"/>
  <c r="Y30" i="1"/>
  <c r="Z30" i="1"/>
  <c r="AA30" i="1"/>
  <c r="AB30" i="1"/>
  <c r="R23" i="1"/>
  <c r="S23" i="1"/>
  <c r="T23" i="1"/>
  <c r="U23" i="1"/>
  <c r="V23" i="1"/>
  <c r="W23" i="1"/>
  <c r="X23" i="1"/>
  <c r="Y23" i="1"/>
  <c r="Z23" i="1"/>
  <c r="AA23" i="1"/>
  <c r="AB23" i="1"/>
  <c r="Q23" i="1"/>
  <c r="Q14" i="1"/>
  <c r="R14" i="1"/>
  <c r="S14" i="1"/>
  <c r="T14" i="1"/>
  <c r="U14" i="1"/>
  <c r="V14" i="1"/>
  <c r="W14" i="1"/>
  <c r="X14" i="1"/>
  <c r="Y14" i="1"/>
  <c r="Z14" i="1"/>
  <c r="AA14" i="1"/>
  <c r="AB14" i="1"/>
  <c r="Q15" i="1"/>
  <c r="R15" i="1"/>
  <c r="S15" i="1"/>
  <c r="T15" i="1"/>
  <c r="U15" i="1"/>
  <c r="V15" i="1"/>
  <c r="W15" i="1"/>
  <c r="X15" i="1"/>
  <c r="Y15" i="1"/>
  <c r="Z15" i="1"/>
  <c r="AA15" i="1"/>
  <c r="AB15" i="1"/>
  <c r="Q16" i="1"/>
  <c r="R16" i="1"/>
  <c r="S16" i="1"/>
  <c r="T16" i="1"/>
  <c r="U16" i="1"/>
  <c r="V16" i="1"/>
  <c r="W16" i="1"/>
  <c r="X16" i="1"/>
  <c r="Y16" i="1"/>
  <c r="Z16" i="1"/>
  <c r="AA16" i="1"/>
  <c r="AB16" i="1"/>
  <c r="Q17" i="1"/>
  <c r="R17" i="1"/>
  <c r="S17" i="1"/>
  <c r="T17" i="1"/>
  <c r="U17" i="1"/>
  <c r="V17" i="1"/>
  <c r="W17" i="1"/>
  <c r="X17" i="1"/>
  <c r="Y17" i="1"/>
  <c r="Z17" i="1"/>
  <c r="AA17" i="1"/>
  <c r="AB17" i="1"/>
  <c r="Q18" i="1"/>
  <c r="R18" i="1"/>
  <c r="S18" i="1"/>
  <c r="T18" i="1"/>
  <c r="U18" i="1"/>
  <c r="V18" i="1"/>
  <c r="W18" i="1"/>
  <c r="X18" i="1"/>
  <c r="Y18" i="1"/>
  <c r="Z18" i="1"/>
  <c r="AA18" i="1"/>
  <c r="AB18" i="1"/>
  <c r="Q19" i="1"/>
  <c r="R19" i="1"/>
  <c r="S19" i="1"/>
  <c r="T19" i="1"/>
  <c r="U19" i="1"/>
  <c r="V19" i="1"/>
  <c r="W19" i="1"/>
  <c r="X19" i="1"/>
  <c r="Y19" i="1"/>
  <c r="Z19" i="1"/>
  <c r="AA19" i="1"/>
  <c r="AB19" i="1"/>
  <c r="Q20" i="1"/>
  <c r="R20" i="1"/>
  <c r="S20" i="1"/>
  <c r="T20" i="1"/>
  <c r="U20" i="1"/>
  <c r="V20" i="1"/>
  <c r="W20" i="1"/>
  <c r="X20" i="1"/>
  <c r="Y20" i="1"/>
  <c r="Z20" i="1"/>
  <c r="AA20" i="1"/>
  <c r="AB20" i="1"/>
  <c r="R13" i="1"/>
  <c r="R23" i="3" s="1"/>
  <c r="R33" i="3" s="1"/>
  <c r="R43" i="3" s="1"/>
  <c r="R53" i="3" s="1"/>
  <c r="S13" i="1"/>
  <c r="T13" i="1"/>
  <c r="U13" i="1"/>
  <c r="V13" i="1"/>
  <c r="W13" i="1"/>
  <c r="X13" i="1"/>
  <c r="Y13" i="1"/>
  <c r="Z13" i="1"/>
  <c r="AA13" i="1"/>
  <c r="AB13" i="1"/>
  <c r="Q13" i="1"/>
  <c r="Q4" i="1"/>
  <c r="R4" i="1"/>
  <c r="S4" i="1"/>
  <c r="T4" i="1"/>
  <c r="U4" i="1"/>
  <c r="V4" i="1"/>
  <c r="W4" i="1"/>
  <c r="X4" i="1"/>
  <c r="Y4" i="1"/>
  <c r="Z4" i="1"/>
  <c r="AA4" i="1"/>
  <c r="AB4" i="1"/>
  <c r="Q5" i="1"/>
  <c r="R5" i="1"/>
  <c r="S5" i="1"/>
  <c r="T5" i="1"/>
  <c r="U5" i="1"/>
  <c r="V5" i="1"/>
  <c r="W5" i="1"/>
  <c r="X5" i="1"/>
  <c r="Y5" i="1"/>
  <c r="Z5" i="1"/>
  <c r="AA5" i="1"/>
  <c r="AB5" i="1"/>
  <c r="Q6" i="1"/>
  <c r="R6" i="1"/>
  <c r="S6" i="1"/>
  <c r="T6" i="1"/>
  <c r="U6" i="1"/>
  <c r="V6" i="1"/>
  <c r="W6" i="1"/>
  <c r="X6" i="1"/>
  <c r="Y6" i="1"/>
  <c r="Z6" i="1"/>
  <c r="AA6" i="1"/>
  <c r="AB6" i="1"/>
  <c r="Q7" i="1"/>
  <c r="R7" i="1"/>
  <c r="S7" i="1"/>
  <c r="T7" i="1"/>
  <c r="U7" i="1"/>
  <c r="V7" i="1"/>
  <c r="W7" i="1"/>
  <c r="X7" i="1"/>
  <c r="Y7" i="1"/>
  <c r="Z7" i="1"/>
  <c r="AA7" i="1"/>
  <c r="AB7" i="1"/>
  <c r="Q8" i="1"/>
  <c r="R8" i="1"/>
  <c r="S8" i="1"/>
  <c r="T8" i="1"/>
  <c r="U8" i="1"/>
  <c r="V8" i="1"/>
  <c r="W8" i="1"/>
  <c r="X8" i="1"/>
  <c r="Y8" i="1"/>
  <c r="Z8" i="1"/>
  <c r="AA8" i="1"/>
  <c r="AB8" i="1"/>
  <c r="Q9" i="1"/>
  <c r="R9" i="1"/>
  <c r="S9" i="1"/>
  <c r="T9" i="1"/>
  <c r="U9" i="1"/>
  <c r="V9" i="1"/>
  <c r="W9" i="1"/>
  <c r="X9" i="1"/>
  <c r="Y9" i="1"/>
  <c r="Z9" i="1"/>
  <c r="AA9" i="1"/>
  <c r="AB9" i="1"/>
  <c r="Q10" i="1"/>
  <c r="R10" i="1"/>
  <c r="S10" i="1"/>
  <c r="T10" i="1"/>
  <c r="U10" i="1"/>
  <c r="V10" i="1"/>
  <c r="W10" i="1"/>
  <c r="X10" i="1"/>
  <c r="Y10" i="1"/>
  <c r="Z10" i="1"/>
  <c r="AA10" i="1"/>
  <c r="AB10" i="1"/>
  <c r="R3" i="1"/>
  <c r="S3" i="1"/>
  <c r="T3" i="1"/>
  <c r="U3" i="1"/>
  <c r="V3" i="1"/>
  <c r="W3" i="1"/>
  <c r="X3" i="1"/>
  <c r="Y3" i="1"/>
  <c r="Z3" i="1"/>
  <c r="AA3" i="1"/>
  <c r="AB3" i="1"/>
  <c r="Q3" i="1"/>
  <c r="D44" i="1"/>
  <c r="E44" i="1"/>
  <c r="F44" i="1"/>
  <c r="G44" i="1"/>
  <c r="H44" i="1"/>
  <c r="I44" i="1"/>
  <c r="J44" i="1"/>
  <c r="K44" i="1"/>
  <c r="L44" i="1"/>
  <c r="M44" i="1"/>
  <c r="N44" i="1"/>
  <c r="O44" i="1"/>
  <c r="D45" i="1"/>
  <c r="E45" i="1"/>
  <c r="F45" i="1"/>
  <c r="G45" i="1"/>
  <c r="H45" i="1"/>
  <c r="I45" i="1"/>
  <c r="J45" i="1"/>
  <c r="K45" i="1"/>
  <c r="L45" i="1"/>
  <c r="M45" i="1"/>
  <c r="N45" i="1"/>
  <c r="O45" i="1"/>
  <c r="D46" i="1"/>
  <c r="E46" i="1"/>
  <c r="F46" i="1"/>
  <c r="G46" i="1"/>
  <c r="H46" i="1"/>
  <c r="I46" i="1"/>
  <c r="J46" i="1"/>
  <c r="K46" i="1"/>
  <c r="L46" i="1"/>
  <c r="M46" i="1"/>
  <c r="N46" i="1"/>
  <c r="O46" i="1"/>
  <c r="D47" i="1"/>
  <c r="E47" i="1"/>
  <c r="F47" i="1"/>
  <c r="G47" i="1"/>
  <c r="H47" i="1"/>
  <c r="I47" i="1"/>
  <c r="J47" i="1"/>
  <c r="K47" i="1"/>
  <c r="L47" i="1"/>
  <c r="M47" i="1"/>
  <c r="N47" i="1"/>
  <c r="O47" i="1"/>
  <c r="D48" i="1"/>
  <c r="E48" i="1"/>
  <c r="F48" i="1"/>
  <c r="G48" i="1"/>
  <c r="H48" i="1"/>
  <c r="I48" i="1"/>
  <c r="J48" i="1"/>
  <c r="K48" i="1"/>
  <c r="L48" i="1"/>
  <c r="M48" i="1"/>
  <c r="N48" i="1"/>
  <c r="O48" i="1"/>
  <c r="D49" i="1"/>
  <c r="E49" i="1"/>
  <c r="F49" i="1"/>
  <c r="G49" i="1"/>
  <c r="H49" i="1"/>
  <c r="I49" i="1"/>
  <c r="J49" i="1"/>
  <c r="K49" i="1"/>
  <c r="L49" i="1"/>
  <c r="M49" i="1"/>
  <c r="N49" i="1"/>
  <c r="O49" i="1"/>
  <c r="D50" i="1"/>
  <c r="E50" i="1"/>
  <c r="F50" i="1"/>
  <c r="G50" i="1"/>
  <c r="H50" i="1"/>
  <c r="I50" i="1"/>
  <c r="J50" i="1"/>
  <c r="K50" i="1"/>
  <c r="L50" i="1"/>
  <c r="M50" i="1"/>
  <c r="N50" i="1"/>
  <c r="O50" i="1"/>
  <c r="E43" i="1"/>
  <c r="F43" i="1"/>
  <c r="G43" i="1"/>
  <c r="H43" i="1"/>
  <c r="I43" i="1"/>
  <c r="J43" i="1"/>
  <c r="K43" i="1"/>
  <c r="L43" i="1"/>
  <c r="M43" i="1"/>
  <c r="N43" i="1"/>
  <c r="O43" i="1"/>
  <c r="D43" i="1"/>
  <c r="D34" i="1"/>
  <c r="E34" i="1"/>
  <c r="F34" i="1"/>
  <c r="G34" i="1"/>
  <c r="H34" i="1"/>
  <c r="I34" i="1"/>
  <c r="J34" i="1"/>
  <c r="K34" i="1"/>
  <c r="L34" i="1"/>
  <c r="M34" i="1"/>
  <c r="N34" i="1"/>
  <c r="O34" i="1"/>
  <c r="D35" i="1"/>
  <c r="E35" i="1"/>
  <c r="F35" i="1"/>
  <c r="G35" i="1"/>
  <c r="H35" i="1"/>
  <c r="I35" i="1"/>
  <c r="J35" i="1"/>
  <c r="K35" i="1"/>
  <c r="L35" i="1"/>
  <c r="M35" i="1"/>
  <c r="N35" i="1"/>
  <c r="O35" i="1"/>
  <c r="D36" i="1"/>
  <c r="E36" i="1"/>
  <c r="F36" i="1"/>
  <c r="G36" i="1"/>
  <c r="H36" i="1"/>
  <c r="I36" i="1"/>
  <c r="J36" i="1"/>
  <c r="K36" i="1"/>
  <c r="L36" i="1"/>
  <c r="M36" i="1"/>
  <c r="N36" i="1"/>
  <c r="O36" i="1"/>
  <c r="D37" i="1"/>
  <c r="E37" i="1"/>
  <c r="F37" i="1"/>
  <c r="G37" i="1"/>
  <c r="H37" i="1"/>
  <c r="I37" i="1"/>
  <c r="J37" i="1"/>
  <c r="K37" i="1"/>
  <c r="L37" i="1"/>
  <c r="M37" i="1"/>
  <c r="N37" i="1"/>
  <c r="O37" i="1"/>
  <c r="D38" i="1"/>
  <c r="E38" i="1"/>
  <c r="F38" i="1"/>
  <c r="G38" i="1"/>
  <c r="H38" i="1"/>
  <c r="I38" i="1"/>
  <c r="J38" i="1"/>
  <c r="K38" i="1"/>
  <c r="L38" i="1"/>
  <c r="M38" i="1"/>
  <c r="N38" i="1"/>
  <c r="O38" i="1"/>
  <c r="D39" i="1"/>
  <c r="E39" i="1"/>
  <c r="F39" i="1"/>
  <c r="G39" i="1"/>
  <c r="H39" i="1"/>
  <c r="I39" i="1"/>
  <c r="J39" i="1"/>
  <c r="K39" i="1"/>
  <c r="L39" i="1"/>
  <c r="M39" i="1"/>
  <c r="N39" i="1"/>
  <c r="O39" i="1"/>
  <c r="D40" i="1"/>
  <c r="E40" i="1"/>
  <c r="F40" i="1"/>
  <c r="G40" i="1"/>
  <c r="H40" i="1"/>
  <c r="I40" i="1"/>
  <c r="J40" i="1"/>
  <c r="K40" i="1"/>
  <c r="L40" i="1"/>
  <c r="M40" i="1"/>
  <c r="N40" i="1"/>
  <c r="O40" i="1"/>
  <c r="E33" i="1"/>
  <c r="F33" i="1"/>
  <c r="G33" i="1"/>
  <c r="H33" i="1"/>
  <c r="I33" i="1"/>
  <c r="J33" i="1"/>
  <c r="K33" i="1"/>
  <c r="L33" i="1"/>
  <c r="M33" i="1"/>
  <c r="N33" i="1"/>
  <c r="O33" i="1"/>
  <c r="D33" i="1"/>
  <c r="D24" i="1"/>
  <c r="E24" i="1"/>
  <c r="F24" i="1"/>
  <c r="G24" i="1"/>
  <c r="H24" i="1"/>
  <c r="I24" i="1"/>
  <c r="J24" i="1"/>
  <c r="K24" i="1"/>
  <c r="L24" i="1"/>
  <c r="M24" i="1"/>
  <c r="N24" i="1"/>
  <c r="O24" i="1"/>
  <c r="D25" i="1"/>
  <c r="E25" i="1"/>
  <c r="F25" i="1"/>
  <c r="G25" i="1"/>
  <c r="H25" i="1"/>
  <c r="I25" i="1"/>
  <c r="J25" i="1"/>
  <c r="K25" i="1"/>
  <c r="L25" i="1"/>
  <c r="M25" i="1"/>
  <c r="N25" i="1"/>
  <c r="O25" i="1"/>
  <c r="D26" i="1"/>
  <c r="E26" i="1"/>
  <c r="F26" i="1"/>
  <c r="G26" i="1"/>
  <c r="H26" i="1"/>
  <c r="I26" i="1"/>
  <c r="J26" i="1"/>
  <c r="K26" i="1"/>
  <c r="L26" i="1"/>
  <c r="M26" i="1"/>
  <c r="N26" i="1"/>
  <c r="O26" i="1"/>
  <c r="D27" i="1"/>
  <c r="E27" i="1"/>
  <c r="F27" i="1"/>
  <c r="G27" i="1"/>
  <c r="H27" i="1"/>
  <c r="I27" i="1"/>
  <c r="J27" i="1"/>
  <c r="K27" i="1"/>
  <c r="L27" i="1"/>
  <c r="M27" i="1"/>
  <c r="N27" i="1"/>
  <c r="O27" i="1"/>
  <c r="D28" i="1"/>
  <c r="E28" i="1"/>
  <c r="F28" i="1"/>
  <c r="G28" i="1"/>
  <c r="H28" i="1"/>
  <c r="I28" i="1"/>
  <c r="J28" i="1"/>
  <c r="K28" i="1"/>
  <c r="L28" i="1"/>
  <c r="M28" i="1"/>
  <c r="N28" i="1"/>
  <c r="O28" i="1"/>
  <c r="D29" i="1"/>
  <c r="E29" i="1"/>
  <c r="F29" i="1"/>
  <c r="G29" i="1"/>
  <c r="H29" i="1"/>
  <c r="I29" i="1"/>
  <c r="J29" i="1"/>
  <c r="K29" i="1"/>
  <c r="L29" i="1"/>
  <c r="M29" i="1"/>
  <c r="N29" i="1"/>
  <c r="O29" i="1"/>
  <c r="D30" i="1"/>
  <c r="E30" i="1"/>
  <c r="F30" i="1"/>
  <c r="G30" i="1"/>
  <c r="H30" i="1"/>
  <c r="I30" i="1"/>
  <c r="J30" i="1"/>
  <c r="K30" i="1"/>
  <c r="L30" i="1"/>
  <c r="M30" i="1"/>
  <c r="N30" i="1"/>
  <c r="O30" i="1"/>
  <c r="E23" i="1"/>
  <c r="F23" i="1"/>
  <c r="G23" i="1"/>
  <c r="H23" i="1"/>
  <c r="I23" i="1"/>
  <c r="J23" i="1"/>
  <c r="K23" i="1"/>
  <c r="L23" i="1"/>
  <c r="M23" i="1"/>
  <c r="N23" i="1"/>
  <c r="O23" i="1"/>
  <c r="D23" i="1"/>
  <c r="D14" i="1"/>
  <c r="E14" i="1"/>
  <c r="F14" i="1"/>
  <c r="G14" i="1"/>
  <c r="H14" i="1"/>
  <c r="I14" i="1"/>
  <c r="J14" i="1"/>
  <c r="K14" i="1"/>
  <c r="L14" i="1"/>
  <c r="M14" i="1"/>
  <c r="N14" i="1"/>
  <c r="O14" i="1"/>
  <c r="D15" i="1"/>
  <c r="E15" i="1"/>
  <c r="F15" i="1"/>
  <c r="G15" i="1"/>
  <c r="H15" i="1"/>
  <c r="I15" i="1"/>
  <c r="J15" i="1"/>
  <c r="K15" i="1"/>
  <c r="L15" i="1"/>
  <c r="M15" i="1"/>
  <c r="N15" i="1"/>
  <c r="O15" i="1"/>
  <c r="D16" i="1"/>
  <c r="E16" i="1"/>
  <c r="F16" i="1"/>
  <c r="G16" i="1"/>
  <c r="H16" i="1"/>
  <c r="I16" i="1"/>
  <c r="J16" i="1"/>
  <c r="K16" i="1"/>
  <c r="L16" i="1"/>
  <c r="M16" i="1"/>
  <c r="N16" i="1"/>
  <c r="O16" i="1"/>
  <c r="D17" i="1"/>
  <c r="E17" i="1"/>
  <c r="F17" i="1"/>
  <c r="G17" i="1"/>
  <c r="H17" i="1"/>
  <c r="I17" i="1"/>
  <c r="J17" i="1"/>
  <c r="K17" i="1"/>
  <c r="L17" i="1"/>
  <c r="M17" i="1"/>
  <c r="N17" i="1"/>
  <c r="O17" i="1"/>
  <c r="D18" i="1"/>
  <c r="E18" i="1"/>
  <c r="F18" i="1"/>
  <c r="G18" i="1"/>
  <c r="H18" i="1"/>
  <c r="I18" i="1"/>
  <c r="J18" i="1"/>
  <c r="K18" i="1"/>
  <c r="L18" i="1"/>
  <c r="M18" i="1"/>
  <c r="N18" i="1"/>
  <c r="O18" i="1"/>
  <c r="D19" i="1"/>
  <c r="E19" i="1"/>
  <c r="F19" i="1"/>
  <c r="G19" i="1"/>
  <c r="H19" i="1"/>
  <c r="I19" i="1"/>
  <c r="J19" i="1"/>
  <c r="K19" i="1"/>
  <c r="L19" i="1"/>
  <c r="M19" i="1"/>
  <c r="N19" i="1"/>
  <c r="O19" i="1"/>
  <c r="D20" i="1"/>
  <c r="E20" i="1"/>
  <c r="F20" i="1"/>
  <c r="G20" i="1"/>
  <c r="H20" i="1"/>
  <c r="I20" i="1"/>
  <c r="J20" i="1"/>
  <c r="K20" i="1"/>
  <c r="L20" i="1"/>
  <c r="M20" i="1"/>
  <c r="N20" i="1"/>
  <c r="O20" i="1"/>
  <c r="E13" i="1"/>
  <c r="F13" i="1"/>
  <c r="G13" i="1"/>
  <c r="H13" i="1"/>
  <c r="I13" i="1"/>
  <c r="J13" i="1"/>
  <c r="K13" i="1"/>
  <c r="L13" i="1"/>
  <c r="M13" i="1"/>
  <c r="N13" i="1"/>
  <c r="O13" i="1"/>
  <c r="D13" i="1"/>
  <c r="D3" i="1"/>
  <c r="D4" i="1"/>
  <c r="E4" i="1"/>
  <c r="F4" i="1"/>
  <c r="G4" i="1"/>
  <c r="H4" i="1"/>
  <c r="I4" i="1"/>
  <c r="J4" i="1"/>
  <c r="K4" i="1"/>
  <c r="L4" i="1"/>
  <c r="M4" i="1"/>
  <c r="N4" i="1"/>
  <c r="O4" i="1"/>
  <c r="D5" i="1"/>
  <c r="E5" i="1"/>
  <c r="F5" i="1"/>
  <c r="G5" i="1"/>
  <c r="H5" i="1"/>
  <c r="I5" i="1"/>
  <c r="J5" i="1"/>
  <c r="K5" i="1"/>
  <c r="L5" i="1"/>
  <c r="M5" i="1"/>
  <c r="N5" i="1"/>
  <c r="O5" i="1"/>
  <c r="D6" i="1"/>
  <c r="E6" i="1"/>
  <c r="F6" i="1"/>
  <c r="G6" i="1"/>
  <c r="H6" i="1"/>
  <c r="I6" i="1"/>
  <c r="J6" i="1"/>
  <c r="K6" i="1"/>
  <c r="L6" i="1"/>
  <c r="M6" i="1"/>
  <c r="N6" i="1"/>
  <c r="O6" i="1"/>
  <c r="D7" i="1"/>
  <c r="E7" i="1"/>
  <c r="F7" i="1"/>
  <c r="G7" i="1"/>
  <c r="H7" i="1"/>
  <c r="I7" i="1"/>
  <c r="J7" i="1"/>
  <c r="K7" i="1"/>
  <c r="L7" i="1"/>
  <c r="M7" i="1"/>
  <c r="N7" i="1"/>
  <c r="O7" i="1"/>
  <c r="D8" i="1"/>
  <c r="E8" i="1"/>
  <c r="F8" i="1"/>
  <c r="G8" i="1"/>
  <c r="H8" i="1"/>
  <c r="I8" i="1"/>
  <c r="J8" i="1"/>
  <c r="K8" i="1"/>
  <c r="L8" i="1"/>
  <c r="M8" i="1"/>
  <c r="N8" i="1"/>
  <c r="O8" i="1"/>
  <c r="D9" i="1"/>
  <c r="E9" i="1"/>
  <c r="F9" i="1"/>
  <c r="G9" i="1"/>
  <c r="H9" i="1"/>
  <c r="I9" i="1"/>
  <c r="J9" i="1"/>
  <c r="K9" i="1"/>
  <c r="L9" i="1"/>
  <c r="M9" i="1"/>
  <c r="N9" i="1"/>
  <c r="O9" i="1"/>
  <c r="D10" i="1"/>
  <c r="E10" i="1"/>
  <c r="F10" i="1"/>
  <c r="G10" i="1"/>
  <c r="H10" i="1"/>
  <c r="I10" i="1"/>
  <c r="J10" i="1"/>
  <c r="K10" i="1"/>
  <c r="L10" i="1"/>
  <c r="M10" i="1"/>
  <c r="N10" i="1"/>
  <c r="O10" i="1"/>
  <c r="E3" i="1"/>
  <c r="F3" i="1"/>
  <c r="G3" i="1"/>
  <c r="H3" i="1"/>
  <c r="I3" i="1"/>
  <c r="J3" i="1"/>
  <c r="K3" i="1"/>
  <c r="L3" i="1"/>
  <c r="M3" i="1"/>
  <c r="N3" i="1"/>
  <c r="O3" i="1"/>
  <c r="D3" i="3" l="1"/>
  <c r="D23" i="3"/>
  <c r="S54" i="2"/>
  <c r="F54" i="2"/>
  <c r="F3" i="3"/>
  <c r="R29" i="3"/>
  <c r="R39" i="3" s="1"/>
  <c r="R49" i="3" s="1"/>
  <c r="R59" i="3" s="1"/>
  <c r="R27" i="3"/>
  <c r="R37" i="3" s="1"/>
  <c r="R47" i="3" s="1"/>
  <c r="R57" i="3" s="1"/>
  <c r="T57" i="3"/>
  <c r="M9" i="3"/>
  <c r="E7" i="3"/>
  <c r="I4" i="3"/>
  <c r="H8" i="3"/>
  <c r="D5" i="3"/>
  <c r="J8" i="3"/>
  <c r="J28" i="3" s="1"/>
  <c r="J38" i="3" s="1"/>
  <c r="J48" i="3" s="1"/>
  <c r="J4" i="3"/>
  <c r="I8" i="3"/>
  <c r="L9" i="3"/>
  <c r="O10" i="3"/>
  <c r="G10" i="3"/>
  <c r="K9" i="3"/>
  <c r="O8" i="3"/>
  <c r="G8" i="3"/>
  <c r="K7" i="3"/>
  <c r="O6" i="3"/>
  <c r="G6" i="3"/>
  <c r="K5" i="3"/>
  <c r="O4" i="3"/>
  <c r="G4" i="3"/>
  <c r="J3" i="3"/>
  <c r="N9" i="3"/>
  <c r="N29" i="3" s="1"/>
  <c r="N39" i="3" s="1"/>
  <c r="N49" i="3" s="1"/>
  <c r="N5" i="3"/>
  <c r="N25" i="3" s="1"/>
  <c r="N35" i="3" s="1"/>
  <c r="N45" i="3" s="1"/>
  <c r="E9" i="3"/>
  <c r="I6" i="3"/>
  <c r="L3" i="3"/>
  <c r="N10" i="3"/>
  <c r="F10" i="3"/>
  <c r="J9" i="3"/>
  <c r="N8" i="3"/>
  <c r="N28" i="3" s="1"/>
  <c r="N38" i="3" s="1"/>
  <c r="N48" i="3" s="1"/>
  <c r="F8" i="3"/>
  <c r="J7" i="3"/>
  <c r="N6" i="3"/>
  <c r="F6" i="3"/>
  <c r="J5" i="3"/>
  <c r="N4" i="3"/>
  <c r="F4" i="3"/>
  <c r="I3" i="3"/>
  <c r="F9" i="3"/>
  <c r="F7" i="3"/>
  <c r="F5" i="3"/>
  <c r="M3" i="3"/>
  <c r="E3" i="3"/>
  <c r="M5" i="3"/>
  <c r="D9" i="3"/>
  <c r="L5" i="3"/>
  <c r="M10" i="3"/>
  <c r="E10" i="3"/>
  <c r="I9" i="3"/>
  <c r="M8" i="3"/>
  <c r="E8" i="3"/>
  <c r="I7" i="3"/>
  <c r="M6" i="3"/>
  <c r="E6" i="3"/>
  <c r="I5" i="3"/>
  <c r="M4" i="3"/>
  <c r="E4" i="3"/>
  <c r="H3" i="3"/>
  <c r="O3" i="3"/>
  <c r="N7" i="3"/>
  <c r="I10" i="3"/>
  <c r="M7" i="3"/>
  <c r="M27" i="3" s="1"/>
  <c r="M37" i="3" s="1"/>
  <c r="M47" i="3" s="1"/>
  <c r="E5" i="3"/>
  <c r="H10" i="3"/>
  <c r="L7" i="3"/>
  <c r="D7" i="3"/>
  <c r="H6" i="3"/>
  <c r="H4" i="3"/>
  <c r="K3" i="3"/>
  <c r="L10" i="3"/>
  <c r="D10" i="3"/>
  <c r="H9" i="3"/>
  <c r="L8" i="3"/>
  <c r="D8" i="3"/>
  <c r="H7" i="3"/>
  <c r="L6" i="3"/>
  <c r="D6" i="3"/>
  <c r="H5" i="3"/>
  <c r="L4" i="3"/>
  <c r="D4" i="3"/>
  <c r="G3" i="3"/>
  <c r="R30" i="3"/>
  <c r="R40" i="3" s="1"/>
  <c r="R50" i="3" s="1"/>
  <c r="R60" i="3" s="1"/>
  <c r="R28" i="3"/>
  <c r="R38" i="3" s="1"/>
  <c r="R48" i="3" s="1"/>
  <c r="R58" i="3" s="1"/>
  <c r="R26" i="3"/>
  <c r="R36" i="3" s="1"/>
  <c r="R46" i="3" s="1"/>
  <c r="R56" i="3" s="1"/>
  <c r="R24" i="3"/>
  <c r="R34" i="3" s="1"/>
  <c r="R44" i="3" s="1"/>
  <c r="R54" i="3" s="1"/>
  <c r="J10" i="3"/>
  <c r="J6" i="3"/>
  <c r="K10" i="3"/>
  <c r="O9" i="3"/>
  <c r="G9" i="3"/>
  <c r="K8" i="3"/>
  <c r="O7" i="3"/>
  <c r="G7" i="3"/>
  <c r="K6" i="3"/>
  <c r="O5" i="3"/>
  <c r="G5" i="3"/>
  <c r="K4" i="3"/>
  <c r="N3" i="3"/>
  <c r="AE29" i="3"/>
  <c r="AE39" i="3" s="1"/>
  <c r="AE49" i="3" s="1"/>
  <c r="AE59" i="3" s="1"/>
  <c r="AE27" i="3"/>
  <c r="AE37" i="3" s="1"/>
  <c r="AE47" i="3" s="1"/>
  <c r="AE57" i="3" s="1"/>
  <c r="AE25" i="3"/>
  <c r="AE35" i="3" s="1"/>
  <c r="AE45" i="3" s="1"/>
  <c r="AE55" i="3" s="1"/>
  <c r="AE23" i="3"/>
  <c r="AE33" i="3" s="1"/>
  <c r="AE43" i="3" s="1"/>
  <c r="AE53" i="3" s="1"/>
  <c r="R25" i="3"/>
  <c r="R35" i="3" s="1"/>
  <c r="R45" i="3" s="1"/>
  <c r="R55" i="3" s="1"/>
  <c r="AE30" i="3"/>
  <c r="AE40" i="3" s="1"/>
  <c r="AE50" i="3" s="1"/>
  <c r="AE60" i="3" s="1"/>
  <c r="AE28" i="3"/>
  <c r="AE38" i="3" s="1"/>
  <c r="AE48" i="3" s="1"/>
  <c r="AE58" i="3" s="1"/>
  <c r="AE26" i="3"/>
  <c r="AE36" i="3" s="1"/>
  <c r="AE46" i="3" s="1"/>
  <c r="AE56" i="3" s="1"/>
  <c r="AE24" i="3"/>
  <c r="AE34" i="3" s="1"/>
  <c r="AE44" i="3" s="1"/>
  <c r="AE54" i="3" s="1"/>
  <c r="AD33" i="3"/>
  <c r="AD43" i="3" s="1"/>
  <c r="AD53" i="3" s="1"/>
  <c r="M8" i="2"/>
  <c r="N4" i="2"/>
  <c r="M6" i="2"/>
  <c r="M5" i="2"/>
  <c r="N9" i="2"/>
  <c r="M3" i="2"/>
  <c r="N10" i="2"/>
  <c r="M7" i="2"/>
  <c r="M10" i="2"/>
  <c r="M4" i="2"/>
  <c r="M9" i="2"/>
  <c r="N8" i="2"/>
  <c r="N7" i="2"/>
  <c r="N6" i="2"/>
  <c r="N5" i="2"/>
  <c r="N3" i="2"/>
  <c r="F26" i="3" l="1"/>
  <c r="F36" i="3" s="1"/>
  <c r="F46" i="3" s="1"/>
  <c r="O27" i="3"/>
  <c r="O37" i="3" s="1"/>
  <c r="O47" i="3" s="1"/>
  <c r="L26" i="3"/>
  <c r="L36" i="3" s="1"/>
  <c r="L46" i="3" s="1"/>
  <c r="H24" i="3"/>
  <c r="H34" i="3" s="1"/>
  <c r="H44" i="3" s="1"/>
  <c r="N27" i="3"/>
  <c r="N37" i="3" s="1"/>
  <c r="N47" i="3" s="1"/>
  <c r="I27" i="3"/>
  <c r="I37" i="3" s="1"/>
  <c r="I47" i="3" s="1"/>
  <c r="M25" i="3"/>
  <c r="M35" i="3" s="1"/>
  <c r="M45" i="3" s="1"/>
  <c r="N24" i="3"/>
  <c r="N34" i="3" s="1"/>
  <c r="N44" i="3" s="1"/>
  <c r="F30" i="3"/>
  <c r="F40" i="3" s="1"/>
  <c r="F50" i="3" s="1"/>
  <c r="G24" i="3"/>
  <c r="G34" i="3" s="1"/>
  <c r="G44" i="3" s="1"/>
  <c r="K29" i="3"/>
  <c r="K39" i="3" s="1"/>
  <c r="K49" i="3" s="1"/>
  <c r="H28" i="3"/>
  <c r="H38" i="3" s="1"/>
  <c r="H48" i="3" s="1"/>
  <c r="K28" i="3"/>
  <c r="K38" i="3" s="1"/>
  <c r="K48" i="3" s="1"/>
  <c r="H27" i="3"/>
  <c r="H37" i="3" s="1"/>
  <c r="H47" i="3" s="1"/>
  <c r="H26" i="3"/>
  <c r="H36" i="3" s="1"/>
  <c r="H46" i="3" s="1"/>
  <c r="O23" i="3"/>
  <c r="O33" i="3" s="1"/>
  <c r="O43" i="3" s="1"/>
  <c r="E28" i="3"/>
  <c r="E38" i="3" s="1"/>
  <c r="E48" i="3" s="1"/>
  <c r="E23" i="3"/>
  <c r="E33" i="3" s="1"/>
  <c r="E43" i="3" s="1"/>
  <c r="J25" i="3"/>
  <c r="J35" i="3" s="1"/>
  <c r="J45" i="3" s="1"/>
  <c r="N30" i="3"/>
  <c r="N40" i="3" s="1"/>
  <c r="N50" i="3" s="1"/>
  <c r="O24" i="3"/>
  <c r="O34" i="3" s="1"/>
  <c r="O44" i="3" s="1"/>
  <c r="G30" i="3"/>
  <c r="G40" i="3" s="1"/>
  <c r="G50" i="3" s="1"/>
  <c r="I24" i="3"/>
  <c r="I34" i="3" s="1"/>
  <c r="I44" i="3" s="1"/>
  <c r="D28" i="3"/>
  <c r="D38" i="3" s="1"/>
  <c r="D48" i="3" s="1"/>
  <c r="M23" i="3"/>
  <c r="M33" i="3" s="1"/>
  <c r="M43" i="3" s="1"/>
  <c r="K24" i="3"/>
  <c r="K34" i="3" s="1"/>
  <c r="K44" i="3" s="1"/>
  <c r="O29" i="3"/>
  <c r="O39" i="3" s="1"/>
  <c r="O49" i="3" s="1"/>
  <c r="G23" i="3"/>
  <c r="G33" i="3" s="1"/>
  <c r="G43" i="3" s="1"/>
  <c r="L28" i="3"/>
  <c r="L38" i="3" s="1"/>
  <c r="L48" i="3" s="1"/>
  <c r="L27" i="3"/>
  <c r="L37" i="3" s="1"/>
  <c r="L47" i="3" s="1"/>
  <c r="E24" i="3"/>
  <c r="E34" i="3" s="1"/>
  <c r="E44" i="3" s="1"/>
  <c r="I29" i="3"/>
  <c r="I39" i="3" s="1"/>
  <c r="I49" i="3" s="1"/>
  <c r="F25" i="3"/>
  <c r="F35" i="3" s="1"/>
  <c r="F45" i="3" s="1"/>
  <c r="N26" i="3"/>
  <c r="N36" i="3" s="1"/>
  <c r="N46" i="3" s="1"/>
  <c r="I26" i="3"/>
  <c r="I36" i="3" s="1"/>
  <c r="I46" i="3" s="1"/>
  <c r="G26" i="3"/>
  <c r="G36" i="3" s="1"/>
  <c r="G46" i="3" s="1"/>
  <c r="L29" i="3"/>
  <c r="L39" i="3" s="1"/>
  <c r="L49" i="3" s="1"/>
  <c r="M29" i="3"/>
  <c r="M39" i="3" s="1"/>
  <c r="M49" i="3" s="1"/>
  <c r="G25" i="3"/>
  <c r="G35" i="3" s="1"/>
  <c r="G45" i="3" s="1"/>
  <c r="K30" i="3"/>
  <c r="K40" i="3" s="1"/>
  <c r="K50" i="3" s="1"/>
  <c r="D24" i="3"/>
  <c r="D34" i="3" s="1"/>
  <c r="D44" i="3" s="1"/>
  <c r="H29" i="3"/>
  <c r="H39" i="3" s="1"/>
  <c r="H49" i="3" s="1"/>
  <c r="H30" i="3"/>
  <c r="H40" i="3" s="1"/>
  <c r="H50" i="3" s="1"/>
  <c r="M24" i="3"/>
  <c r="M34" i="3" s="1"/>
  <c r="M44" i="3" s="1"/>
  <c r="E30" i="3"/>
  <c r="E40" i="3" s="1"/>
  <c r="E50" i="3" s="1"/>
  <c r="F27" i="3"/>
  <c r="F37" i="3" s="1"/>
  <c r="F47" i="3" s="1"/>
  <c r="J27" i="3"/>
  <c r="J37" i="3" s="1"/>
  <c r="J47" i="3" s="1"/>
  <c r="E29" i="3"/>
  <c r="E39" i="3" s="1"/>
  <c r="E49" i="3" s="1"/>
  <c r="O26" i="3"/>
  <c r="O36" i="3" s="1"/>
  <c r="O46" i="3" s="1"/>
  <c r="I28" i="3"/>
  <c r="I38" i="3" s="1"/>
  <c r="I48" i="3" s="1"/>
  <c r="D27" i="3"/>
  <c r="D37" i="3" s="1"/>
  <c r="D47" i="3" s="1"/>
  <c r="M28" i="3"/>
  <c r="M38" i="3" s="1"/>
  <c r="M48" i="3" s="1"/>
  <c r="K25" i="3"/>
  <c r="K35" i="3" s="1"/>
  <c r="K45" i="3" s="1"/>
  <c r="E27" i="3"/>
  <c r="E37" i="3" s="1"/>
  <c r="E47" i="3" s="1"/>
  <c r="O25" i="3"/>
  <c r="O35" i="3" s="1"/>
  <c r="O45" i="3" s="1"/>
  <c r="J26" i="3"/>
  <c r="J36" i="3" s="1"/>
  <c r="J46" i="3" s="1"/>
  <c r="L24" i="3"/>
  <c r="L34" i="3" s="1"/>
  <c r="L44" i="3" s="1"/>
  <c r="D30" i="3"/>
  <c r="D40" i="3" s="1"/>
  <c r="D50" i="3" s="1"/>
  <c r="E25" i="3"/>
  <c r="E35" i="3" s="1"/>
  <c r="E45" i="3" s="1"/>
  <c r="I25" i="3"/>
  <c r="I35" i="3" s="1"/>
  <c r="I45" i="3" s="1"/>
  <c r="M30" i="3"/>
  <c r="M40" i="3" s="1"/>
  <c r="M50" i="3" s="1"/>
  <c r="F29" i="3"/>
  <c r="F39" i="3" s="1"/>
  <c r="F49" i="3" s="1"/>
  <c r="F28" i="3"/>
  <c r="F38" i="3" s="1"/>
  <c r="F48" i="3" s="1"/>
  <c r="K27" i="3"/>
  <c r="K37" i="3" s="1"/>
  <c r="K47" i="3" s="1"/>
  <c r="J24" i="3"/>
  <c r="J34" i="3" s="1"/>
  <c r="J44" i="3" s="1"/>
  <c r="G29" i="3"/>
  <c r="G39" i="3" s="1"/>
  <c r="G49" i="3" s="1"/>
  <c r="L23" i="3"/>
  <c r="L33" i="3" s="1"/>
  <c r="L43" i="3" s="1"/>
  <c r="J30" i="3"/>
  <c r="J40" i="3" s="1"/>
  <c r="J50" i="3" s="1"/>
  <c r="H25" i="3"/>
  <c r="H35" i="3" s="1"/>
  <c r="H45" i="3" s="1"/>
  <c r="L30" i="3"/>
  <c r="L40" i="3" s="1"/>
  <c r="L50" i="3" s="1"/>
  <c r="E26" i="3"/>
  <c r="E36" i="3" s="1"/>
  <c r="E46" i="3" s="1"/>
  <c r="L25" i="3"/>
  <c r="L35" i="3" s="1"/>
  <c r="L45" i="3" s="1"/>
  <c r="I23" i="3"/>
  <c r="I33" i="3" s="1"/>
  <c r="I43" i="3" s="1"/>
  <c r="G28" i="3"/>
  <c r="G38" i="3" s="1"/>
  <c r="G48" i="3" s="1"/>
  <c r="N23" i="3"/>
  <c r="N33" i="3" s="1"/>
  <c r="N43" i="3" s="1"/>
  <c r="H23" i="3"/>
  <c r="H33" i="3" s="1"/>
  <c r="H43" i="3" s="1"/>
  <c r="O30" i="3"/>
  <c r="O40" i="3" s="1"/>
  <c r="O50" i="3" s="1"/>
  <c r="K26" i="3"/>
  <c r="K36" i="3" s="1"/>
  <c r="K46" i="3" s="1"/>
  <c r="G27" i="3"/>
  <c r="G37" i="3" s="1"/>
  <c r="G47" i="3" s="1"/>
  <c r="D26" i="3"/>
  <c r="D36" i="3" s="1"/>
  <c r="D46" i="3" s="1"/>
  <c r="K23" i="3"/>
  <c r="K33" i="3" s="1"/>
  <c r="K43" i="3" s="1"/>
  <c r="I30" i="3"/>
  <c r="I40" i="3" s="1"/>
  <c r="I50" i="3" s="1"/>
  <c r="M26" i="3"/>
  <c r="M36" i="3" s="1"/>
  <c r="M46" i="3" s="1"/>
  <c r="D29" i="3"/>
  <c r="D39" i="3" s="1"/>
  <c r="D49" i="3" s="1"/>
  <c r="F24" i="3"/>
  <c r="F34" i="3" s="1"/>
  <c r="F44" i="3" s="1"/>
  <c r="J29" i="3"/>
  <c r="J39" i="3" s="1"/>
  <c r="J49" i="3" s="1"/>
  <c r="J23" i="3"/>
  <c r="J33" i="3" s="1"/>
  <c r="J43" i="3" s="1"/>
  <c r="O28" i="3"/>
  <c r="O38" i="3" s="1"/>
  <c r="O48" i="3" s="1"/>
  <c r="D25" i="3"/>
  <c r="D35" i="3" s="1"/>
  <c r="D45" i="3" s="1"/>
  <c r="F23" i="3"/>
  <c r="F33" i="3" s="1"/>
  <c r="F43" i="3" s="1"/>
  <c r="D33" i="3"/>
  <c r="D43" i="3" s="1"/>
  <c r="G42" i="1"/>
</calcChain>
</file>

<file path=xl/sharedStrings.xml><?xml version="1.0" encoding="utf-8"?>
<sst xmlns="http://schemas.openxmlformats.org/spreadsheetml/2006/main" count="112" uniqueCount="77">
  <si>
    <t>pH</t>
  </si>
  <si>
    <t>Uniform value (optional):</t>
  </si>
  <si>
    <t>Buffer</t>
  </si>
  <si>
    <t>Salt</t>
  </si>
  <si>
    <t>Resin</t>
  </si>
  <si>
    <t>Units:</t>
  </si>
  <si>
    <t>Salt/cond</t>
  </si>
  <si>
    <t>Buffer conc (mM)</t>
  </si>
  <si>
    <t>A280</t>
  </si>
  <si>
    <t>Stock conc (mg/mL)</t>
  </si>
  <si>
    <t>Average</t>
  </si>
  <si>
    <t>A320</t>
  </si>
  <si>
    <t>StDev</t>
  </si>
  <si>
    <t>A280 - A320</t>
  </si>
  <si>
    <t>y = mx + b</t>
  </si>
  <si>
    <t>m</t>
  </si>
  <si>
    <t>b</t>
  </si>
  <si>
    <t>Load flowthrough</t>
  </si>
  <si>
    <t>Conc (mg/mL</t>
  </si>
  <si>
    <t>Load plate initial (optional)</t>
  </si>
  <si>
    <t>q</t>
  </si>
  <si>
    <t>Measured max:</t>
  </si>
  <si>
    <t>Measured average:</t>
  </si>
  <si>
    <t>log alpha 1</t>
  </si>
  <si>
    <t>log alpha 2</t>
  </si>
  <si>
    <t>Max value:</t>
  </si>
  <si>
    <t>Target protein (g/L)</t>
  </si>
  <si>
    <t>Impurity 1:</t>
  </si>
  <si>
    <t>Load concentrations:</t>
  </si>
  <si>
    <t>Value &lt;&gt;0</t>
  </si>
  <si>
    <t>Buffer:</t>
  </si>
  <si>
    <t>pH:</t>
  </si>
  <si>
    <t>Buffer conc (mM):</t>
  </si>
  <si>
    <t>Salt:</t>
  </si>
  <si>
    <t>Salt/cond units:</t>
  </si>
  <si>
    <t>Salt/cond conc:</t>
  </si>
  <si>
    <t>Resin:</t>
  </si>
  <si>
    <r>
      <t>Resin vol (</t>
    </r>
    <r>
      <rPr>
        <sz val="11"/>
        <color theme="1"/>
        <rFont val="Aptos Narrow"/>
        <family val="2"/>
      </rPr>
      <t>µL)</t>
    </r>
    <r>
      <rPr>
        <sz val="11"/>
        <color theme="1"/>
        <rFont val="Aptos Narrow"/>
        <family val="2"/>
        <scheme val="minor"/>
      </rPr>
      <t>:</t>
    </r>
  </si>
  <si>
    <t>Load vol (µL):</t>
  </si>
  <si>
    <t>Strip flowthrough (optional)</t>
  </si>
  <si>
    <t>Target protein (g/L):</t>
  </si>
  <si>
    <t>Impurity 1 name:</t>
  </si>
  <si>
    <t>Impurity 1 units:</t>
  </si>
  <si>
    <t>Impurity 2 name:</t>
  </si>
  <si>
    <t>Impurity 2 units:</t>
  </si>
  <si>
    <t>Impurity 2:</t>
  </si>
  <si>
    <r>
      <t>Resin vol, V</t>
    </r>
    <r>
      <rPr>
        <vertAlign val="subscript"/>
        <sz val="11"/>
        <color theme="1"/>
        <rFont val="Aptos Narrow"/>
        <family val="2"/>
        <scheme val="minor"/>
      </rPr>
      <t>res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ptos Narrow"/>
        <family val="2"/>
      </rPr>
      <t>µL)</t>
    </r>
    <r>
      <rPr>
        <sz val="11"/>
        <color theme="1"/>
        <rFont val="Aptos Narrow"/>
        <family val="2"/>
        <scheme val="minor"/>
      </rPr>
      <t>:</t>
    </r>
  </si>
  <si>
    <r>
      <t>Load vol, V</t>
    </r>
    <r>
      <rPr>
        <vertAlign val="subscript"/>
        <sz val="11"/>
        <color theme="1"/>
        <rFont val="Aptos Narrow"/>
        <family val="2"/>
        <scheme val="minor"/>
      </rPr>
      <t>liq</t>
    </r>
    <r>
      <rPr>
        <sz val="11"/>
        <color theme="1"/>
        <rFont val="Aptos Narrow"/>
        <family val="2"/>
        <scheme val="minor"/>
      </rPr>
      <t xml:space="preserve"> (µL):</t>
    </r>
  </si>
  <si>
    <r>
      <t>Load conc, C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(g/L):</t>
    </r>
  </si>
  <si>
    <r>
      <t>Holdup vol, V</t>
    </r>
    <r>
      <rPr>
        <vertAlign val="subscript"/>
        <sz val="11"/>
        <color theme="1"/>
        <rFont val="Aptos Narrow"/>
        <family val="2"/>
        <scheme val="minor"/>
      </rPr>
      <t>holdup</t>
    </r>
    <r>
      <rPr>
        <sz val="11"/>
        <color theme="1"/>
        <rFont val="Aptos Narrow"/>
        <family val="2"/>
        <scheme val="minor"/>
      </rPr>
      <t xml:space="preserve"> (µL):</t>
    </r>
  </si>
  <si>
    <r>
      <t>Holdup vol, V</t>
    </r>
    <r>
      <rPr>
        <vertAlign val="subscript"/>
        <sz val="11"/>
        <color theme="1"/>
        <rFont val="Aptos Narrow"/>
        <family val="2"/>
        <scheme val="minor"/>
      </rPr>
      <t>holdup</t>
    </r>
    <r>
      <rPr>
        <sz val="11"/>
        <color theme="1"/>
        <rFont val="Aptos Narrow"/>
        <family val="2"/>
        <scheme val="minor"/>
      </rPr>
      <t xml:space="preserve"> (µL)</t>
    </r>
  </si>
  <si>
    <r>
      <t>Load conc, C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(g/L)</t>
    </r>
  </si>
  <si>
    <r>
      <t>Load vol, V</t>
    </r>
    <r>
      <rPr>
        <vertAlign val="subscript"/>
        <sz val="11"/>
        <color theme="1"/>
        <rFont val="Aptos Narrow"/>
        <family val="2"/>
        <scheme val="minor"/>
      </rPr>
      <t>liq</t>
    </r>
    <r>
      <rPr>
        <sz val="11"/>
        <color theme="1"/>
        <rFont val="Aptos Narrow"/>
        <family val="2"/>
        <scheme val="minor"/>
      </rPr>
      <t xml:space="preserve"> (µL)</t>
    </r>
  </si>
  <si>
    <r>
      <t>Resin vol, V</t>
    </r>
    <r>
      <rPr>
        <vertAlign val="subscript"/>
        <sz val="11"/>
        <color theme="1"/>
        <rFont val="Aptos Narrow"/>
        <family val="2"/>
        <scheme val="minor"/>
      </rPr>
      <t>res</t>
    </r>
    <r>
      <rPr>
        <sz val="11"/>
        <color theme="1"/>
        <rFont val="Aptos Narrow"/>
        <family val="2"/>
        <scheme val="minor"/>
      </rPr>
      <t xml:space="preserve"> (µL)</t>
    </r>
  </si>
  <si>
    <t>Color scheme:</t>
  </si>
  <si>
    <t>Empty</t>
  </si>
  <si>
    <t>Required entry</t>
  </si>
  <si>
    <t>Optional entry</t>
  </si>
  <si>
    <t>Formula (do not modify)</t>
  </si>
  <si>
    <t>Conc, C (mg/mL)</t>
  </si>
  <si>
    <r>
      <t>Conc, C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(mg/mL)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</si>
  <si>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0</t>
    </r>
  </si>
  <si>
    <t>C</t>
  </si>
  <si>
    <r>
      <t>K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</si>
  <si>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q = (C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-C)V</t>
    </r>
    <r>
      <rPr>
        <vertAlign val="subscript"/>
        <sz val="11"/>
        <color theme="1"/>
        <rFont val="Aptos Narrow"/>
        <family val="2"/>
        <scheme val="minor"/>
      </rPr>
      <t>liq</t>
    </r>
    <r>
      <rPr>
        <sz val="11"/>
        <color theme="1"/>
        <rFont val="Aptos Narrow"/>
        <family val="2"/>
        <scheme val="minor"/>
      </rPr>
      <t>/V</t>
    </r>
    <r>
      <rPr>
        <vertAlign val="subscript"/>
        <sz val="11"/>
        <color theme="1"/>
        <rFont val="Aptos Narrow"/>
        <family val="2"/>
        <scheme val="minor"/>
      </rPr>
      <t>res</t>
    </r>
  </si>
  <si>
    <r>
      <t>Impurity 1 conc, C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:</t>
    </r>
  </si>
  <si>
    <r>
      <t>Impurity 2 conc, C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:</t>
    </r>
  </si>
  <si>
    <r>
      <t>log K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, target protein</t>
    </r>
  </si>
  <si>
    <r>
      <t>log K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, impurity 1</t>
    </r>
  </si>
  <si>
    <r>
      <t>log K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, impurity 2</t>
    </r>
  </si>
  <si>
    <t>A990</t>
  </si>
  <si>
    <t>A900</t>
  </si>
  <si>
    <t>A990 - A900</t>
  </si>
  <si>
    <r>
      <t>Standard vol (</t>
    </r>
    <r>
      <rPr>
        <sz val="11"/>
        <color theme="1"/>
        <rFont val="Aptos Narrow"/>
        <family val="2"/>
      </rPr>
      <t>µ</t>
    </r>
    <r>
      <rPr>
        <sz val="9.9"/>
        <color theme="1"/>
        <rFont val="Aptos Narrow"/>
        <family val="2"/>
      </rPr>
      <t>L)</t>
    </r>
  </si>
  <si>
    <t>A280 calibration</t>
  </si>
  <si>
    <t>Pathlength calibration</t>
  </si>
  <si>
    <r>
      <t>Corrected vol (</t>
    </r>
    <r>
      <rPr>
        <sz val="11"/>
        <color theme="1"/>
        <rFont val="Aptos Narrow"/>
        <family val="2"/>
      </rPr>
      <t>µ</t>
    </r>
    <r>
      <rPr>
        <sz val="9.9"/>
        <color theme="1"/>
        <rFont val="Aptos Narrow"/>
        <family val="2"/>
      </rPr>
      <t>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</si>
</sst>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sz val="9.9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14" xfId="0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2" borderId="7" xfId="0" applyFill="1" applyBorder="1"/>
    <xf numFmtId="0" fontId="0" fillId="3" borderId="12" xfId="0" applyFill="1" applyBorder="1"/>
    <xf numFmtId="0" fontId="0" fillId="3" borderId="13" xfId="0" applyFill="1" applyBorder="1"/>
    <xf numFmtId="164" fontId="0" fillId="3" borderId="14" xfId="0" applyNumberFormat="1" applyFill="1" applyBorder="1" applyAlignment="1">
      <alignment horizontal="center"/>
    </xf>
    <xf numFmtId="164" fontId="0" fillId="3" borderId="1" xfId="0" applyNumberFormat="1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164" fontId="0" fillId="3" borderId="4" xfId="0" applyNumberFormat="1" applyFill="1" applyBorder="1"/>
    <xf numFmtId="164" fontId="0" fillId="3" borderId="0" xfId="0" applyNumberFormat="1" applyFill="1"/>
    <xf numFmtId="164" fontId="0" fillId="3" borderId="5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'UV calibration and raw data'!$P$2</c:f>
              <c:strCache>
                <c:ptCount val="1"/>
                <c:pt idx="0">
                  <c:v>Stock conc (mg/mL)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25778534439954"/>
                  <c:y val="2.27472782024554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'UV calibration and raw data'!$N$3:$N$10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plus>
            <c:minus>
              <c:numRef>
                <c:f>'UV calibration and raw data'!$N$3:$N$10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'UV calibration and raw data'!$M$3:$M$10</c:f>
            </c:numRef>
          </c:xVal>
          <c:yVal>
            <c:numRef>
              <c:f>'UV calibration and raw data'!$P$3:$P$10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27-4608-8814-086A3610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727680"/>
        <c:axId val="829729120"/>
      </c:scatterChart>
      <c:valAx>
        <c:axId val="8297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A280 - A320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729120"/>
        <c:crosses val="autoZero"/>
        <c:crossBetween val="midCat"/>
      </c:valAx>
      <c:valAx>
        <c:axId val="8297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 (mg/mL)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72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'UV calibration and raw data'!$BC$2</c:f>
              <c:strCache>
                <c:ptCount val="1"/>
                <c:pt idx="0">
                  <c:v>Standard vol (µL)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25778534439954"/>
                  <c:y val="2.27472782024554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'UV calibration and raw data'!$N$3:$N$10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plus>
            <c:minus>
              <c:numRef>
                <c:f>'UV calibration and raw data'!$N$3:$N$10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'UV calibration and raw data'!$AZ$3:$AZ$10</c:f>
            </c:numRef>
          </c:xVal>
          <c:yVal>
            <c:numRef>
              <c:f>'UV calibration and raw data'!$BC$3:$BC$10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F5-4816-AFBF-6E998C588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727680"/>
        <c:axId val="829729120"/>
      </c:scatterChart>
      <c:valAx>
        <c:axId val="8297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A990</a:t>
                </a:r>
                <a:r>
                  <a:rPr lang="en-US" baseline="0"/>
                  <a:t> - A900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729120"/>
        <c:crosses val="autoZero"/>
        <c:crossBetween val="midCat"/>
      </c:valAx>
      <c:valAx>
        <c:axId val="8297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(µL)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72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157902</xdr:colOff>
      <xdr:row>0</xdr:row>
      <xdr:rowOff>45085</xdr:rowOff>
    </xdr:from>
    <xdr:to>
      <xdr:col>26</xdr:col>
      <xdr:colOff>476249</xdr:colOff>
      <xdr:row>21</xdr:row>
      <xdr:rowOff>2964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64556-2D57-B54C-1C40-4C1E5501D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534882</xdr:colOff>
      <xdr:row>0</xdr:row>
      <xdr:rowOff>74930</xdr:rowOff>
    </xdr:from>
    <xdr:to>
      <xdr:col>65</xdr:col>
      <xdr:colOff>237490</xdr:colOff>
      <xdr:row>21</xdr:row>
      <xdr:rowOff>17569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D87F1-267E-4838-91DC-15A1BA246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4328-5833-41FA-9F60-0F5F246DED18}">
  <sheetPr codeName="Sheet1"/>
  <dimension ref="A2:AB50"/>
  <sheetViews>
    <sheetView zoomScale="90" zoomScaleNormal="90" workbookViewId="0">
      <selection activeCell="B15" sqref="B15"/>
    </sheetView>
  </sheetViews>
  <sheetFormatPr defaultRowHeight="14.4" x14ac:dyDescent="0.3"/>
  <cols>
    <col min="1" max="1" width="20.21875" style="1" customWidth="1"/>
    <col min="2" max="16384" width="8.88671875" style="1"/>
  </cols>
  <sheetData>
    <row r="2" spans="1:28" x14ac:dyDescent="0.3">
      <c r="A2" s="1" t="s">
        <v>1</v>
      </c>
      <c r="D2" s="1" t="s">
        <v>2</v>
      </c>
      <c r="Q2" s="1" t="s">
        <v>4</v>
      </c>
    </row>
    <row r="3" spans="1:28" x14ac:dyDescent="0.3">
      <c r="A3" s="3" t="s">
        <v>30</v>
      </c>
      <c r="B3" s="60"/>
      <c r="D3" s="5" t="str">
        <f>IF($B$3="","",$B$3)</f>
        <v/>
      </c>
      <c r="E3" s="6" t="str">
        <f t="shared" ref="E3:O10" si="0">IF($B$3="","",$B$3)</f>
        <v/>
      </c>
      <c r="F3" s="6" t="str">
        <f t="shared" si="0"/>
        <v/>
      </c>
      <c r="G3" s="6" t="str">
        <f t="shared" si="0"/>
        <v/>
      </c>
      <c r="H3" s="6" t="str">
        <f t="shared" si="0"/>
        <v/>
      </c>
      <c r="I3" s="6" t="str">
        <f t="shared" si="0"/>
        <v/>
      </c>
      <c r="J3" s="6" t="str">
        <f t="shared" si="0"/>
        <v/>
      </c>
      <c r="K3" s="6" t="str">
        <f t="shared" si="0"/>
        <v/>
      </c>
      <c r="L3" s="6" t="str">
        <f t="shared" si="0"/>
        <v/>
      </c>
      <c r="M3" s="6" t="str">
        <f t="shared" si="0"/>
        <v/>
      </c>
      <c r="N3" s="6" t="str">
        <f t="shared" si="0"/>
        <v/>
      </c>
      <c r="O3" s="7" t="str">
        <f t="shared" si="0"/>
        <v/>
      </c>
      <c r="Q3" s="5" t="str">
        <f>IF($B$11="","",$B$11)</f>
        <v/>
      </c>
      <c r="R3" s="6" t="str">
        <f t="shared" ref="R3:AB10" si="1">IF($B$11="","",$B$11)</f>
        <v/>
      </c>
      <c r="S3" s="6" t="str">
        <f t="shared" si="1"/>
        <v/>
      </c>
      <c r="T3" s="6" t="str">
        <f t="shared" si="1"/>
        <v/>
      </c>
      <c r="U3" s="6" t="str">
        <f t="shared" si="1"/>
        <v/>
      </c>
      <c r="V3" s="6" t="str">
        <f t="shared" si="1"/>
        <v/>
      </c>
      <c r="W3" s="6" t="str">
        <f t="shared" si="1"/>
        <v/>
      </c>
      <c r="X3" s="6" t="str">
        <f t="shared" si="1"/>
        <v/>
      </c>
      <c r="Y3" s="6" t="str">
        <f t="shared" si="1"/>
        <v/>
      </c>
      <c r="Z3" s="6" t="str">
        <f t="shared" si="1"/>
        <v/>
      </c>
      <c r="AA3" s="6" t="str">
        <f t="shared" si="1"/>
        <v/>
      </c>
      <c r="AB3" s="7" t="str">
        <f t="shared" si="1"/>
        <v/>
      </c>
    </row>
    <row r="4" spans="1:28" x14ac:dyDescent="0.3">
      <c r="A4" s="3" t="s">
        <v>31</v>
      </c>
      <c r="B4" s="60"/>
      <c r="D4" s="8" t="str">
        <f t="shared" ref="D4:D10" si="2">IF($B$3="","",$B$3)</f>
        <v/>
      </c>
      <c r="E4" s="9" t="str">
        <f t="shared" si="0"/>
        <v/>
      </c>
      <c r="F4" s="9" t="str">
        <f t="shared" si="0"/>
        <v/>
      </c>
      <c r="G4" s="9" t="str">
        <f t="shared" si="0"/>
        <v/>
      </c>
      <c r="H4" s="9" t="str">
        <f t="shared" si="0"/>
        <v/>
      </c>
      <c r="I4" s="9" t="str">
        <f t="shared" si="0"/>
        <v/>
      </c>
      <c r="J4" s="9" t="str">
        <f t="shared" si="0"/>
        <v/>
      </c>
      <c r="K4" s="9" t="str">
        <f t="shared" si="0"/>
        <v/>
      </c>
      <c r="L4" s="9" t="str">
        <f t="shared" si="0"/>
        <v/>
      </c>
      <c r="M4" s="9" t="str">
        <f t="shared" si="0"/>
        <v/>
      </c>
      <c r="N4" s="9" t="str">
        <f t="shared" si="0"/>
        <v/>
      </c>
      <c r="O4" s="10" t="str">
        <f t="shared" si="0"/>
        <v/>
      </c>
      <c r="Q4" s="8" t="str">
        <f t="shared" ref="Q4:Q10" si="3">IF($B$11="","",$B$11)</f>
        <v/>
      </c>
      <c r="R4" s="9" t="str">
        <f t="shared" si="1"/>
        <v/>
      </c>
      <c r="S4" s="9" t="str">
        <f t="shared" si="1"/>
        <v/>
      </c>
      <c r="T4" s="9" t="str">
        <f t="shared" si="1"/>
        <v/>
      </c>
      <c r="U4" s="9" t="str">
        <f t="shared" si="1"/>
        <v/>
      </c>
      <c r="V4" s="9" t="str">
        <f t="shared" si="1"/>
        <v/>
      </c>
      <c r="W4" s="9" t="str">
        <f t="shared" si="1"/>
        <v/>
      </c>
      <c r="X4" s="9" t="str">
        <f t="shared" si="1"/>
        <v/>
      </c>
      <c r="Y4" s="9" t="str">
        <f t="shared" si="1"/>
        <v/>
      </c>
      <c r="Z4" s="9" t="str">
        <f t="shared" si="1"/>
        <v/>
      </c>
      <c r="AA4" s="9" t="str">
        <f t="shared" si="1"/>
        <v/>
      </c>
      <c r="AB4" s="10" t="str">
        <f t="shared" si="1"/>
        <v/>
      </c>
    </row>
    <row r="5" spans="1:28" x14ac:dyDescent="0.3">
      <c r="A5" s="3" t="s">
        <v>32</v>
      </c>
      <c r="B5" s="60"/>
      <c r="D5" s="8" t="str">
        <f t="shared" si="2"/>
        <v/>
      </c>
      <c r="E5" s="9" t="str">
        <f t="shared" si="0"/>
        <v/>
      </c>
      <c r="F5" s="9" t="str">
        <f t="shared" si="0"/>
        <v/>
      </c>
      <c r="G5" s="9" t="str">
        <f t="shared" si="0"/>
        <v/>
      </c>
      <c r="H5" s="9" t="str">
        <f t="shared" si="0"/>
        <v/>
      </c>
      <c r="I5" s="9" t="str">
        <f t="shared" si="0"/>
        <v/>
      </c>
      <c r="J5" s="9" t="str">
        <f t="shared" si="0"/>
        <v/>
      </c>
      <c r="K5" s="9" t="str">
        <f t="shared" si="0"/>
        <v/>
      </c>
      <c r="L5" s="9" t="str">
        <f t="shared" si="0"/>
        <v/>
      </c>
      <c r="M5" s="9" t="str">
        <f t="shared" si="0"/>
        <v/>
      </c>
      <c r="N5" s="9" t="str">
        <f t="shared" si="0"/>
        <v/>
      </c>
      <c r="O5" s="10" t="str">
        <f t="shared" si="0"/>
        <v/>
      </c>
      <c r="Q5" s="8" t="str">
        <f t="shared" si="3"/>
        <v/>
      </c>
      <c r="R5" s="9" t="str">
        <f t="shared" si="1"/>
        <v/>
      </c>
      <c r="S5" s="9" t="str">
        <f t="shared" si="1"/>
        <v/>
      </c>
      <c r="T5" s="9" t="str">
        <f t="shared" si="1"/>
        <v/>
      </c>
      <c r="U5" s="9" t="str">
        <f t="shared" si="1"/>
        <v/>
      </c>
      <c r="V5" s="9" t="str">
        <f t="shared" si="1"/>
        <v/>
      </c>
      <c r="W5" s="9" t="str">
        <f t="shared" si="1"/>
        <v/>
      </c>
      <c r="X5" s="9" t="str">
        <f t="shared" si="1"/>
        <v/>
      </c>
      <c r="Y5" s="9" t="str">
        <f t="shared" si="1"/>
        <v/>
      </c>
      <c r="Z5" s="9" t="str">
        <f t="shared" si="1"/>
        <v/>
      </c>
      <c r="AA5" s="9" t="str">
        <f t="shared" si="1"/>
        <v/>
      </c>
      <c r="AB5" s="10" t="str">
        <f t="shared" si="1"/>
        <v/>
      </c>
    </row>
    <row r="6" spans="1:28" x14ac:dyDescent="0.3">
      <c r="A6" s="2"/>
      <c r="B6" s="36"/>
      <c r="D6" s="8" t="str">
        <f t="shared" si="2"/>
        <v/>
      </c>
      <c r="E6" s="9" t="str">
        <f t="shared" si="0"/>
        <v/>
      </c>
      <c r="F6" s="9" t="str">
        <f t="shared" si="0"/>
        <v/>
      </c>
      <c r="G6" s="9" t="str">
        <f t="shared" si="0"/>
        <v/>
      </c>
      <c r="H6" s="9" t="str">
        <f t="shared" si="0"/>
        <v/>
      </c>
      <c r="I6" s="9" t="str">
        <f t="shared" si="0"/>
        <v/>
      </c>
      <c r="J6" s="9" t="str">
        <f t="shared" si="0"/>
        <v/>
      </c>
      <c r="K6" s="9" t="str">
        <f t="shared" si="0"/>
        <v/>
      </c>
      <c r="L6" s="9" t="str">
        <f t="shared" si="0"/>
        <v/>
      </c>
      <c r="M6" s="9" t="str">
        <f t="shared" si="0"/>
        <v/>
      </c>
      <c r="N6" s="9" t="str">
        <f t="shared" si="0"/>
        <v/>
      </c>
      <c r="O6" s="10" t="str">
        <f t="shared" si="0"/>
        <v/>
      </c>
      <c r="Q6" s="8" t="str">
        <f t="shared" si="3"/>
        <v/>
      </c>
      <c r="R6" s="9" t="str">
        <f t="shared" si="1"/>
        <v/>
      </c>
      <c r="S6" s="9" t="str">
        <f t="shared" si="1"/>
        <v/>
      </c>
      <c r="T6" s="9" t="str">
        <f t="shared" si="1"/>
        <v/>
      </c>
      <c r="U6" s="9" t="str">
        <f t="shared" si="1"/>
        <v/>
      </c>
      <c r="V6" s="9" t="str">
        <f t="shared" si="1"/>
        <v/>
      </c>
      <c r="W6" s="9" t="str">
        <f t="shared" si="1"/>
        <v/>
      </c>
      <c r="X6" s="9" t="str">
        <f t="shared" si="1"/>
        <v/>
      </c>
      <c r="Y6" s="9" t="str">
        <f t="shared" si="1"/>
        <v/>
      </c>
      <c r="Z6" s="9" t="str">
        <f t="shared" si="1"/>
        <v/>
      </c>
      <c r="AA6" s="9" t="str">
        <f t="shared" si="1"/>
        <v/>
      </c>
      <c r="AB6" s="10" t="str">
        <f t="shared" si="1"/>
        <v/>
      </c>
    </row>
    <row r="7" spans="1:28" x14ac:dyDescent="0.3">
      <c r="A7" s="3" t="s">
        <v>33</v>
      </c>
      <c r="B7" s="60"/>
      <c r="D7" s="8" t="str">
        <f t="shared" si="2"/>
        <v/>
      </c>
      <c r="E7" s="9" t="str">
        <f t="shared" si="0"/>
        <v/>
      </c>
      <c r="F7" s="9" t="str">
        <f t="shared" si="0"/>
        <v/>
      </c>
      <c r="G7" s="9" t="str">
        <f t="shared" si="0"/>
        <v/>
      </c>
      <c r="H7" s="9" t="str">
        <f t="shared" si="0"/>
        <v/>
      </c>
      <c r="I7" s="9" t="str">
        <f t="shared" si="0"/>
        <v/>
      </c>
      <c r="J7" s="9" t="str">
        <f t="shared" si="0"/>
        <v/>
      </c>
      <c r="K7" s="9" t="str">
        <f t="shared" si="0"/>
        <v/>
      </c>
      <c r="L7" s="9" t="str">
        <f t="shared" si="0"/>
        <v/>
      </c>
      <c r="M7" s="9" t="str">
        <f t="shared" si="0"/>
        <v/>
      </c>
      <c r="N7" s="9" t="str">
        <f t="shared" si="0"/>
        <v/>
      </c>
      <c r="O7" s="10" t="str">
        <f t="shared" si="0"/>
        <v/>
      </c>
      <c r="Q7" s="8" t="str">
        <f t="shared" si="3"/>
        <v/>
      </c>
      <c r="R7" s="9" t="str">
        <f t="shared" si="1"/>
        <v/>
      </c>
      <c r="S7" s="9" t="str">
        <f t="shared" si="1"/>
        <v/>
      </c>
      <c r="T7" s="9" t="str">
        <f t="shared" si="1"/>
        <v/>
      </c>
      <c r="U7" s="9" t="str">
        <f t="shared" si="1"/>
        <v/>
      </c>
      <c r="V7" s="9" t="str">
        <f t="shared" si="1"/>
        <v/>
      </c>
      <c r="W7" s="9" t="str">
        <f t="shared" si="1"/>
        <v/>
      </c>
      <c r="X7" s="9" t="str">
        <f t="shared" si="1"/>
        <v/>
      </c>
      <c r="Y7" s="9" t="str">
        <f t="shared" si="1"/>
        <v/>
      </c>
      <c r="Z7" s="9" t="str">
        <f t="shared" si="1"/>
        <v/>
      </c>
      <c r="AA7" s="9" t="str">
        <f t="shared" si="1"/>
        <v/>
      </c>
      <c r="AB7" s="10" t="str">
        <f t="shared" si="1"/>
        <v/>
      </c>
    </row>
    <row r="8" spans="1:28" x14ac:dyDescent="0.3">
      <c r="A8" s="3" t="s">
        <v>34</v>
      </c>
      <c r="B8" s="60"/>
      <c r="D8" s="8" t="str">
        <f t="shared" si="2"/>
        <v/>
      </c>
      <c r="E8" s="9" t="str">
        <f t="shared" si="0"/>
        <v/>
      </c>
      <c r="F8" s="9" t="str">
        <f t="shared" si="0"/>
        <v/>
      </c>
      <c r="G8" s="9" t="str">
        <f t="shared" si="0"/>
        <v/>
      </c>
      <c r="H8" s="9" t="str">
        <f t="shared" si="0"/>
        <v/>
      </c>
      <c r="I8" s="9" t="str">
        <f t="shared" si="0"/>
        <v/>
      </c>
      <c r="J8" s="9" t="str">
        <f t="shared" si="0"/>
        <v/>
      </c>
      <c r="K8" s="9" t="str">
        <f t="shared" si="0"/>
        <v/>
      </c>
      <c r="L8" s="9" t="str">
        <f t="shared" si="0"/>
        <v/>
      </c>
      <c r="M8" s="9" t="str">
        <f t="shared" si="0"/>
        <v/>
      </c>
      <c r="N8" s="9" t="str">
        <f t="shared" si="0"/>
        <v/>
      </c>
      <c r="O8" s="10" t="str">
        <f t="shared" si="0"/>
        <v/>
      </c>
      <c r="Q8" s="8" t="str">
        <f t="shared" si="3"/>
        <v/>
      </c>
      <c r="R8" s="9" t="str">
        <f t="shared" si="1"/>
        <v/>
      </c>
      <c r="S8" s="9" t="str">
        <f t="shared" si="1"/>
        <v/>
      </c>
      <c r="T8" s="9" t="str">
        <f t="shared" si="1"/>
        <v/>
      </c>
      <c r="U8" s="9" t="str">
        <f t="shared" si="1"/>
        <v/>
      </c>
      <c r="V8" s="9" t="str">
        <f t="shared" si="1"/>
        <v/>
      </c>
      <c r="W8" s="9" t="str">
        <f t="shared" si="1"/>
        <v/>
      </c>
      <c r="X8" s="9" t="str">
        <f t="shared" si="1"/>
        <v/>
      </c>
      <c r="Y8" s="9" t="str">
        <f t="shared" si="1"/>
        <v/>
      </c>
      <c r="Z8" s="9" t="str">
        <f t="shared" si="1"/>
        <v/>
      </c>
      <c r="AA8" s="9" t="str">
        <f t="shared" si="1"/>
        <v/>
      </c>
      <c r="AB8" s="10" t="str">
        <f t="shared" si="1"/>
        <v/>
      </c>
    </row>
    <row r="9" spans="1:28" x14ac:dyDescent="0.3">
      <c r="A9" s="3" t="s">
        <v>35</v>
      </c>
      <c r="B9" s="60"/>
      <c r="D9" s="8" t="str">
        <f t="shared" si="2"/>
        <v/>
      </c>
      <c r="E9" s="9" t="str">
        <f t="shared" si="0"/>
        <v/>
      </c>
      <c r="F9" s="9" t="str">
        <f t="shared" si="0"/>
        <v/>
      </c>
      <c r="G9" s="9" t="str">
        <f t="shared" si="0"/>
        <v/>
      </c>
      <c r="H9" s="9" t="str">
        <f t="shared" si="0"/>
        <v/>
      </c>
      <c r="I9" s="9" t="str">
        <f t="shared" si="0"/>
        <v/>
      </c>
      <c r="J9" s="9" t="str">
        <f t="shared" si="0"/>
        <v/>
      </c>
      <c r="K9" s="9" t="str">
        <f t="shared" si="0"/>
        <v/>
      </c>
      <c r="L9" s="9" t="str">
        <f t="shared" si="0"/>
        <v/>
      </c>
      <c r="M9" s="9" t="str">
        <f t="shared" si="0"/>
        <v/>
      </c>
      <c r="N9" s="9" t="str">
        <f t="shared" si="0"/>
        <v/>
      </c>
      <c r="O9" s="10" t="str">
        <f t="shared" si="0"/>
        <v/>
      </c>
      <c r="Q9" s="8" t="str">
        <f t="shared" si="3"/>
        <v/>
      </c>
      <c r="R9" s="9" t="str">
        <f t="shared" si="1"/>
        <v/>
      </c>
      <c r="S9" s="9" t="str">
        <f t="shared" si="1"/>
        <v/>
      </c>
      <c r="T9" s="9" t="str">
        <f t="shared" si="1"/>
        <v/>
      </c>
      <c r="U9" s="9" t="str">
        <f t="shared" si="1"/>
        <v/>
      </c>
      <c r="V9" s="9" t="str">
        <f t="shared" si="1"/>
        <v/>
      </c>
      <c r="W9" s="9" t="str">
        <f t="shared" si="1"/>
        <v/>
      </c>
      <c r="X9" s="9" t="str">
        <f t="shared" si="1"/>
        <v/>
      </c>
      <c r="Y9" s="9" t="str">
        <f t="shared" si="1"/>
        <v/>
      </c>
      <c r="Z9" s="9" t="str">
        <f t="shared" si="1"/>
        <v/>
      </c>
      <c r="AA9" s="9" t="str">
        <f t="shared" si="1"/>
        <v/>
      </c>
      <c r="AB9" s="10" t="str">
        <f t="shared" si="1"/>
        <v/>
      </c>
    </row>
    <row r="10" spans="1:28" x14ac:dyDescent="0.3">
      <c r="A10" s="2"/>
      <c r="B10" s="36"/>
      <c r="D10" s="11" t="str">
        <f t="shared" si="2"/>
        <v/>
      </c>
      <c r="E10" s="12" t="str">
        <f t="shared" si="0"/>
        <v/>
      </c>
      <c r="F10" s="12" t="str">
        <f t="shared" si="0"/>
        <v/>
      </c>
      <c r="G10" s="12" t="str">
        <f t="shared" si="0"/>
        <v/>
      </c>
      <c r="H10" s="12" t="str">
        <f t="shared" si="0"/>
        <v/>
      </c>
      <c r="I10" s="12" t="str">
        <f t="shared" si="0"/>
        <v/>
      </c>
      <c r="J10" s="12" t="str">
        <f t="shared" si="0"/>
        <v/>
      </c>
      <c r="K10" s="12" t="str">
        <f t="shared" si="0"/>
        <v/>
      </c>
      <c r="L10" s="12" t="str">
        <f t="shared" si="0"/>
        <v/>
      </c>
      <c r="M10" s="12" t="str">
        <f t="shared" si="0"/>
        <v/>
      </c>
      <c r="N10" s="12" t="str">
        <f t="shared" si="0"/>
        <v/>
      </c>
      <c r="O10" s="13" t="str">
        <f t="shared" si="0"/>
        <v/>
      </c>
      <c r="Q10" s="11" t="str">
        <f t="shared" si="3"/>
        <v/>
      </c>
      <c r="R10" s="12" t="str">
        <f t="shared" si="1"/>
        <v/>
      </c>
      <c r="S10" s="12" t="str">
        <f t="shared" si="1"/>
        <v/>
      </c>
      <c r="T10" s="12" t="str">
        <f t="shared" si="1"/>
        <v/>
      </c>
      <c r="U10" s="12" t="str">
        <f t="shared" si="1"/>
        <v/>
      </c>
      <c r="V10" s="12" t="str">
        <f t="shared" si="1"/>
        <v/>
      </c>
      <c r="W10" s="12" t="str">
        <f t="shared" si="1"/>
        <v/>
      </c>
      <c r="X10" s="12" t="str">
        <f t="shared" si="1"/>
        <v/>
      </c>
      <c r="Y10" s="12" t="str">
        <f t="shared" si="1"/>
        <v/>
      </c>
      <c r="Z10" s="12" t="str">
        <f t="shared" si="1"/>
        <v/>
      </c>
      <c r="AA10" s="12" t="str">
        <f t="shared" si="1"/>
        <v/>
      </c>
      <c r="AB10" s="13" t="str">
        <f t="shared" si="1"/>
        <v/>
      </c>
    </row>
    <row r="11" spans="1:28" x14ac:dyDescent="0.3">
      <c r="A11" s="3" t="s">
        <v>36</v>
      </c>
      <c r="B11" s="60"/>
    </row>
    <row r="12" spans="1:28" ht="15.6" x14ac:dyDescent="0.35">
      <c r="A12" s="3" t="s">
        <v>46</v>
      </c>
      <c r="B12" s="60"/>
      <c r="D12" s="1" t="s">
        <v>0</v>
      </c>
      <c r="Q12" s="1" t="s">
        <v>53</v>
      </c>
    </row>
    <row r="13" spans="1:28" x14ac:dyDescent="0.3">
      <c r="A13" s="2"/>
      <c r="B13" s="36"/>
      <c r="D13" s="5" t="str">
        <f>IF($B$4="","",$B$4)</f>
        <v/>
      </c>
      <c r="E13" s="6" t="str">
        <f t="shared" ref="E13:O20" si="4">IF($B$4="","",$B$4)</f>
        <v/>
      </c>
      <c r="F13" s="6" t="str">
        <f t="shared" si="4"/>
        <v/>
      </c>
      <c r="G13" s="6" t="str">
        <f t="shared" si="4"/>
        <v/>
      </c>
      <c r="H13" s="6" t="str">
        <f t="shared" si="4"/>
        <v/>
      </c>
      <c r="I13" s="6" t="str">
        <f t="shared" si="4"/>
        <v/>
      </c>
      <c r="J13" s="6" t="str">
        <f t="shared" si="4"/>
        <v/>
      </c>
      <c r="K13" s="6" t="str">
        <f t="shared" si="4"/>
        <v/>
      </c>
      <c r="L13" s="6" t="str">
        <f t="shared" si="4"/>
        <v/>
      </c>
      <c r="M13" s="6" t="str">
        <f t="shared" si="4"/>
        <v/>
      </c>
      <c r="N13" s="6" t="str">
        <f t="shared" si="4"/>
        <v/>
      </c>
      <c r="O13" s="7" t="str">
        <f t="shared" si="4"/>
        <v/>
      </c>
      <c r="Q13" s="14" t="str">
        <f>IF($B$12="","",$B$12)</f>
        <v/>
      </c>
      <c r="R13" s="15" t="str">
        <f t="shared" ref="R13:AB20" si="5">IF($B$12="","",$B$12)</f>
        <v/>
      </c>
      <c r="S13" s="15" t="str">
        <f t="shared" si="5"/>
        <v/>
      </c>
      <c r="T13" s="15" t="str">
        <f t="shared" si="5"/>
        <v/>
      </c>
      <c r="U13" s="15" t="str">
        <f t="shared" si="5"/>
        <v/>
      </c>
      <c r="V13" s="15" t="str">
        <f t="shared" si="5"/>
        <v/>
      </c>
      <c r="W13" s="15" t="str">
        <f t="shared" si="5"/>
        <v/>
      </c>
      <c r="X13" s="15" t="str">
        <f t="shared" si="5"/>
        <v/>
      </c>
      <c r="Y13" s="15" t="str">
        <f t="shared" si="5"/>
        <v/>
      </c>
      <c r="Z13" s="15" t="str">
        <f t="shared" si="5"/>
        <v/>
      </c>
      <c r="AA13" s="15" t="str">
        <f t="shared" si="5"/>
        <v/>
      </c>
      <c r="AB13" s="16" t="str">
        <f t="shared" si="5"/>
        <v/>
      </c>
    </row>
    <row r="14" spans="1:28" ht="15.6" x14ac:dyDescent="0.35">
      <c r="A14" s="3" t="s">
        <v>47</v>
      </c>
      <c r="B14" s="60"/>
      <c r="D14" s="8" t="str">
        <f t="shared" ref="D14:D20" si="6">IF($B$4="","",$B$4)</f>
        <v/>
      </c>
      <c r="E14" s="9" t="str">
        <f t="shared" si="4"/>
        <v/>
      </c>
      <c r="F14" s="9" t="str">
        <f t="shared" si="4"/>
        <v/>
      </c>
      <c r="G14" s="9" t="str">
        <f t="shared" si="4"/>
        <v/>
      </c>
      <c r="H14" s="9" t="str">
        <f t="shared" si="4"/>
        <v/>
      </c>
      <c r="I14" s="9" t="str">
        <f t="shared" si="4"/>
        <v/>
      </c>
      <c r="J14" s="9" t="str">
        <f t="shared" si="4"/>
        <v/>
      </c>
      <c r="K14" s="9" t="str">
        <f t="shared" si="4"/>
        <v/>
      </c>
      <c r="L14" s="9" t="str">
        <f t="shared" si="4"/>
        <v/>
      </c>
      <c r="M14" s="9" t="str">
        <f t="shared" si="4"/>
        <v/>
      </c>
      <c r="N14" s="9" t="str">
        <f t="shared" si="4"/>
        <v/>
      </c>
      <c r="O14" s="10" t="str">
        <f t="shared" si="4"/>
        <v/>
      </c>
      <c r="Q14" s="17" t="str">
        <f t="shared" ref="Q14:Q20" si="7">IF($B$12="","",$B$12)</f>
        <v/>
      </c>
      <c r="R14" s="18" t="str">
        <f t="shared" si="5"/>
        <v/>
      </c>
      <c r="S14" s="18" t="str">
        <f t="shared" si="5"/>
        <v/>
      </c>
      <c r="T14" s="18" t="str">
        <f t="shared" si="5"/>
        <v/>
      </c>
      <c r="U14" s="18" t="str">
        <f t="shared" si="5"/>
        <v/>
      </c>
      <c r="V14" s="18" t="str">
        <f t="shared" si="5"/>
        <v/>
      </c>
      <c r="W14" s="18" t="str">
        <f t="shared" si="5"/>
        <v/>
      </c>
      <c r="X14" s="18" t="str">
        <f t="shared" si="5"/>
        <v/>
      </c>
      <c r="Y14" s="18" t="str">
        <f t="shared" si="5"/>
        <v/>
      </c>
      <c r="Z14" s="18" t="str">
        <f t="shared" si="5"/>
        <v/>
      </c>
      <c r="AA14" s="18" t="str">
        <f t="shared" si="5"/>
        <v/>
      </c>
      <c r="AB14" s="19" t="str">
        <f t="shared" si="5"/>
        <v/>
      </c>
    </row>
    <row r="15" spans="1:28" ht="15.6" x14ac:dyDescent="0.35">
      <c r="A15" s="3" t="s">
        <v>48</v>
      </c>
      <c r="B15" s="60"/>
      <c r="D15" s="8" t="str">
        <f t="shared" si="6"/>
        <v/>
      </c>
      <c r="E15" s="9" t="str">
        <f t="shared" si="4"/>
        <v/>
      </c>
      <c r="F15" s="9" t="str">
        <f t="shared" si="4"/>
        <v/>
      </c>
      <c r="G15" s="9" t="str">
        <f t="shared" si="4"/>
        <v/>
      </c>
      <c r="H15" s="9" t="str">
        <f t="shared" si="4"/>
        <v/>
      </c>
      <c r="I15" s="9" t="str">
        <f t="shared" si="4"/>
        <v/>
      </c>
      <c r="J15" s="9" t="str">
        <f t="shared" si="4"/>
        <v/>
      </c>
      <c r="K15" s="9" t="str">
        <f t="shared" si="4"/>
        <v/>
      </c>
      <c r="L15" s="9" t="str">
        <f t="shared" si="4"/>
        <v/>
      </c>
      <c r="M15" s="9" t="str">
        <f t="shared" si="4"/>
        <v/>
      </c>
      <c r="N15" s="9" t="str">
        <f t="shared" si="4"/>
        <v/>
      </c>
      <c r="O15" s="10" t="str">
        <f t="shared" si="4"/>
        <v/>
      </c>
      <c r="Q15" s="17" t="str">
        <f t="shared" si="7"/>
        <v/>
      </c>
      <c r="R15" s="18" t="str">
        <f t="shared" si="5"/>
        <v/>
      </c>
      <c r="S15" s="18" t="str">
        <f t="shared" si="5"/>
        <v/>
      </c>
      <c r="T15" s="18" t="str">
        <f t="shared" si="5"/>
        <v/>
      </c>
      <c r="U15" s="18" t="str">
        <f t="shared" si="5"/>
        <v/>
      </c>
      <c r="V15" s="18" t="str">
        <f t="shared" si="5"/>
        <v/>
      </c>
      <c r="W15" s="18" t="str">
        <f t="shared" si="5"/>
        <v/>
      </c>
      <c r="X15" s="18" t="str">
        <f t="shared" si="5"/>
        <v/>
      </c>
      <c r="Y15" s="18" t="str">
        <f t="shared" si="5"/>
        <v/>
      </c>
      <c r="Z15" s="18" t="str">
        <f t="shared" si="5"/>
        <v/>
      </c>
      <c r="AA15" s="18" t="str">
        <f t="shared" si="5"/>
        <v/>
      </c>
      <c r="AB15" s="19" t="str">
        <f t="shared" si="5"/>
        <v/>
      </c>
    </row>
    <row r="16" spans="1:28" x14ac:dyDescent="0.3">
      <c r="D16" s="8" t="str">
        <f t="shared" si="6"/>
        <v/>
      </c>
      <c r="E16" s="9" t="str">
        <f t="shared" si="4"/>
        <v/>
      </c>
      <c r="F16" s="9" t="str">
        <f t="shared" si="4"/>
        <v/>
      </c>
      <c r="G16" s="9" t="str">
        <f t="shared" si="4"/>
        <v/>
      </c>
      <c r="H16" s="9" t="str">
        <f t="shared" si="4"/>
        <v/>
      </c>
      <c r="I16" s="9" t="str">
        <f t="shared" si="4"/>
        <v/>
      </c>
      <c r="J16" s="9" t="str">
        <f t="shared" si="4"/>
        <v/>
      </c>
      <c r="K16" s="9" t="str">
        <f t="shared" si="4"/>
        <v/>
      </c>
      <c r="L16" s="9" t="str">
        <f t="shared" si="4"/>
        <v/>
      </c>
      <c r="M16" s="9" t="str">
        <f t="shared" si="4"/>
        <v/>
      </c>
      <c r="N16" s="9" t="str">
        <f t="shared" si="4"/>
        <v/>
      </c>
      <c r="O16" s="10" t="str">
        <f t="shared" si="4"/>
        <v/>
      </c>
      <c r="Q16" s="17" t="str">
        <f t="shared" si="7"/>
        <v/>
      </c>
      <c r="R16" s="18" t="str">
        <f t="shared" si="5"/>
        <v/>
      </c>
      <c r="S16" s="18" t="str">
        <f t="shared" si="5"/>
        <v/>
      </c>
      <c r="T16" s="18" t="str">
        <f t="shared" si="5"/>
        <v/>
      </c>
      <c r="U16" s="18" t="str">
        <f t="shared" si="5"/>
        <v/>
      </c>
      <c r="V16" s="18" t="str">
        <f t="shared" si="5"/>
        <v/>
      </c>
      <c r="W16" s="18" t="str">
        <f t="shared" si="5"/>
        <v/>
      </c>
      <c r="X16" s="18" t="str">
        <f t="shared" si="5"/>
        <v/>
      </c>
      <c r="Y16" s="18" t="str">
        <f t="shared" si="5"/>
        <v/>
      </c>
      <c r="Z16" s="18" t="str">
        <f t="shared" si="5"/>
        <v/>
      </c>
      <c r="AA16" s="18" t="str">
        <f t="shared" si="5"/>
        <v/>
      </c>
      <c r="AB16" s="19" t="str">
        <f t="shared" si="5"/>
        <v/>
      </c>
    </row>
    <row r="17" spans="1:28" ht="15.6" x14ac:dyDescent="0.35">
      <c r="A17" s="3" t="s">
        <v>49</v>
      </c>
      <c r="B17" s="60"/>
      <c r="D17" s="8" t="str">
        <f t="shared" si="6"/>
        <v/>
      </c>
      <c r="E17" s="9" t="str">
        <f t="shared" si="4"/>
        <v/>
      </c>
      <c r="F17" s="9" t="str">
        <f t="shared" si="4"/>
        <v/>
      </c>
      <c r="G17" s="9" t="str">
        <f t="shared" si="4"/>
        <v/>
      </c>
      <c r="H17" s="9" t="str">
        <f t="shared" si="4"/>
        <v/>
      </c>
      <c r="I17" s="9" t="str">
        <f t="shared" si="4"/>
        <v/>
      </c>
      <c r="J17" s="9" t="str">
        <f t="shared" si="4"/>
        <v/>
      </c>
      <c r="K17" s="9" t="str">
        <f t="shared" si="4"/>
        <v/>
      </c>
      <c r="L17" s="9" t="str">
        <f t="shared" si="4"/>
        <v/>
      </c>
      <c r="M17" s="9" t="str">
        <f t="shared" si="4"/>
        <v/>
      </c>
      <c r="N17" s="9" t="str">
        <f t="shared" si="4"/>
        <v/>
      </c>
      <c r="O17" s="10" t="str">
        <f t="shared" si="4"/>
        <v/>
      </c>
      <c r="Q17" s="17" t="str">
        <f t="shared" si="7"/>
        <v/>
      </c>
      <c r="R17" s="18" t="str">
        <f t="shared" si="5"/>
        <v/>
      </c>
      <c r="S17" s="18" t="str">
        <f t="shared" si="5"/>
        <v/>
      </c>
      <c r="T17" s="18" t="str">
        <f t="shared" si="5"/>
        <v/>
      </c>
      <c r="U17" s="18" t="str">
        <f t="shared" si="5"/>
        <v/>
      </c>
      <c r="V17" s="18" t="str">
        <f t="shared" si="5"/>
        <v/>
      </c>
      <c r="W17" s="18" t="str">
        <f t="shared" si="5"/>
        <v/>
      </c>
      <c r="X17" s="18" t="str">
        <f t="shared" si="5"/>
        <v/>
      </c>
      <c r="Y17" s="18" t="str">
        <f t="shared" si="5"/>
        <v/>
      </c>
      <c r="Z17" s="18" t="str">
        <f t="shared" si="5"/>
        <v/>
      </c>
      <c r="AA17" s="18" t="str">
        <f t="shared" si="5"/>
        <v/>
      </c>
      <c r="AB17" s="19" t="str">
        <f t="shared" si="5"/>
        <v/>
      </c>
    </row>
    <row r="18" spans="1:28" x14ac:dyDescent="0.3">
      <c r="D18" s="8" t="str">
        <f t="shared" si="6"/>
        <v/>
      </c>
      <c r="E18" s="9" t="str">
        <f t="shared" si="4"/>
        <v/>
      </c>
      <c r="F18" s="9" t="str">
        <f t="shared" si="4"/>
        <v/>
      </c>
      <c r="G18" s="9" t="str">
        <f t="shared" si="4"/>
        <v/>
      </c>
      <c r="H18" s="9" t="str">
        <f t="shared" si="4"/>
        <v/>
      </c>
      <c r="I18" s="9" t="str">
        <f t="shared" si="4"/>
        <v/>
      </c>
      <c r="J18" s="9" t="str">
        <f t="shared" si="4"/>
        <v/>
      </c>
      <c r="K18" s="9" t="str">
        <f t="shared" si="4"/>
        <v/>
      </c>
      <c r="L18" s="9" t="str">
        <f t="shared" si="4"/>
        <v/>
      </c>
      <c r="M18" s="9" t="str">
        <f t="shared" si="4"/>
        <v/>
      </c>
      <c r="N18" s="9" t="str">
        <f t="shared" si="4"/>
        <v/>
      </c>
      <c r="O18" s="10" t="str">
        <f t="shared" si="4"/>
        <v/>
      </c>
      <c r="Q18" s="17" t="str">
        <f t="shared" si="7"/>
        <v/>
      </c>
      <c r="R18" s="18" t="str">
        <f t="shared" si="5"/>
        <v/>
      </c>
      <c r="S18" s="18" t="str">
        <f t="shared" si="5"/>
        <v/>
      </c>
      <c r="T18" s="18" t="str">
        <f t="shared" si="5"/>
        <v/>
      </c>
      <c r="U18" s="18" t="str">
        <f t="shared" si="5"/>
        <v/>
      </c>
      <c r="V18" s="18" t="str">
        <f t="shared" si="5"/>
        <v/>
      </c>
      <c r="W18" s="18" t="str">
        <f t="shared" si="5"/>
        <v/>
      </c>
      <c r="X18" s="18" t="str">
        <f t="shared" si="5"/>
        <v/>
      </c>
      <c r="Y18" s="18" t="str">
        <f t="shared" si="5"/>
        <v/>
      </c>
      <c r="Z18" s="18" t="str">
        <f t="shared" si="5"/>
        <v/>
      </c>
      <c r="AA18" s="18" t="str">
        <f t="shared" si="5"/>
        <v/>
      </c>
      <c r="AB18" s="19" t="str">
        <f t="shared" si="5"/>
        <v/>
      </c>
    </row>
    <row r="19" spans="1:28" x14ac:dyDescent="0.3">
      <c r="D19" s="8" t="str">
        <f t="shared" si="6"/>
        <v/>
      </c>
      <c r="E19" s="9" t="str">
        <f t="shared" si="4"/>
        <v/>
      </c>
      <c r="F19" s="9" t="str">
        <f t="shared" si="4"/>
        <v/>
      </c>
      <c r="G19" s="9" t="str">
        <f t="shared" si="4"/>
        <v/>
      </c>
      <c r="H19" s="9" t="str">
        <f t="shared" si="4"/>
        <v/>
      </c>
      <c r="I19" s="9" t="str">
        <f t="shared" si="4"/>
        <v/>
      </c>
      <c r="J19" s="9" t="str">
        <f t="shared" si="4"/>
        <v/>
      </c>
      <c r="K19" s="9" t="str">
        <f t="shared" si="4"/>
        <v/>
      </c>
      <c r="L19" s="9" t="str">
        <f t="shared" si="4"/>
        <v/>
      </c>
      <c r="M19" s="9" t="str">
        <f t="shared" si="4"/>
        <v/>
      </c>
      <c r="N19" s="9" t="str">
        <f t="shared" si="4"/>
        <v/>
      </c>
      <c r="O19" s="10" t="str">
        <f t="shared" si="4"/>
        <v/>
      </c>
      <c r="Q19" s="17" t="str">
        <f t="shared" si="7"/>
        <v/>
      </c>
      <c r="R19" s="18" t="str">
        <f t="shared" si="5"/>
        <v/>
      </c>
      <c r="S19" s="18" t="str">
        <f t="shared" si="5"/>
        <v/>
      </c>
      <c r="T19" s="18" t="str">
        <f t="shared" si="5"/>
        <v/>
      </c>
      <c r="U19" s="18" t="str">
        <f t="shared" si="5"/>
        <v/>
      </c>
      <c r="V19" s="18" t="str">
        <f t="shared" si="5"/>
        <v/>
      </c>
      <c r="W19" s="18" t="str">
        <f t="shared" si="5"/>
        <v/>
      </c>
      <c r="X19" s="18" t="str">
        <f t="shared" si="5"/>
        <v/>
      </c>
      <c r="Y19" s="18" t="str">
        <f t="shared" si="5"/>
        <v/>
      </c>
      <c r="Z19" s="18" t="str">
        <f t="shared" si="5"/>
        <v/>
      </c>
      <c r="AA19" s="18" t="str">
        <f t="shared" si="5"/>
        <v/>
      </c>
      <c r="AB19" s="19" t="str">
        <f t="shared" si="5"/>
        <v/>
      </c>
    </row>
    <row r="20" spans="1:28" x14ac:dyDescent="0.3">
      <c r="A20" s="36" t="s">
        <v>54</v>
      </c>
      <c r="D20" s="11" t="str">
        <f t="shared" si="6"/>
        <v/>
      </c>
      <c r="E20" s="12" t="str">
        <f t="shared" si="4"/>
        <v/>
      </c>
      <c r="F20" s="12" t="str">
        <f t="shared" si="4"/>
        <v/>
      </c>
      <c r="G20" s="12" t="str">
        <f t="shared" si="4"/>
        <v/>
      </c>
      <c r="H20" s="12" t="str">
        <f t="shared" si="4"/>
        <v/>
      </c>
      <c r="I20" s="12" t="str">
        <f t="shared" si="4"/>
        <v/>
      </c>
      <c r="J20" s="12" t="str">
        <f t="shared" si="4"/>
        <v/>
      </c>
      <c r="K20" s="12" t="str">
        <f t="shared" si="4"/>
        <v/>
      </c>
      <c r="L20" s="12" t="str">
        <f t="shared" si="4"/>
        <v/>
      </c>
      <c r="M20" s="12" t="str">
        <f t="shared" si="4"/>
        <v/>
      </c>
      <c r="N20" s="12" t="str">
        <f t="shared" si="4"/>
        <v/>
      </c>
      <c r="O20" s="13" t="str">
        <f t="shared" si="4"/>
        <v/>
      </c>
      <c r="Q20" s="20" t="str">
        <f t="shared" si="7"/>
        <v/>
      </c>
      <c r="R20" s="21" t="str">
        <f t="shared" si="5"/>
        <v/>
      </c>
      <c r="S20" s="21" t="str">
        <f t="shared" si="5"/>
        <v/>
      </c>
      <c r="T20" s="21" t="str">
        <f t="shared" si="5"/>
        <v/>
      </c>
      <c r="U20" s="21" t="str">
        <f t="shared" si="5"/>
        <v/>
      </c>
      <c r="V20" s="21" t="str">
        <f t="shared" si="5"/>
        <v/>
      </c>
      <c r="W20" s="21" t="str">
        <f t="shared" si="5"/>
        <v/>
      </c>
      <c r="X20" s="21" t="str">
        <f t="shared" si="5"/>
        <v/>
      </c>
      <c r="Y20" s="21" t="str">
        <f t="shared" si="5"/>
        <v/>
      </c>
      <c r="Z20" s="21" t="str">
        <f t="shared" si="5"/>
        <v/>
      </c>
      <c r="AA20" s="21" t="str">
        <f t="shared" si="5"/>
        <v/>
      </c>
      <c r="AB20" s="22" t="str">
        <f t="shared" si="5"/>
        <v/>
      </c>
    </row>
    <row r="21" spans="1:28" x14ac:dyDescent="0.3">
      <c r="A21" s="65" t="s">
        <v>55</v>
      </c>
    </row>
    <row r="22" spans="1:28" ht="15.6" x14ac:dyDescent="0.35">
      <c r="A22" s="66" t="s">
        <v>56</v>
      </c>
      <c r="D22" s="1" t="s">
        <v>7</v>
      </c>
      <c r="Q22" s="1" t="s">
        <v>52</v>
      </c>
    </row>
    <row r="23" spans="1:28" x14ac:dyDescent="0.3">
      <c r="A23" s="60" t="s">
        <v>57</v>
      </c>
      <c r="D23" s="5" t="str">
        <f>IF($B$5="","",$B$5)</f>
        <v/>
      </c>
      <c r="E23" s="6" t="str">
        <f t="shared" ref="E23:O30" si="8">IF($B$5="","",$B$5)</f>
        <v/>
      </c>
      <c r="F23" s="6" t="str">
        <f t="shared" si="8"/>
        <v/>
      </c>
      <c r="G23" s="6" t="str">
        <f t="shared" si="8"/>
        <v/>
      </c>
      <c r="H23" s="6" t="str">
        <f t="shared" si="8"/>
        <v/>
      </c>
      <c r="I23" s="6" t="str">
        <f t="shared" si="8"/>
        <v/>
      </c>
      <c r="J23" s="6" t="str">
        <f t="shared" si="8"/>
        <v/>
      </c>
      <c r="K23" s="6" t="str">
        <f t="shared" si="8"/>
        <v/>
      </c>
      <c r="L23" s="6" t="str">
        <f t="shared" si="8"/>
        <v/>
      </c>
      <c r="M23" s="6" t="str">
        <f t="shared" si="8"/>
        <v/>
      </c>
      <c r="N23" s="6" t="str">
        <f t="shared" si="8"/>
        <v/>
      </c>
      <c r="O23" s="7" t="str">
        <f t="shared" si="8"/>
        <v/>
      </c>
      <c r="Q23" s="14" t="str">
        <f>IF($B$14="","",$B$14)</f>
        <v/>
      </c>
      <c r="R23" s="15" t="str">
        <f t="shared" ref="R23:AB30" si="9">IF($B$14="","",$B$14)</f>
        <v/>
      </c>
      <c r="S23" s="15" t="str">
        <f t="shared" si="9"/>
        <v/>
      </c>
      <c r="T23" s="15" t="str">
        <f t="shared" si="9"/>
        <v/>
      </c>
      <c r="U23" s="15" t="str">
        <f t="shared" si="9"/>
        <v/>
      </c>
      <c r="V23" s="15" t="str">
        <f t="shared" si="9"/>
        <v/>
      </c>
      <c r="W23" s="15" t="str">
        <f t="shared" si="9"/>
        <v/>
      </c>
      <c r="X23" s="15" t="str">
        <f t="shared" si="9"/>
        <v/>
      </c>
      <c r="Y23" s="15" t="str">
        <f t="shared" si="9"/>
        <v/>
      </c>
      <c r="Z23" s="15" t="str">
        <f t="shared" si="9"/>
        <v/>
      </c>
      <c r="AA23" s="15" t="str">
        <f t="shared" si="9"/>
        <v/>
      </c>
      <c r="AB23" s="16" t="str">
        <f t="shared" si="9"/>
        <v/>
      </c>
    </row>
    <row r="24" spans="1:28" x14ac:dyDescent="0.3">
      <c r="A24" s="61" t="s">
        <v>58</v>
      </c>
      <c r="D24" s="8" t="str">
        <f t="shared" ref="D24:D30" si="10">IF($B$5="","",$B$5)</f>
        <v/>
      </c>
      <c r="E24" s="9" t="str">
        <f t="shared" si="8"/>
        <v/>
      </c>
      <c r="F24" s="9" t="str">
        <f t="shared" si="8"/>
        <v/>
      </c>
      <c r="G24" s="9" t="str">
        <f t="shared" si="8"/>
        <v/>
      </c>
      <c r="H24" s="9" t="str">
        <f t="shared" si="8"/>
        <v/>
      </c>
      <c r="I24" s="9" t="str">
        <f t="shared" si="8"/>
        <v/>
      </c>
      <c r="J24" s="9" t="str">
        <f t="shared" si="8"/>
        <v/>
      </c>
      <c r="K24" s="9" t="str">
        <f t="shared" si="8"/>
        <v/>
      </c>
      <c r="L24" s="9" t="str">
        <f t="shared" si="8"/>
        <v/>
      </c>
      <c r="M24" s="9" t="str">
        <f t="shared" si="8"/>
        <v/>
      </c>
      <c r="N24" s="9" t="str">
        <f t="shared" si="8"/>
        <v/>
      </c>
      <c r="O24" s="10" t="str">
        <f t="shared" si="8"/>
        <v/>
      </c>
      <c r="Q24" s="17" t="str">
        <f t="shared" ref="Q24:Q30" si="11">IF($B$14="","",$B$14)</f>
        <v/>
      </c>
      <c r="R24" s="18" t="str">
        <f t="shared" si="9"/>
        <v/>
      </c>
      <c r="S24" s="18" t="str">
        <f t="shared" si="9"/>
        <v/>
      </c>
      <c r="T24" s="18" t="str">
        <f t="shared" si="9"/>
        <v/>
      </c>
      <c r="U24" s="18" t="str">
        <f t="shared" si="9"/>
        <v/>
      </c>
      <c r="V24" s="18" t="str">
        <f t="shared" si="9"/>
        <v/>
      </c>
      <c r="W24" s="18" t="str">
        <f t="shared" si="9"/>
        <v/>
      </c>
      <c r="X24" s="18" t="str">
        <f t="shared" si="9"/>
        <v/>
      </c>
      <c r="Y24" s="18" t="str">
        <f t="shared" si="9"/>
        <v/>
      </c>
      <c r="Z24" s="18" t="str">
        <f t="shared" si="9"/>
        <v/>
      </c>
      <c r="AA24" s="18" t="str">
        <f t="shared" si="9"/>
        <v/>
      </c>
      <c r="AB24" s="19" t="str">
        <f t="shared" si="9"/>
        <v/>
      </c>
    </row>
    <row r="25" spans="1:28" x14ac:dyDescent="0.3">
      <c r="D25" s="8" t="str">
        <f t="shared" si="10"/>
        <v/>
      </c>
      <c r="E25" s="9" t="str">
        <f t="shared" si="8"/>
        <v/>
      </c>
      <c r="F25" s="9" t="str">
        <f t="shared" si="8"/>
        <v/>
      </c>
      <c r="G25" s="9" t="str">
        <f t="shared" si="8"/>
        <v/>
      </c>
      <c r="H25" s="9" t="str">
        <f t="shared" si="8"/>
        <v/>
      </c>
      <c r="I25" s="9" t="str">
        <f t="shared" si="8"/>
        <v/>
      </c>
      <c r="J25" s="9" t="str">
        <f t="shared" si="8"/>
        <v/>
      </c>
      <c r="K25" s="9" t="str">
        <f t="shared" si="8"/>
        <v/>
      </c>
      <c r="L25" s="9" t="str">
        <f t="shared" si="8"/>
        <v/>
      </c>
      <c r="M25" s="9" t="str">
        <f t="shared" si="8"/>
        <v/>
      </c>
      <c r="N25" s="9" t="str">
        <f t="shared" si="8"/>
        <v/>
      </c>
      <c r="O25" s="10" t="str">
        <f t="shared" si="8"/>
        <v/>
      </c>
      <c r="Q25" s="17" t="str">
        <f t="shared" si="11"/>
        <v/>
      </c>
      <c r="R25" s="18" t="str">
        <f t="shared" si="9"/>
        <v/>
      </c>
      <c r="S25" s="18" t="str">
        <f t="shared" si="9"/>
        <v/>
      </c>
      <c r="T25" s="18" t="str">
        <f t="shared" si="9"/>
        <v/>
      </c>
      <c r="U25" s="18" t="str">
        <f t="shared" si="9"/>
        <v/>
      </c>
      <c r="V25" s="18" t="str">
        <f t="shared" si="9"/>
        <v/>
      </c>
      <c r="W25" s="18" t="str">
        <f t="shared" si="9"/>
        <v/>
      </c>
      <c r="X25" s="18" t="str">
        <f t="shared" si="9"/>
        <v/>
      </c>
      <c r="Y25" s="18" t="str">
        <f t="shared" si="9"/>
        <v/>
      </c>
      <c r="Z25" s="18" t="str">
        <f t="shared" si="9"/>
        <v/>
      </c>
      <c r="AA25" s="18" t="str">
        <f t="shared" si="9"/>
        <v/>
      </c>
      <c r="AB25" s="19" t="str">
        <f t="shared" si="9"/>
        <v/>
      </c>
    </row>
    <row r="26" spans="1:28" x14ac:dyDescent="0.3">
      <c r="D26" s="8" t="str">
        <f t="shared" si="10"/>
        <v/>
      </c>
      <c r="E26" s="9" t="str">
        <f t="shared" si="8"/>
        <v/>
      </c>
      <c r="F26" s="9" t="str">
        <f t="shared" si="8"/>
        <v/>
      </c>
      <c r="G26" s="9" t="str">
        <f t="shared" si="8"/>
        <v/>
      </c>
      <c r="H26" s="9" t="str">
        <f t="shared" si="8"/>
        <v/>
      </c>
      <c r="I26" s="9" t="str">
        <f t="shared" si="8"/>
        <v/>
      </c>
      <c r="J26" s="9" t="str">
        <f t="shared" si="8"/>
        <v/>
      </c>
      <c r="K26" s="9" t="str">
        <f t="shared" si="8"/>
        <v/>
      </c>
      <c r="L26" s="9" t="str">
        <f t="shared" si="8"/>
        <v/>
      </c>
      <c r="M26" s="9" t="str">
        <f t="shared" si="8"/>
        <v/>
      </c>
      <c r="N26" s="9" t="str">
        <f t="shared" si="8"/>
        <v/>
      </c>
      <c r="O26" s="10" t="str">
        <f t="shared" si="8"/>
        <v/>
      </c>
      <c r="Q26" s="17" t="str">
        <f t="shared" si="11"/>
        <v/>
      </c>
      <c r="R26" s="18" t="str">
        <f t="shared" si="9"/>
        <v/>
      </c>
      <c r="S26" s="18" t="str">
        <f t="shared" si="9"/>
        <v/>
      </c>
      <c r="T26" s="18" t="str">
        <f t="shared" si="9"/>
        <v/>
      </c>
      <c r="U26" s="18" t="str">
        <f t="shared" si="9"/>
        <v/>
      </c>
      <c r="V26" s="18" t="str">
        <f t="shared" si="9"/>
        <v/>
      </c>
      <c r="W26" s="18" t="str">
        <f t="shared" si="9"/>
        <v/>
      </c>
      <c r="X26" s="18" t="str">
        <f t="shared" si="9"/>
        <v/>
      </c>
      <c r="Y26" s="18" t="str">
        <f t="shared" si="9"/>
        <v/>
      </c>
      <c r="Z26" s="18" t="str">
        <f t="shared" si="9"/>
        <v/>
      </c>
      <c r="AA26" s="18" t="str">
        <f t="shared" si="9"/>
        <v/>
      </c>
      <c r="AB26" s="19" t="str">
        <f t="shared" si="9"/>
        <v/>
      </c>
    </row>
    <row r="27" spans="1:28" x14ac:dyDescent="0.3">
      <c r="D27" s="8" t="str">
        <f t="shared" si="10"/>
        <v/>
      </c>
      <c r="E27" s="9" t="str">
        <f t="shared" si="8"/>
        <v/>
      </c>
      <c r="F27" s="9" t="str">
        <f t="shared" si="8"/>
        <v/>
      </c>
      <c r="G27" s="9" t="str">
        <f t="shared" si="8"/>
        <v/>
      </c>
      <c r="H27" s="9" t="str">
        <f t="shared" si="8"/>
        <v/>
      </c>
      <c r="I27" s="9" t="str">
        <f t="shared" si="8"/>
        <v/>
      </c>
      <c r="J27" s="9" t="str">
        <f t="shared" si="8"/>
        <v/>
      </c>
      <c r="K27" s="9" t="str">
        <f t="shared" si="8"/>
        <v/>
      </c>
      <c r="L27" s="9" t="str">
        <f t="shared" si="8"/>
        <v/>
      </c>
      <c r="M27" s="9" t="str">
        <f t="shared" si="8"/>
        <v/>
      </c>
      <c r="N27" s="9" t="str">
        <f t="shared" si="8"/>
        <v/>
      </c>
      <c r="O27" s="10" t="str">
        <f t="shared" si="8"/>
        <v/>
      </c>
      <c r="Q27" s="17" t="str">
        <f t="shared" si="11"/>
        <v/>
      </c>
      <c r="R27" s="18" t="str">
        <f t="shared" si="9"/>
        <v/>
      </c>
      <c r="S27" s="18" t="str">
        <f t="shared" si="9"/>
        <v/>
      </c>
      <c r="T27" s="18" t="str">
        <f t="shared" si="9"/>
        <v/>
      </c>
      <c r="U27" s="18" t="str">
        <f t="shared" si="9"/>
        <v/>
      </c>
      <c r="V27" s="18" t="str">
        <f t="shared" si="9"/>
        <v/>
      </c>
      <c r="W27" s="18" t="str">
        <f t="shared" si="9"/>
        <v/>
      </c>
      <c r="X27" s="18" t="str">
        <f t="shared" si="9"/>
        <v/>
      </c>
      <c r="Y27" s="18" t="str">
        <f t="shared" si="9"/>
        <v/>
      </c>
      <c r="Z27" s="18" t="str">
        <f t="shared" si="9"/>
        <v/>
      </c>
      <c r="AA27" s="18" t="str">
        <f t="shared" si="9"/>
        <v/>
      </c>
      <c r="AB27" s="19" t="str">
        <f t="shared" si="9"/>
        <v/>
      </c>
    </row>
    <row r="28" spans="1:28" x14ac:dyDescent="0.3">
      <c r="D28" s="8" t="str">
        <f t="shared" si="10"/>
        <v/>
      </c>
      <c r="E28" s="9" t="str">
        <f t="shared" si="8"/>
        <v/>
      </c>
      <c r="F28" s="9" t="str">
        <f t="shared" si="8"/>
        <v/>
      </c>
      <c r="G28" s="9" t="str">
        <f t="shared" si="8"/>
        <v/>
      </c>
      <c r="H28" s="9" t="str">
        <f t="shared" si="8"/>
        <v/>
      </c>
      <c r="I28" s="9" t="str">
        <f t="shared" si="8"/>
        <v/>
      </c>
      <c r="J28" s="9" t="str">
        <f t="shared" si="8"/>
        <v/>
      </c>
      <c r="K28" s="9" t="str">
        <f t="shared" si="8"/>
        <v/>
      </c>
      <c r="L28" s="9" t="str">
        <f t="shared" si="8"/>
        <v/>
      </c>
      <c r="M28" s="9" t="str">
        <f t="shared" si="8"/>
        <v/>
      </c>
      <c r="N28" s="9" t="str">
        <f t="shared" si="8"/>
        <v/>
      </c>
      <c r="O28" s="10" t="str">
        <f t="shared" si="8"/>
        <v/>
      </c>
      <c r="Q28" s="17" t="str">
        <f t="shared" si="11"/>
        <v/>
      </c>
      <c r="R28" s="18" t="str">
        <f t="shared" si="9"/>
        <v/>
      </c>
      <c r="S28" s="18" t="str">
        <f t="shared" si="9"/>
        <v/>
      </c>
      <c r="T28" s="18" t="str">
        <f t="shared" si="9"/>
        <v/>
      </c>
      <c r="U28" s="18" t="str">
        <f t="shared" si="9"/>
        <v/>
      </c>
      <c r="V28" s="18" t="str">
        <f t="shared" si="9"/>
        <v/>
      </c>
      <c r="W28" s="18" t="str">
        <f t="shared" si="9"/>
        <v/>
      </c>
      <c r="X28" s="18" t="str">
        <f t="shared" si="9"/>
        <v/>
      </c>
      <c r="Y28" s="18" t="str">
        <f t="shared" si="9"/>
        <v/>
      </c>
      <c r="Z28" s="18" t="str">
        <f t="shared" si="9"/>
        <v/>
      </c>
      <c r="AA28" s="18" t="str">
        <f t="shared" si="9"/>
        <v/>
      </c>
      <c r="AB28" s="19" t="str">
        <f t="shared" si="9"/>
        <v/>
      </c>
    </row>
    <row r="29" spans="1:28" x14ac:dyDescent="0.3">
      <c r="D29" s="8" t="str">
        <f t="shared" si="10"/>
        <v/>
      </c>
      <c r="E29" s="9" t="str">
        <f t="shared" si="8"/>
        <v/>
      </c>
      <c r="F29" s="9" t="str">
        <f t="shared" si="8"/>
        <v/>
      </c>
      <c r="G29" s="9" t="str">
        <f t="shared" si="8"/>
        <v/>
      </c>
      <c r="H29" s="9" t="str">
        <f t="shared" si="8"/>
        <v/>
      </c>
      <c r="I29" s="9" t="str">
        <f t="shared" si="8"/>
        <v/>
      </c>
      <c r="J29" s="9" t="str">
        <f t="shared" si="8"/>
        <v/>
      </c>
      <c r="K29" s="9" t="str">
        <f t="shared" si="8"/>
        <v/>
      </c>
      <c r="L29" s="9" t="str">
        <f t="shared" si="8"/>
        <v/>
      </c>
      <c r="M29" s="9" t="str">
        <f t="shared" si="8"/>
        <v/>
      </c>
      <c r="N29" s="9" t="str">
        <f t="shared" si="8"/>
        <v/>
      </c>
      <c r="O29" s="10" t="str">
        <f t="shared" si="8"/>
        <v/>
      </c>
      <c r="Q29" s="17" t="str">
        <f t="shared" si="11"/>
        <v/>
      </c>
      <c r="R29" s="18" t="str">
        <f t="shared" si="9"/>
        <v/>
      </c>
      <c r="S29" s="18" t="str">
        <f t="shared" si="9"/>
        <v/>
      </c>
      <c r="T29" s="18" t="str">
        <f t="shared" si="9"/>
        <v/>
      </c>
      <c r="U29" s="18" t="str">
        <f t="shared" si="9"/>
        <v/>
      </c>
      <c r="V29" s="18" t="str">
        <f t="shared" si="9"/>
        <v/>
      </c>
      <c r="W29" s="18" t="str">
        <f t="shared" si="9"/>
        <v/>
      </c>
      <c r="X29" s="18" t="str">
        <f t="shared" si="9"/>
        <v/>
      </c>
      <c r="Y29" s="18" t="str">
        <f t="shared" si="9"/>
        <v/>
      </c>
      <c r="Z29" s="18" t="str">
        <f t="shared" si="9"/>
        <v/>
      </c>
      <c r="AA29" s="18" t="str">
        <f t="shared" si="9"/>
        <v/>
      </c>
      <c r="AB29" s="19" t="str">
        <f t="shared" si="9"/>
        <v/>
      </c>
    </row>
    <row r="30" spans="1:28" x14ac:dyDescent="0.3">
      <c r="D30" s="11" t="str">
        <f t="shared" si="10"/>
        <v/>
      </c>
      <c r="E30" s="12" t="str">
        <f t="shared" si="8"/>
        <v/>
      </c>
      <c r="F30" s="12" t="str">
        <f t="shared" si="8"/>
        <v/>
      </c>
      <c r="G30" s="12" t="str">
        <f t="shared" si="8"/>
        <v/>
      </c>
      <c r="H30" s="12" t="str">
        <f t="shared" si="8"/>
        <v/>
      </c>
      <c r="I30" s="12" t="str">
        <f t="shared" si="8"/>
        <v/>
      </c>
      <c r="J30" s="12" t="str">
        <f t="shared" si="8"/>
        <v/>
      </c>
      <c r="K30" s="12" t="str">
        <f t="shared" si="8"/>
        <v/>
      </c>
      <c r="L30" s="12" t="str">
        <f t="shared" si="8"/>
        <v/>
      </c>
      <c r="M30" s="12" t="str">
        <f t="shared" si="8"/>
        <v/>
      </c>
      <c r="N30" s="12" t="str">
        <f t="shared" si="8"/>
        <v/>
      </c>
      <c r="O30" s="13" t="str">
        <f t="shared" si="8"/>
        <v/>
      </c>
      <c r="Q30" s="20" t="str">
        <f t="shared" si="11"/>
        <v/>
      </c>
      <c r="R30" s="21" t="str">
        <f t="shared" si="9"/>
        <v/>
      </c>
      <c r="S30" s="21" t="str">
        <f t="shared" si="9"/>
        <v/>
      </c>
      <c r="T30" s="21" t="str">
        <f t="shared" si="9"/>
        <v/>
      </c>
      <c r="U30" s="21" t="str">
        <f t="shared" si="9"/>
        <v/>
      </c>
      <c r="V30" s="21" t="str">
        <f t="shared" si="9"/>
        <v/>
      </c>
      <c r="W30" s="21" t="str">
        <f t="shared" si="9"/>
        <v/>
      </c>
      <c r="X30" s="21" t="str">
        <f t="shared" si="9"/>
        <v/>
      </c>
      <c r="Y30" s="21" t="str">
        <f t="shared" si="9"/>
        <v/>
      </c>
      <c r="Z30" s="21" t="str">
        <f t="shared" si="9"/>
        <v/>
      </c>
      <c r="AA30" s="21" t="str">
        <f t="shared" si="9"/>
        <v/>
      </c>
      <c r="AB30" s="22" t="str">
        <f t="shared" si="9"/>
        <v/>
      </c>
    </row>
    <row r="32" spans="1:28" ht="15.6" x14ac:dyDescent="0.35">
      <c r="D32" s="1" t="s">
        <v>3</v>
      </c>
      <c r="Q32" s="1" t="s">
        <v>51</v>
      </c>
    </row>
    <row r="33" spans="4:28" x14ac:dyDescent="0.3">
      <c r="D33" s="5" t="str">
        <f>IF($B$7="","",$B$7)</f>
        <v/>
      </c>
      <c r="E33" s="6" t="str">
        <f t="shared" ref="E33:O40" si="12">IF($B$7="","",$B$7)</f>
        <v/>
      </c>
      <c r="F33" s="6" t="str">
        <f t="shared" si="12"/>
        <v/>
      </c>
      <c r="G33" s="6" t="str">
        <f t="shared" si="12"/>
        <v/>
      </c>
      <c r="H33" s="6" t="str">
        <f t="shared" si="12"/>
        <v/>
      </c>
      <c r="I33" s="6" t="str">
        <f t="shared" si="12"/>
        <v/>
      </c>
      <c r="J33" s="6" t="str">
        <f t="shared" si="12"/>
        <v/>
      </c>
      <c r="K33" s="6" t="str">
        <f t="shared" si="12"/>
        <v/>
      </c>
      <c r="L33" s="6" t="str">
        <f t="shared" si="12"/>
        <v/>
      </c>
      <c r="M33" s="6" t="str">
        <f t="shared" si="12"/>
        <v/>
      </c>
      <c r="N33" s="6" t="str">
        <f t="shared" si="12"/>
        <v/>
      </c>
      <c r="O33" s="7" t="str">
        <f t="shared" si="12"/>
        <v/>
      </c>
      <c r="Q33" s="5" t="str">
        <f>IF($B$15="","",$B$15)</f>
        <v/>
      </c>
      <c r="R33" s="6" t="str">
        <f t="shared" ref="R33:AB40" si="13">IF($B$15="","",$B$15)</f>
        <v/>
      </c>
      <c r="S33" s="6" t="str">
        <f t="shared" si="13"/>
        <v/>
      </c>
      <c r="T33" s="6" t="str">
        <f t="shared" si="13"/>
        <v/>
      </c>
      <c r="U33" s="6" t="str">
        <f t="shared" si="13"/>
        <v/>
      </c>
      <c r="V33" s="6" t="str">
        <f t="shared" si="13"/>
        <v/>
      </c>
      <c r="W33" s="6" t="str">
        <f t="shared" si="13"/>
        <v/>
      </c>
      <c r="X33" s="6" t="str">
        <f t="shared" si="13"/>
        <v/>
      </c>
      <c r="Y33" s="6" t="str">
        <f t="shared" si="13"/>
        <v/>
      </c>
      <c r="Z33" s="6" t="str">
        <f t="shared" si="13"/>
        <v/>
      </c>
      <c r="AA33" s="6" t="str">
        <f t="shared" si="13"/>
        <v/>
      </c>
      <c r="AB33" s="7" t="str">
        <f t="shared" si="13"/>
        <v/>
      </c>
    </row>
    <row r="34" spans="4:28" x14ac:dyDescent="0.3">
      <c r="D34" s="8" t="str">
        <f t="shared" ref="D34:D40" si="14">IF($B$7="","",$B$7)</f>
        <v/>
      </c>
      <c r="E34" s="9" t="str">
        <f t="shared" si="12"/>
        <v/>
      </c>
      <c r="F34" s="9" t="str">
        <f t="shared" si="12"/>
        <v/>
      </c>
      <c r="G34" s="9" t="str">
        <f t="shared" si="12"/>
        <v/>
      </c>
      <c r="H34" s="9" t="str">
        <f t="shared" si="12"/>
        <v/>
      </c>
      <c r="I34" s="9" t="str">
        <f t="shared" si="12"/>
        <v/>
      </c>
      <c r="J34" s="9" t="str">
        <f t="shared" si="12"/>
        <v/>
      </c>
      <c r="K34" s="9" t="str">
        <f t="shared" si="12"/>
        <v/>
      </c>
      <c r="L34" s="9" t="str">
        <f t="shared" si="12"/>
        <v/>
      </c>
      <c r="M34" s="9" t="str">
        <f t="shared" si="12"/>
        <v/>
      </c>
      <c r="N34" s="9" t="str">
        <f t="shared" si="12"/>
        <v/>
      </c>
      <c r="O34" s="10" t="str">
        <f t="shared" si="12"/>
        <v/>
      </c>
      <c r="Q34" s="8" t="str">
        <f t="shared" ref="Q34:Q40" si="15">IF($B$15="","",$B$15)</f>
        <v/>
      </c>
      <c r="R34" s="9" t="str">
        <f t="shared" si="13"/>
        <v/>
      </c>
      <c r="S34" s="9" t="str">
        <f t="shared" si="13"/>
        <v/>
      </c>
      <c r="T34" s="9" t="str">
        <f t="shared" si="13"/>
        <v/>
      </c>
      <c r="U34" s="9" t="str">
        <f t="shared" si="13"/>
        <v/>
      </c>
      <c r="V34" s="9" t="str">
        <f t="shared" si="13"/>
        <v/>
      </c>
      <c r="W34" s="9" t="str">
        <f t="shared" si="13"/>
        <v/>
      </c>
      <c r="X34" s="9" t="str">
        <f t="shared" si="13"/>
        <v/>
      </c>
      <c r="Y34" s="9" t="str">
        <f t="shared" si="13"/>
        <v/>
      </c>
      <c r="Z34" s="9" t="str">
        <f t="shared" si="13"/>
        <v/>
      </c>
      <c r="AA34" s="9" t="str">
        <f t="shared" si="13"/>
        <v/>
      </c>
      <c r="AB34" s="10" t="str">
        <f t="shared" si="13"/>
        <v/>
      </c>
    </row>
    <row r="35" spans="4:28" x14ac:dyDescent="0.3">
      <c r="D35" s="8" t="str">
        <f t="shared" si="14"/>
        <v/>
      </c>
      <c r="E35" s="9" t="str">
        <f t="shared" si="12"/>
        <v/>
      </c>
      <c r="F35" s="9" t="str">
        <f t="shared" si="12"/>
        <v/>
      </c>
      <c r="G35" s="9" t="str">
        <f t="shared" si="12"/>
        <v/>
      </c>
      <c r="H35" s="9" t="str">
        <f t="shared" si="12"/>
        <v/>
      </c>
      <c r="I35" s="9" t="str">
        <f t="shared" si="12"/>
        <v/>
      </c>
      <c r="J35" s="9" t="str">
        <f t="shared" si="12"/>
        <v/>
      </c>
      <c r="K35" s="9" t="str">
        <f t="shared" si="12"/>
        <v/>
      </c>
      <c r="L35" s="9" t="str">
        <f t="shared" si="12"/>
        <v/>
      </c>
      <c r="M35" s="9" t="str">
        <f t="shared" si="12"/>
        <v/>
      </c>
      <c r="N35" s="9" t="str">
        <f t="shared" si="12"/>
        <v/>
      </c>
      <c r="O35" s="10" t="str">
        <f t="shared" si="12"/>
        <v/>
      </c>
      <c r="Q35" s="8" t="str">
        <f t="shared" si="15"/>
        <v/>
      </c>
      <c r="R35" s="9" t="str">
        <f t="shared" si="13"/>
        <v/>
      </c>
      <c r="S35" s="9" t="str">
        <f t="shared" si="13"/>
        <v/>
      </c>
      <c r="T35" s="9" t="str">
        <f t="shared" si="13"/>
        <v/>
      </c>
      <c r="U35" s="9" t="str">
        <f t="shared" si="13"/>
        <v/>
      </c>
      <c r="V35" s="9" t="str">
        <f t="shared" si="13"/>
        <v/>
      </c>
      <c r="W35" s="9" t="str">
        <f t="shared" si="13"/>
        <v/>
      </c>
      <c r="X35" s="9" t="str">
        <f t="shared" si="13"/>
        <v/>
      </c>
      <c r="Y35" s="9" t="str">
        <f t="shared" si="13"/>
        <v/>
      </c>
      <c r="Z35" s="9" t="str">
        <f t="shared" si="13"/>
        <v/>
      </c>
      <c r="AA35" s="9" t="str">
        <f t="shared" si="13"/>
        <v/>
      </c>
      <c r="AB35" s="10" t="str">
        <f t="shared" si="13"/>
        <v/>
      </c>
    </row>
    <row r="36" spans="4:28" x14ac:dyDescent="0.3">
      <c r="D36" s="8" t="str">
        <f t="shared" si="14"/>
        <v/>
      </c>
      <c r="E36" s="9" t="str">
        <f t="shared" si="12"/>
        <v/>
      </c>
      <c r="F36" s="9" t="str">
        <f t="shared" si="12"/>
        <v/>
      </c>
      <c r="G36" s="9" t="str">
        <f t="shared" si="12"/>
        <v/>
      </c>
      <c r="H36" s="9" t="str">
        <f t="shared" si="12"/>
        <v/>
      </c>
      <c r="I36" s="9" t="str">
        <f t="shared" si="12"/>
        <v/>
      </c>
      <c r="J36" s="9" t="str">
        <f t="shared" si="12"/>
        <v/>
      </c>
      <c r="K36" s="9" t="str">
        <f t="shared" si="12"/>
        <v/>
      </c>
      <c r="L36" s="9" t="str">
        <f t="shared" si="12"/>
        <v/>
      </c>
      <c r="M36" s="9" t="str">
        <f t="shared" si="12"/>
        <v/>
      </c>
      <c r="N36" s="9" t="str">
        <f t="shared" si="12"/>
        <v/>
      </c>
      <c r="O36" s="10" t="str">
        <f t="shared" si="12"/>
        <v/>
      </c>
      <c r="Q36" s="8" t="str">
        <f t="shared" si="15"/>
        <v/>
      </c>
      <c r="R36" s="9" t="str">
        <f t="shared" si="13"/>
        <v/>
      </c>
      <c r="S36" s="9" t="str">
        <f t="shared" si="13"/>
        <v/>
      </c>
      <c r="T36" s="9" t="str">
        <f t="shared" si="13"/>
        <v/>
      </c>
      <c r="U36" s="9" t="str">
        <f t="shared" si="13"/>
        <v/>
      </c>
      <c r="V36" s="9" t="str">
        <f t="shared" si="13"/>
        <v/>
      </c>
      <c r="W36" s="9" t="str">
        <f t="shared" si="13"/>
        <v/>
      </c>
      <c r="X36" s="9" t="str">
        <f t="shared" si="13"/>
        <v/>
      </c>
      <c r="Y36" s="9" t="str">
        <f t="shared" si="13"/>
        <v/>
      </c>
      <c r="Z36" s="9" t="str">
        <f t="shared" si="13"/>
        <v/>
      </c>
      <c r="AA36" s="9" t="str">
        <f t="shared" si="13"/>
        <v/>
      </c>
      <c r="AB36" s="10" t="str">
        <f t="shared" si="13"/>
        <v/>
      </c>
    </row>
    <row r="37" spans="4:28" x14ac:dyDescent="0.3">
      <c r="D37" s="8" t="str">
        <f t="shared" si="14"/>
        <v/>
      </c>
      <c r="E37" s="9" t="str">
        <f t="shared" si="12"/>
        <v/>
      </c>
      <c r="F37" s="9" t="str">
        <f t="shared" si="12"/>
        <v/>
      </c>
      <c r="G37" s="9" t="str">
        <f t="shared" si="12"/>
        <v/>
      </c>
      <c r="H37" s="9" t="str">
        <f t="shared" si="12"/>
        <v/>
      </c>
      <c r="I37" s="9" t="str">
        <f t="shared" si="12"/>
        <v/>
      </c>
      <c r="J37" s="9" t="str">
        <f t="shared" si="12"/>
        <v/>
      </c>
      <c r="K37" s="9" t="str">
        <f t="shared" si="12"/>
        <v/>
      </c>
      <c r="L37" s="9" t="str">
        <f t="shared" si="12"/>
        <v/>
      </c>
      <c r="M37" s="9" t="str">
        <f t="shared" si="12"/>
        <v/>
      </c>
      <c r="N37" s="9" t="str">
        <f t="shared" si="12"/>
        <v/>
      </c>
      <c r="O37" s="10" t="str">
        <f t="shared" si="12"/>
        <v/>
      </c>
      <c r="Q37" s="8" t="str">
        <f t="shared" si="15"/>
        <v/>
      </c>
      <c r="R37" s="9" t="str">
        <f t="shared" si="13"/>
        <v/>
      </c>
      <c r="S37" s="9" t="str">
        <f t="shared" si="13"/>
        <v/>
      </c>
      <c r="T37" s="9" t="str">
        <f t="shared" si="13"/>
        <v/>
      </c>
      <c r="U37" s="9" t="str">
        <f t="shared" si="13"/>
        <v/>
      </c>
      <c r="V37" s="9" t="str">
        <f t="shared" si="13"/>
        <v/>
      </c>
      <c r="W37" s="9" t="str">
        <f t="shared" si="13"/>
        <v/>
      </c>
      <c r="X37" s="9" t="str">
        <f t="shared" si="13"/>
        <v/>
      </c>
      <c r="Y37" s="9" t="str">
        <f t="shared" si="13"/>
        <v/>
      </c>
      <c r="Z37" s="9" t="str">
        <f t="shared" si="13"/>
        <v/>
      </c>
      <c r="AA37" s="9" t="str">
        <f t="shared" si="13"/>
        <v/>
      </c>
      <c r="AB37" s="10" t="str">
        <f t="shared" si="13"/>
        <v/>
      </c>
    </row>
    <row r="38" spans="4:28" x14ac:dyDescent="0.3">
      <c r="D38" s="8" t="str">
        <f t="shared" si="14"/>
        <v/>
      </c>
      <c r="E38" s="9" t="str">
        <f t="shared" si="12"/>
        <v/>
      </c>
      <c r="F38" s="9" t="str">
        <f t="shared" si="12"/>
        <v/>
      </c>
      <c r="G38" s="9" t="str">
        <f t="shared" si="12"/>
        <v/>
      </c>
      <c r="H38" s="9" t="str">
        <f t="shared" si="12"/>
        <v/>
      </c>
      <c r="I38" s="9" t="str">
        <f t="shared" si="12"/>
        <v/>
      </c>
      <c r="J38" s="9" t="str">
        <f t="shared" si="12"/>
        <v/>
      </c>
      <c r="K38" s="9" t="str">
        <f t="shared" si="12"/>
        <v/>
      </c>
      <c r="L38" s="9" t="str">
        <f t="shared" si="12"/>
        <v/>
      </c>
      <c r="M38" s="9" t="str">
        <f t="shared" si="12"/>
        <v/>
      </c>
      <c r="N38" s="9" t="str">
        <f t="shared" si="12"/>
        <v/>
      </c>
      <c r="O38" s="10" t="str">
        <f t="shared" si="12"/>
        <v/>
      </c>
      <c r="Q38" s="8" t="str">
        <f t="shared" si="15"/>
        <v/>
      </c>
      <c r="R38" s="9" t="str">
        <f t="shared" si="13"/>
        <v/>
      </c>
      <c r="S38" s="9" t="str">
        <f t="shared" si="13"/>
        <v/>
      </c>
      <c r="T38" s="9" t="str">
        <f t="shared" si="13"/>
        <v/>
      </c>
      <c r="U38" s="9" t="str">
        <f t="shared" si="13"/>
        <v/>
      </c>
      <c r="V38" s="9" t="str">
        <f t="shared" si="13"/>
        <v/>
      </c>
      <c r="W38" s="9" t="str">
        <f t="shared" si="13"/>
        <v/>
      </c>
      <c r="X38" s="9" t="str">
        <f t="shared" si="13"/>
        <v/>
      </c>
      <c r="Y38" s="9" t="str">
        <f t="shared" si="13"/>
        <v/>
      </c>
      <c r="Z38" s="9" t="str">
        <f t="shared" si="13"/>
        <v/>
      </c>
      <c r="AA38" s="9" t="str">
        <f t="shared" si="13"/>
        <v/>
      </c>
      <c r="AB38" s="10" t="str">
        <f t="shared" si="13"/>
        <v/>
      </c>
    </row>
    <row r="39" spans="4:28" x14ac:dyDescent="0.3">
      <c r="D39" s="8" t="str">
        <f t="shared" si="14"/>
        <v/>
      </c>
      <c r="E39" s="9" t="str">
        <f t="shared" si="12"/>
        <v/>
      </c>
      <c r="F39" s="9" t="str">
        <f t="shared" si="12"/>
        <v/>
      </c>
      <c r="G39" s="9" t="str">
        <f t="shared" si="12"/>
        <v/>
      </c>
      <c r="H39" s="9" t="str">
        <f t="shared" si="12"/>
        <v/>
      </c>
      <c r="I39" s="9" t="str">
        <f t="shared" si="12"/>
        <v/>
      </c>
      <c r="J39" s="9" t="str">
        <f t="shared" si="12"/>
        <v/>
      </c>
      <c r="K39" s="9" t="str">
        <f t="shared" si="12"/>
        <v/>
      </c>
      <c r="L39" s="9" t="str">
        <f t="shared" si="12"/>
        <v/>
      </c>
      <c r="M39" s="9" t="str">
        <f t="shared" si="12"/>
        <v/>
      </c>
      <c r="N39" s="9" t="str">
        <f t="shared" si="12"/>
        <v/>
      </c>
      <c r="O39" s="10" t="str">
        <f t="shared" si="12"/>
        <v/>
      </c>
      <c r="Q39" s="8" t="str">
        <f t="shared" si="15"/>
        <v/>
      </c>
      <c r="R39" s="9" t="str">
        <f t="shared" si="13"/>
        <v/>
      </c>
      <c r="S39" s="9" t="str">
        <f t="shared" si="13"/>
        <v/>
      </c>
      <c r="T39" s="9" t="str">
        <f t="shared" si="13"/>
        <v/>
      </c>
      <c r="U39" s="9" t="str">
        <f t="shared" si="13"/>
        <v/>
      </c>
      <c r="V39" s="9" t="str">
        <f t="shared" si="13"/>
        <v/>
      </c>
      <c r="W39" s="9" t="str">
        <f t="shared" si="13"/>
        <v/>
      </c>
      <c r="X39" s="9" t="str">
        <f t="shared" si="13"/>
        <v/>
      </c>
      <c r="Y39" s="9" t="str">
        <f t="shared" si="13"/>
        <v/>
      </c>
      <c r="Z39" s="9" t="str">
        <f t="shared" si="13"/>
        <v/>
      </c>
      <c r="AA39" s="9" t="str">
        <f t="shared" si="13"/>
        <v/>
      </c>
      <c r="AB39" s="10" t="str">
        <f t="shared" si="13"/>
        <v/>
      </c>
    </row>
    <row r="40" spans="4:28" x14ac:dyDescent="0.3">
      <c r="D40" s="11" t="str">
        <f t="shared" si="14"/>
        <v/>
      </c>
      <c r="E40" s="12" t="str">
        <f t="shared" si="12"/>
        <v/>
      </c>
      <c r="F40" s="12" t="str">
        <f t="shared" si="12"/>
        <v/>
      </c>
      <c r="G40" s="12" t="str">
        <f t="shared" si="12"/>
        <v/>
      </c>
      <c r="H40" s="12" t="str">
        <f t="shared" si="12"/>
        <v/>
      </c>
      <c r="I40" s="12" t="str">
        <f t="shared" si="12"/>
        <v/>
      </c>
      <c r="J40" s="12" t="str">
        <f t="shared" si="12"/>
        <v/>
      </c>
      <c r="K40" s="12" t="str">
        <f t="shared" si="12"/>
        <v/>
      </c>
      <c r="L40" s="12" t="str">
        <f t="shared" si="12"/>
        <v/>
      </c>
      <c r="M40" s="12" t="str">
        <f t="shared" si="12"/>
        <v/>
      </c>
      <c r="N40" s="12" t="str">
        <f t="shared" si="12"/>
        <v/>
      </c>
      <c r="O40" s="13" t="str">
        <f t="shared" si="12"/>
        <v/>
      </c>
      <c r="Q40" s="11" t="str">
        <f t="shared" si="15"/>
        <v/>
      </c>
      <c r="R40" s="12" t="str">
        <f t="shared" si="13"/>
        <v/>
      </c>
      <c r="S40" s="12" t="str">
        <f t="shared" si="13"/>
        <v/>
      </c>
      <c r="T40" s="12" t="str">
        <f t="shared" si="13"/>
        <v/>
      </c>
      <c r="U40" s="12" t="str">
        <f t="shared" si="13"/>
        <v/>
      </c>
      <c r="V40" s="12" t="str">
        <f t="shared" si="13"/>
        <v/>
      </c>
      <c r="W40" s="12" t="str">
        <f t="shared" si="13"/>
        <v/>
      </c>
      <c r="X40" s="12" t="str">
        <f t="shared" si="13"/>
        <v/>
      </c>
      <c r="Y40" s="12" t="str">
        <f t="shared" si="13"/>
        <v/>
      </c>
      <c r="Z40" s="12" t="str">
        <f t="shared" si="13"/>
        <v/>
      </c>
      <c r="AA40" s="12" t="str">
        <f t="shared" si="13"/>
        <v/>
      </c>
      <c r="AB40" s="13" t="str">
        <f t="shared" si="13"/>
        <v/>
      </c>
    </row>
    <row r="42" spans="4:28" ht="15.6" x14ac:dyDescent="0.35">
      <c r="D42" s="1" t="s">
        <v>6</v>
      </c>
      <c r="F42" s="1" t="s">
        <v>5</v>
      </c>
      <c r="G42" s="1" t="str">
        <f>IF(B8="","",B8)</f>
        <v/>
      </c>
      <c r="Q42" s="1" t="s">
        <v>50</v>
      </c>
    </row>
    <row r="43" spans="4:28" x14ac:dyDescent="0.3">
      <c r="D43" s="5" t="str">
        <f>IF($B$9="","",$B$9)</f>
        <v/>
      </c>
      <c r="E43" s="6" t="str">
        <f t="shared" ref="E43:O50" si="16">IF($B$9="","",$B$9)</f>
        <v/>
      </c>
      <c r="F43" s="6" t="str">
        <f t="shared" si="16"/>
        <v/>
      </c>
      <c r="G43" s="6" t="str">
        <f t="shared" si="16"/>
        <v/>
      </c>
      <c r="H43" s="6" t="str">
        <f t="shared" si="16"/>
        <v/>
      </c>
      <c r="I43" s="6" t="str">
        <f t="shared" si="16"/>
        <v/>
      </c>
      <c r="J43" s="6" t="str">
        <f t="shared" si="16"/>
        <v/>
      </c>
      <c r="K43" s="6" t="str">
        <f t="shared" si="16"/>
        <v/>
      </c>
      <c r="L43" s="6" t="str">
        <f t="shared" si="16"/>
        <v/>
      </c>
      <c r="M43" s="6" t="str">
        <f t="shared" si="16"/>
        <v/>
      </c>
      <c r="N43" s="6" t="str">
        <f t="shared" si="16"/>
        <v/>
      </c>
      <c r="O43" s="7" t="str">
        <f t="shared" si="16"/>
        <v/>
      </c>
      <c r="Q43" s="5" t="str">
        <f>IF($B$17="","",$B$17)</f>
        <v/>
      </c>
      <c r="R43" s="6" t="str">
        <f t="shared" ref="R43:AB50" si="17">IF($B$17="","",$B$17)</f>
        <v/>
      </c>
      <c r="S43" s="6" t="str">
        <f t="shared" si="17"/>
        <v/>
      </c>
      <c r="T43" s="6" t="str">
        <f t="shared" si="17"/>
        <v/>
      </c>
      <c r="U43" s="6" t="str">
        <f t="shared" si="17"/>
        <v/>
      </c>
      <c r="V43" s="6" t="str">
        <f t="shared" si="17"/>
        <v/>
      </c>
      <c r="W43" s="6" t="str">
        <f t="shared" si="17"/>
        <v/>
      </c>
      <c r="X43" s="6" t="str">
        <f t="shared" si="17"/>
        <v/>
      </c>
      <c r="Y43" s="6" t="str">
        <f t="shared" si="17"/>
        <v/>
      </c>
      <c r="Z43" s="6" t="str">
        <f t="shared" si="17"/>
        <v/>
      </c>
      <c r="AA43" s="6" t="str">
        <f t="shared" si="17"/>
        <v/>
      </c>
      <c r="AB43" s="7" t="str">
        <f t="shared" si="17"/>
        <v/>
      </c>
    </row>
    <row r="44" spans="4:28" x14ac:dyDescent="0.3">
      <c r="D44" s="8" t="str">
        <f t="shared" ref="D44:D50" si="18">IF($B$9="","",$B$9)</f>
        <v/>
      </c>
      <c r="E44" s="9" t="str">
        <f t="shared" si="16"/>
        <v/>
      </c>
      <c r="F44" s="9" t="str">
        <f t="shared" si="16"/>
        <v/>
      </c>
      <c r="G44" s="9" t="str">
        <f t="shared" si="16"/>
        <v/>
      </c>
      <c r="H44" s="9" t="str">
        <f t="shared" si="16"/>
        <v/>
      </c>
      <c r="I44" s="9" t="str">
        <f t="shared" si="16"/>
        <v/>
      </c>
      <c r="J44" s="9" t="str">
        <f t="shared" si="16"/>
        <v/>
      </c>
      <c r="K44" s="9" t="str">
        <f t="shared" si="16"/>
        <v/>
      </c>
      <c r="L44" s="9" t="str">
        <f t="shared" si="16"/>
        <v/>
      </c>
      <c r="M44" s="9" t="str">
        <f t="shared" si="16"/>
        <v/>
      </c>
      <c r="N44" s="9" t="str">
        <f t="shared" si="16"/>
        <v/>
      </c>
      <c r="O44" s="10" t="str">
        <f t="shared" si="16"/>
        <v/>
      </c>
      <c r="Q44" s="8" t="str">
        <f t="shared" ref="Q44:Q50" si="19">IF($B$17="","",$B$17)</f>
        <v/>
      </c>
      <c r="R44" s="9" t="str">
        <f t="shared" si="17"/>
        <v/>
      </c>
      <c r="S44" s="9" t="str">
        <f t="shared" si="17"/>
        <v/>
      </c>
      <c r="T44" s="9" t="str">
        <f t="shared" si="17"/>
        <v/>
      </c>
      <c r="U44" s="9" t="str">
        <f t="shared" si="17"/>
        <v/>
      </c>
      <c r="V44" s="9" t="str">
        <f t="shared" si="17"/>
        <v/>
      </c>
      <c r="W44" s="9" t="str">
        <f t="shared" si="17"/>
        <v/>
      </c>
      <c r="X44" s="9" t="str">
        <f t="shared" si="17"/>
        <v/>
      </c>
      <c r="Y44" s="9" t="str">
        <f t="shared" si="17"/>
        <v/>
      </c>
      <c r="Z44" s="9" t="str">
        <f t="shared" si="17"/>
        <v/>
      </c>
      <c r="AA44" s="9" t="str">
        <f t="shared" si="17"/>
        <v/>
      </c>
      <c r="AB44" s="10" t="str">
        <f t="shared" si="17"/>
        <v/>
      </c>
    </row>
    <row r="45" spans="4:28" x14ac:dyDescent="0.3">
      <c r="D45" s="8" t="str">
        <f t="shared" si="18"/>
        <v/>
      </c>
      <c r="E45" s="9" t="str">
        <f t="shared" si="16"/>
        <v/>
      </c>
      <c r="F45" s="9" t="str">
        <f t="shared" si="16"/>
        <v/>
      </c>
      <c r="G45" s="9" t="str">
        <f t="shared" si="16"/>
        <v/>
      </c>
      <c r="H45" s="9" t="str">
        <f t="shared" si="16"/>
        <v/>
      </c>
      <c r="I45" s="9" t="str">
        <f t="shared" si="16"/>
        <v/>
      </c>
      <c r="J45" s="9" t="str">
        <f t="shared" si="16"/>
        <v/>
      </c>
      <c r="K45" s="9" t="str">
        <f t="shared" si="16"/>
        <v/>
      </c>
      <c r="L45" s="9" t="str">
        <f t="shared" si="16"/>
        <v/>
      </c>
      <c r="M45" s="9" t="str">
        <f t="shared" si="16"/>
        <v/>
      </c>
      <c r="N45" s="9" t="str">
        <f t="shared" si="16"/>
        <v/>
      </c>
      <c r="O45" s="10" t="str">
        <f t="shared" si="16"/>
        <v/>
      </c>
      <c r="Q45" s="8" t="str">
        <f t="shared" si="19"/>
        <v/>
      </c>
      <c r="R45" s="9" t="str">
        <f t="shared" si="17"/>
        <v/>
      </c>
      <c r="S45" s="9" t="str">
        <f t="shared" si="17"/>
        <v/>
      </c>
      <c r="T45" s="9" t="str">
        <f t="shared" si="17"/>
        <v/>
      </c>
      <c r="U45" s="9" t="str">
        <f t="shared" si="17"/>
        <v/>
      </c>
      <c r="V45" s="9" t="str">
        <f t="shared" si="17"/>
        <v/>
      </c>
      <c r="W45" s="9" t="str">
        <f t="shared" si="17"/>
        <v/>
      </c>
      <c r="X45" s="9" t="str">
        <f t="shared" si="17"/>
        <v/>
      </c>
      <c r="Y45" s="9" t="str">
        <f t="shared" si="17"/>
        <v/>
      </c>
      <c r="Z45" s="9" t="str">
        <f t="shared" si="17"/>
        <v/>
      </c>
      <c r="AA45" s="9" t="str">
        <f t="shared" si="17"/>
        <v/>
      </c>
      <c r="AB45" s="10" t="str">
        <f t="shared" si="17"/>
        <v/>
      </c>
    </row>
    <row r="46" spans="4:28" x14ac:dyDescent="0.3">
      <c r="D46" s="8" t="str">
        <f t="shared" si="18"/>
        <v/>
      </c>
      <c r="E46" s="9" t="str">
        <f t="shared" si="16"/>
        <v/>
      </c>
      <c r="F46" s="9" t="str">
        <f t="shared" si="16"/>
        <v/>
      </c>
      <c r="G46" s="9" t="str">
        <f t="shared" si="16"/>
        <v/>
      </c>
      <c r="H46" s="9" t="str">
        <f t="shared" si="16"/>
        <v/>
      </c>
      <c r="I46" s="9" t="str">
        <f t="shared" si="16"/>
        <v/>
      </c>
      <c r="J46" s="9" t="str">
        <f t="shared" si="16"/>
        <v/>
      </c>
      <c r="K46" s="9" t="str">
        <f t="shared" si="16"/>
        <v/>
      </c>
      <c r="L46" s="9" t="str">
        <f t="shared" si="16"/>
        <v/>
      </c>
      <c r="M46" s="9" t="str">
        <f t="shared" si="16"/>
        <v/>
      </c>
      <c r="N46" s="9" t="str">
        <f t="shared" si="16"/>
        <v/>
      </c>
      <c r="O46" s="10" t="str">
        <f t="shared" si="16"/>
        <v/>
      </c>
      <c r="Q46" s="8" t="str">
        <f t="shared" si="19"/>
        <v/>
      </c>
      <c r="R46" s="9" t="str">
        <f t="shared" si="17"/>
        <v/>
      </c>
      <c r="S46" s="9" t="str">
        <f t="shared" si="17"/>
        <v/>
      </c>
      <c r="T46" s="9" t="str">
        <f t="shared" si="17"/>
        <v/>
      </c>
      <c r="U46" s="9" t="str">
        <f t="shared" si="17"/>
        <v/>
      </c>
      <c r="V46" s="9" t="str">
        <f t="shared" si="17"/>
        <v/>
      </c>
      <c r="W46" s="9" t="str">
        <f t="shared" si="17"/>
        <v/>
      </c>
      <c r="X46" s="9" t="str">
        <f t="shared" si="17"/>
        <v/>
      </c>
      <c r="Y46" s="9" t="str">
        <f t="shared" si="17"/>
        <v/>
      </c>
      <c r="Z46" s="9" t="str">
        <f t="shared" si="17"/>
        <v/>
      </c>
      <c r="AA46" s="9" t="str">
        <f t="shared" si="17"/>
        <v/>
      </c>
      <c r="AB46" s="10" t="str">
        <f t="shared" si="17"/>
        <v/>
      </c>
    </row>
    <row r="47" spans="4:28" x14ac:dyDescent="0.3">
      <c r="D47" s="8" t="str">
        <f t="shared" si="18"/>
        <v/>
      </c>
      <c r="E47" s="9" t="str">
        <f t="shared" si="16"/>
        <v/>
      </c>
      <c r="F47" s="9" t="str">
        <f t="shared" si="16"/>
        <v/>
      </c>
      <c r="G47" s="9" t="str">
        <f t="shared" si="16"/>
        <v/>
      </c>
      <c r="H47" s="9" t="str">
        <f t="shared" si="16"/>
        <v/>
      </c>
      <c r="I47" s="9" t="str">
        <f t="shared" si="16"/>
        <v/>
      </c>
      <c r="J47" s="9" t="str">
        <f t="shared" si="16"/>
        <v/>
      </c>
      <c r="K47" s="9" t="str">
        <f t="shared" si="16"/>
        <v/>
      </c>
      <c r="L47" s="9" t="str">
        <f t="shared" si="16"/>
        <v/>
      </c>
      <c r="M47" s="9" t="str">
        <f t="shared" si="16"/>
        <v/>
      </c>
      <c r="N47" s="9" t="str">
        <f t="shared" si="16"/>
        <v/>
      </c>
      <c r="O47" s="10" t="str">
        <f t="shared" si="16"/>
        <v/>
      </c>
      <c r="Q47" s="8" t="str">
        <f t="shared" si="19"/>
        <v/>
      </c>
      <c r="R47" s="9" t="str">
        <f t="shared" si="17"/>
        <v/>
      </c>
      <c r="S47" s="9" t="str">
        <f t="shared" si="17"/>
        <v/>
      </c>
      <c r="T47" s="9" t="str">
        <f t="shared" si="17"/>
        <v/>
      </c>
      <c r="U47" s="9" t="str">
        <f t="shared" si="17"/>
        <v/>
      </c>
      <c r="V47" s="9" t="str">
        <f t="shared" si="17"/>
        <v/>
      </c>
      <c r="W47" s="9" t="str">
        <f t="shared" si="17"/>
        <v/>
      </c>
      <c r="X47" s="9" t="str">
        <f t="shared" si="17"/>
        <v/>
      </c>
      <c r="Y47" s="9" t="str">
        <f t="shared" si="17"/>
        <v/>
      </c>
      <c r="Z47" s="9" t="str">
        <f t="shared" si="17"/>
        <v/>
      </c>
      <c r="AA47" s="9" t="str">
        <f t="shared" si="17"/>
        <v/>
      </c>
      <c r="AB47" s="10" t="str">
        <f t="shared" si="17"/>
        <v/>
      </c>
    </row>
    <row r="48" spans="4:28" x14ac:dyDescent="0.3">
      <c r="D48" s="8" t="str">
        <f t="shared" si="18"/>
        <v/>
      </c>
      <c r="E48" s="9" t="str">
        <f t="shared" si="16"/>
        <v/>
      </c>
      <c r="F48" s="9" t="str">
        <f t="shared" si="16"/>
        <v/>
      </c>
      <c r="G48" s="9" t="str">
        <f t="shared" si="16"/>
        <v/>
      </c>
      <c r="H48" s="9" t="str">
        <f t="shared" si="16"/>
        <v/>
      </c>
      <c r="I48" s="9" t="str">
        <f t="shared" si="16"/>
        <v/>
      </c>
      <c r="J48" s="9" t="str">
        <f t="shared" si="16"/>
        <v/>
      </c>
      <c r="K48" s="9" t="str">
        <f t="shared" si="16"/>
        <v/>
      </c>
      <c r="L48" s="9" t="str">
        <f t="shared" si="16"/>
        <v/>
      </c>
      <c r="M48" s="9" t="str">
        <f t="shared" si="16"/>
        <v/>
      </c>
      <c r="N48" s="9" t="str">
        <f t="shared" si="16"/>
        <v/>
      </c>
      <c r="O48" s="10" t="str">
        <f t="shared" si="16"/>
        <v/>
      </c>
      <c r="Q48" s="8" t="str">
        <f t="shared" si="19"/>
        <v/>
      </c>
      <c r="R48" s="9" t="str">
        <f t="shared" si="17"/>
        <v/>
      </c>
      <c r="S48" s="9" t="str">
        <f t="shared" si="17"/>
        <v/>
      </c>
      <c r="T48" s="9" t="str">
        <f t="shared" si="17"/>
        <v/>
      </c>
      <c r="U48" s="9" t="str">
        <f t="shared" si="17"/>
        <v/>
      </c>
      <c r="V48" s="9" t="str">
        <f t="shared" si="17"/>
        <v/>
      </c>
      <c r="W48" s="9" t="str">
        <f t="shared" si="17"/>
        <v/>
      </c>
      <c r="X48" s="9" t="str">
        <f t="shared" si="17"/>
        <v/>
      </c>
      <c r="Y48" s="9" t="str">
        <f t="shared" si="17"/>
        <v/>
      </c>
      <c r="Z48" s="9" t="str">
        <f t="shared" si="17"/>
        <v/>
      </c>
      <c r="AA48" s="9" t="str">
        <f t="shared" si="17"/>
        <v/>
      </c>
      <c r="AB48" s="10" t="str">
        <f t="shared" si="17"/>
        <v/>
      </c>
    </row>
    <row r="49" spans="4:28" x14ac:dyDescent="0.3">
      <c r="D49" s="8" t="str">
        <f t="shared" si="18"/>
        <v/>
      </c>
      <c r="E49" s="9" t="str">
        <f t="shared" si="16"/>
        <v/>
      </c>
      <c r="F49" s="9" t="str">
        <f t="shared" si="16"/>
        <v/>
      </c>
      <c r="G49" s="9" t="str">
        <f t="shared" si="16"/>
        <v/>
      </c>
      <c r="H49" s="9" t="str">
        <f t="shared" si="16"/>
        <v/>
      </c>
      <c r="I49" s="9" t="str">
        <f t="shared" si="16"/>
        <v/>
      </c>
      <c r="J49" s="9" t="str">
        <f t="shared" si="16"/>
        <v/>
      </c>
      <c r="K49" s="9" t="str">
        <f t="shared" si="16"/>
        <v/>
      </c>
      <c r="L49" s="9" t="str">
        <f t="shared" si="16"/>
        <v/>
      </c>
      <c r="M49" s="9" t="str">
        <f t="shared" si="16"/>
        <v/>
      </c>
      <c r="N49" s="9" t="str">
        <f t="shared" si="16"/>
        <v/>
      </c>
      <c r="O49" s="10" t="str">
        <f t="shared" si="16"/>
        <v/>
      </c>
      <c r="Q49" s="8" t="str">
        <f t="shared" si="19"/>
        <v/>
      </c>
      <c r="R49" s="9" t="str">
        <f t="shared" si="17"/>
        <v/>
      </c>
      <c r="S49" s="9" t="str">
        <f t="shared" si="17"/>
        <v/>
      </c>
      <c r="T49" s="9" t="str">
        <f t="shared" si="17"/>
        <v/>
      </c>
      <c r="U49" s="9" t="str">
        <f t="shared" si="17"/>
        <v/>
      </c>
      <c r="V49" s="9" t="str">
        <f t="shared" si="17"/>
        <v/>
      </c>
      <c r="W49" s="9" t="str">
        <f t="shared" si="17"/>
        <v/>
      </c>
      <c r="X49" s="9" t="str">
        <f t="shared" si="17"/>
        <v/>
      </c>
      <c r="Y49" s="9" t="str">
        <f t="shared" si="17"/>
        <v/>
      </c>
      <c r="Z49" s="9" t="str">
        <f t="shared" si="17"/>
        <v/>
      </c>
      <c r="AA49" s="9" t="str">
        <f t="shared" si="17"/>
        <v/>
      </c>
      <c r="AB49" s="10" t="str">
        <f t="shared" si="17"/>
        <v/>
      </c>
    </row>
    <row r="50" spans="4:28" x14ac:dyDescent="0.3">
      <c r="D50" s="11" t="str">
        <f t="shared" si="18"/>
        <v/>
      </c>
      <c r="E50" s="12" t="str">
        <f t="shared" si="16"/>
        <v/>
      </c>
      <c r="F50" s="12" t="str">
        <f t="shared" si="16"/>
        <v/>
      </c>
      <c r="G50" s="12" t="str">
        <f t="shared" si="16"/>
        <v/>
      </c>
      <c r="H50" s="12" t="str">
        <f t="shared" si="16"/>
        <v/>
      </c>
      <c r="I50" s="12" t="str">
        <f t="shared" si="16"/>
        <v/>
      </c>
      <c r="J50" s="12" t="str">
        <f t="shared" si="16"/>
        <v/>
      </c>
      <c r="K50" s="12" t="str">
        <f t="shared" si="16"/>
        <v/>
      </c>
      <c r="L50" s="12" t="str">
        <f t="shared" si="16"/>
        <v/>
      </c>
      <c r="M50" s="12" t="str">
        <f t="shared" si="16"/>
        <v/>
      </c>
      <c r="N50" s="12" t="str">
        <f t="shared" si="16"/>
        <v/>
      </c>
      <c r="O50" s="13" t="str">
        <f t="shared" si="16"/>
        <v/>
      </c>
      <c r="Q50" s="11" t="str">
        <f t="shared" si="19"/>
        <v/>
      </c>
      <c r="R50" s="12" t="str">
        <f t="shared" si="17"/>
        <v/>
      </c>
      <c r="S50" s="12" t="str">
        <f t="shared" si="17"/>
        <v/>
      </c>
      <c r="T50" s="12" t="str">
        <f t="shared" si="17"/>
        <v/>
      </c>
      <c r="U50" s="12" t="str">
        <f t="shared" si="17"/>
        <v/>
      </c>
      <c r="V50" s="12" t="str">
        <f t="shared" si="17"/>
        <v/>
      </c>
      <c r="W50" s="12" t="str">
        <f t="shared" si="17"/>
        <v/>
      </c>
      <c r="X50" s="12" t="str">
        <f t="shared" si="17"/>
        <v/>
      </c>
      <c r="Y50" s="12" t="str">
        <f t="shared" si="17"/>
        <v/>
      </c>
      <c r="Z50" s="12" t="str">
        <f t="shared" si="17"/>
        <v/>
      </c>
      <c r="AA50" s="12" t="str">
        <f t="shared" si="17"/>
        <v/>
      </c>
      <c r="AB50" s="13" t="str">
        <f t="shared" si="17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64B0-860A-4ED2-A538-9439F0A2C4BB}">
  <sheetPr codeName="Sheet2"/>
  <dimension ref="B2:BC62"/>
  <sheetViews>
    <sheetView zoomScale="90" zoomScaleNormal="90" workbookViewId="0">
      <selection activeCell="I17" sqref="I17"/>
    </sheetView>
  </sheetViews>
  <sheetFormatPr defaultRowHeight="14.4" x14ac:dyDescent="0.3"/>
  <cols>
    <col min="1" max="16384" width="8.88671875" style="1"/>
  </cols>
  <sheetData>
    <row r="2" spans="2:55" x14ac:dyDescent="0.3">
      <c r="B2" s="36" t="s">
        <v>8</v>
      </c>
      <c r="C2" s="36"/>
      <c r="D2" s="36"/>
      <c r="E2" s="36"/>
      <c r="F2" s="36" t="s">
        <v>11</v>
      </c>
      <c r="J2" s="4" t="s">
        <v>13</v>
      </c>
      <c r="M2" s="36" t="s">
        <v>10</v>
      </c>
      <c r="N2" s="36" t="s">
        <v>12</v>
      </c>
      <c r="P2" s="1" t="s">
        <v>9</v>
      </c>
      <c r="AO2" s="36" t="s">
        <v>70</v>
      </c>
      <c r="AS2" s="36" t="s">
        <v>71</v>
      </c>
      <c r="AW2" s="4" t="s">
        <v>72</v>
      </c>
      <c r="AZ2" s="36" t="s">
        <v>10</v>
      </c>
      <c r="BA2" s="36" t="s">
        <v>12</v>
      </c>
      <c r="BC2" s="1" t="s">
        <v>73</v>
      </c>
    </row>
    <row r="3" spans="2:55" x14ac:dyDescent="0.3">
      <c r="B3" s="14"/>
      <c r="C3" s="15"/>
      <c r="D3" s="16"/>
      <c r="F3" s="5"/>
      <c r="G3" s="6"/>
      <c r="H3" s="7"/>
      <c r="J3" s="37" t="str">
        <f>IF(B3="","",B3-F3)</f>
        <v/>
      </c>
      <c r="K3" s="38" t="str">
        <f t="shared" ref="K3:L3" si="0">IF(C3="","",C3-G3)</f>
        <v/>
      </c>
      <c r="L3" s="39" t="str">
        <f t="shared" si="0"/>
        <v/>
      </c>
      <c r="M3" s="48" t="str">
        <f>IF(J3="","",AVERAGE(J3:L3))</f>
        <v/>
      </c>
      <c r="N3" s="48" t="str">
        <f>IF(J3="","",STDEV(J3:L3))</f>
        <v/>
      </c>
      <c r="P3" s="79"/>
      <c r="AO3" s="70"/>
      <c r="AP3" s="71"/>
      <c r="AQ3" s="72"/>
      <c r="AS3" s="5"/>
      <c r="AT3" s="6"/>
      <c r="AU3" s="7"/>
      <c r="AW3" s="37" t="str">
        <f>IF(AO3="","",AO3-AS3)</f>
        <v/>
      </c>
      <c r="AX3" s="38" t="str">
        <f t="shared" ref="AX3:AX10" si="1">IF(AP3="","",AP3-AT3)</f>
        <v/>
      </c>
      <c r="AY3" s="39" t="str">
        <f t="shared" ref="AY3:AY9" si="2">IF(AQ3="","",AQ3-AU3)</f>
        <v/>
      </c>
      <c r="AZ3" s="48" t="str">
        <f>IF(AW3="","",AVERAGE(AW3:AY3))</f>
        <v/>
      </c>
      <c r="BA3" s="48" t="str">
        <f>IF(AW3="","",STDEV(AW3:AY3))</f>
        <v/>
      </c>
      <c r="BC3" s="67"/>
    </row>
    <row r="4" spans="2:55" x14ac:dyDescent="0.3">
      <c r="B4" s="17"/>
      <c r="C4" s="18"/>
      <c r="D4" s="19"/>
      <c r="F4" s="8"/>
      <c r="G4" s="9"/>
      <c r="H4" s="10"/>
      <c r="J4" s="41" t="str">
        <f t="shared" ref="J4:J10" si="3">IF(B4="","",B4-F4)</f>
        <v/>
      </c>
      <c r="K4" s="42" t="str">
        <f t="shared" ref="K4:K10" si="4">IF(C4="","",C4-G4)</f>
        <v/>
      </c>
      <c r="L4" s="43" t="str">
        <f t="shared" ref="L4:L10" si="5">IF(D4="","",D4-H4)</f>
        <v/>
      </c>
      <c r="M4" s="49" t="str">
        <f t="shared" ref="M4:M10" si="6">IF(J4="","",AVERAGE(J4:L4))</f>
        <v/>
      </c>
      <c r="N4" s="49" t="str">
        <f t="shared" ref="N4:N10" si="7">IF(J4="","",STDEV(J4:L4))</f>
        <v/>
      </c>
      <c r="P4" s="80"/>
      <c r="AO4" s="73"/>
      <c r="AP4" s="74"/>
      <c r="AQ4" s="75"/>
      <c r="AS4" s="8"/>
      <c r="AT4" s="9"/>
      <c r="AU4" s="10"/>
      <c r="AW4" s="41" t="str">
        <f t="shared" ref="AW4:AW10" si="8">IF(AO4="","",AO4-AS4)</f>
        <v/>
      </c>
      <c r="AX4" s="42" t="str">
        <f t="shared" si="1"/>
        <v/>
      </c>
      <c r="AY4" s="43" t="str">
        <f t="shared" si="2"/>
        <v/>
      </c>
      <c r="AZ4" s="49" t="str">
        <f t="shared" ref="AZ4:AZ10" si="9">IF(AW4="","",AVERAGE(AW4:AY4))</f>
        <v/>
      </c>
      <c r="BA4" s="49" t="str">
        <f t="shared" ref="BA4:BA10" si="10">IF(AW4="","",STDEV(AW4:AY4))</f>
        <v/>
      </c>
      <c r="BC4" s="68"/>
    </row>
    <row r="5" spans="2:55" x14ac:dyDescent="0.3">
      <c r="B5" s="17"/>
      <c r="C5" s="18"/>
      <c r="D5" s="19"/>
      <c r="F5" s="8"/>
      <c r="G5" s="9"/>
      <c r="H5" s="10"/>
      <c r="J5" s="41" t="str">
        <f t="shared" si="3"/>
        <v/>
      </c>
      <c r="K5" s="42" t="str">
        <f t="shared" si="4"/>
        <v/>
      </c>
      <c r="L5" s="43" t="str">
        <f t="shared" si="5"/>
        <v/>
      </c>
      <c r="M5" s="49" t="str">
        <f t="shared" si="6"/>
        <v/>
      </c>
      <c r="N5" s="49" t="str">
        <f t="shared" si="7"/>
        <v/>
      </c>
      <c r="P5" s="80"/>
      <c r="AO5" s="73"/>
      <c r="AP5" s="74"/>
      <c r="AQ5" s="75"/>
      <c r="AS5" s="8"/>
      <c r="AT5" s="9"/>
      <c r="AU5" s="10"/>
      <c r="AW5" s="41" t="str">
        <f t="shared" si="8"/>
        <v/>
      </c>
      <c r="AX5" s="42" t="str">
        <f t="shared" si="1"/>
        <v/>
      </c>
      <c r="AY5" s="43" t="str">
        <f t="shared" si="2"/>
        <v/>
      </c>
      <c r="AZ5" s="49" t="str">
        <f t="shared" si="9"/>
        <v/>
      </c>
      <c r="BA5" s="49" t="str">
        <f t="shared" si="10"/>
        <v/>
      </c>
      <c r="BC5" s="68"/>
    </row>
    <row r="6" spans="2:55" x14ac:dyDescent="0.3">
      <c r="B6" s="17"/>
      <c r="C6" s="18"/>
      <c r="D6" s="19"/>
      <c r="F6" s="8"/>
      <c r="G6" s="9"/>
      <c r="H6" s="10"/>
      <c r="J6" s="41" t="str">
        <f t="shared" si="3"/>
        <v/>
      </c>
      <c r="K6" s="42" t="str">
        <f t="shared" si="4"/>
        <v/>
      </c>
      <c r="L6" s="43" t="str">
        <f t="shared" si="5"/>
        <v/>
      </c>
      <c r="M6" s="49" t="str">
        <f t="shared" si="6"/>
        <v/>
      </c>
      <c r="N6" s="49" t="str">
        <f t="shared" si="7"/>
        <v/>
      </c>
      <c r="P6" s="80"/>
      <c r="AO6" s="73"/>
      <c r="AP6" s="74"/>
      <c r="AQ6" s="75"/>
      <c r="AS6" s="8"/>
      <c r="AT6" s="9"/>
      <c r="AU6" s="10"/>
      <c r="AW6" s="41" t="str">
        <f t="shared" si="8"/>
        <v/>
      </c>
      <c r="AX6" s="42" t="str">
        <f t="shared" si="1"/>
        <v/>
      </c>
      <c r="AY6" s="43" t="str">
        <f t="shared" si="2"/>
        <v/>
      </c>
      <c r="AZ6" s="49" t="str">
        <f t="shared" si="9"/>
        <v/>
      </c>
      <c r="BA6" s="49" t="str">
        <f t="shared" si="10"/>
        <v/>
      </c>
      <c r="BC6" s="68"/>
    </row>
    <row r="7" spans="2:55" x14ac:dyDescent="0.3">
      <c r="B7" s="17"/>
      <c r="C7" s="18"/>
      <c r="D7" s="19"/>
      <c r="F7" s="8"/>
      <c r="G7" s="9"/>
      <c r="H7" s="10"/>
      <c r="J7" s="41" t="str">
        <f t="shared" si="3"/>
        <v/>
      </c>
      <c r="K7" s="42" t="str">
        <f t="shared" si="4"/>
        <v/>
      </c>
      <c r="L7" s="43" t="str">
        <f t="shared" si="5"/>
        <v/>
      </c>
      <c r="M7" s="49" t="str">
        <f t="shared" si="6"/>
        <v/>
      </c>
      <c r="N7" s="49" t="str">
        <f t="shared" si="7"/>
        <v/>
      </c>
      <c r="P7" s="80"/>
      <c r="AO7" s="73"/>
      <c r="AP7" s="74"/>
      <c r="AQ7" s="75"/>
      <c r="AS7" s="8"/>
      <c r="AT7" s="9"/>
      <c r="AU7" s="10"/>
      <c r="AW7" s="41" t="str">
        <f t="shared" si="8"/>
        <v/>
      </c>
      <c r="AX7" s="42" t="str">
        <f t="shared" si="1"/>
        <v/>
      </c>
      <c r="AY7" s="43" t="str">
        <f t="shared" si="2"/>
        <v/>
      </c>
      <c r="AZ7" s="49" t="str">
        <f t="shared" si="9"/>
        <v/>
      </c>
      <c r="BA7" s="49" t="str">
        <f t="shared" si="10"/>
        <v/>
      </c>
      <c r="BC7" s="68"/>
    </row>
    <row r="8" spans="2:55" x14ac:dyDescent="0.3">
      <c r="B8" s="17"/>
      <c r="C8" s="18"/>
      <c r="D8" s="19"/>
      <c r="F8" s="8"/>
      <c r="G8" s="9"/>
      <c r="H8" s="10"/>
      <c r="J8" s="41" t="str">
        <f t="shared" si="3"/>
        <v/>
      </c>
      <c r="K8" s="42" t="str">
        <f t="shared" si="4"/>
        <v/>
      </c>
      <c r="L8" s="43" t="str">
        <f t="shared" si="5"/>
        <v/>
      </c>
      <c r="M8" s="49" t="str">
        <f t="shared" si="6"/>
        <v/>
      </c>
      <c r="N8" s="49" t="str">
        <f t="shared" si="7"/>
        <v/>
      </c>
      <c r="P8" s="80"/>
      <c r="AO8" s="73"/>
      <c r="AP8" s="74"/>
      <c r="AQ8" s="75"/>
      <c r="AS8" s="8"/>
      <c r="AT8" s="9"/>
      <c r="AU8" s="10"/>
      <c r="AW8" s="41" t="str">
        <f t="shared" si="8"/>
        <v/>
      </c>
      <c r="AX8" s="42" t="str">
        <f t="shared" si="1"/>
        <v/>
      </c>
      <c r="AY8" s="43" t="str">
        <f t="shared" si="2"/>
        <v/>
      </c>
      <c r="AZ8" s="49" t="str">
        <f t="shared" si="9"/>
        <v/>
      </c>
      <c r="BA8" s="49" t="str">
        <f t="shared" si="10"/>
        <v/>
      </c>
      <c r="BC8" s="68"/>
    </row>
    <row r="9" spans="2:55" x14ac:dyDescent="0.3">
      <c r="B9" s="17"/>
      <c r="C9" s="18"/>
      <c r="D9" s="19"/>
      <c r="F9" s="8"/>
      <c r="G9" s="9"/>
      <c r="H9" s="10"/>
      <c r="J9" s="41" t="str">
        <f t="shared" si="3"/>
        <v/>
      </c>
      <c r="K9" s="42" t="str">
        <f t="shared" si="4"/>
        <v/>
      </c>
      <c r="L9" s="43" t="str">
        <f t="shared" si="5"/>
        <v/>
      </c>
      <c r="M9" s="49" t="str">
        <f t="shared" si="6"/>
        <v/>
      </c>
      <c r="N9" s="49" t="str">
        <f t="shared" si="7"/>
        <v/>
      </c>
      <c r="P9" s="80"/>
      <c r="AO9" s="73"/>
      <c r="AP9" s="74"/>
      <c r="AQ9" s="75"/>
      <c r="AS9" s="8"/>
      <c r="AT9" s="9"/>
      <c r="AU9" s="10"/>
      <c r="AW9" s="41" t="str">
        <f t="shared" si="8"/>
        <v/>
      </c>
      <c r="AX9" s="42" t="str">
        <f t="shared" si="1"/>
        <v/>
      </c>
      <c r="AY9" s="43" t="str">
        <f t="shared" si="2"/>
        <v/>
      </c>
      <c r="AZ9" s="49" t="str">
        <f t="shared" si="9"/>
        <v/>
      </c>
      <c r="BA9" s="49" t="str">
        <f t="shared" si="10"/>
        <v/>
      </c>
      <c r="BC9" s="68"/>
    </row>
    <row r="10" spans="2:55" x14ac:dyDescent="0.3">
      <c r="B10" s="20"/>
      <c r="C10" s="21"/>
      <c r="D10" s="22"/>
      <c r="F10" s="11"/>
      <c r="G10" s="12"/>
      <c r="H10" s="13"/>
      <c r="J10" s="44" t="str">
        <f t="shared" si="3"/>
        <v/>
      </c>
      <c r="K10" s="45" t="str">
        <f t="shared" si="4"/>
        <v/>
      </c>
      <c r="L10" s="46" t="str">
        <f t="shared" si="5"/>
        <v/>
      </c>
      <c r="M10" s="50" t="str">
        <f t="shared" si="6"/>
        <v/>
      </c>
      <c r="N10" s="50" t="str">
        <f t="shared" si="7"/>
        <v/>
      </c>
      <c r="P10" s="81"/>
      <c r="AO10" s="76"/>
      <c r="AP10" s="77"/>
      <c r="AQ10" s="78"/>
      <c r="AS10" s="11"/>
      <c r="AT10" s="12"/>
      <c r="AU10" s="13"/>
      <c r="AW10" s="44" t="str">
        <f t="shared" si="8"/>
        <v/>
      </c>
      <c r="AX10" s="45" t="str">
        <f t="shared" si="1"/>
        <v/>
      </c>
      <c r="AY10" s="46" t="str">
        <f>IF(AQ10="","",AQ10-AU10)</f>
        <v/>
      </c>
      <c r="AZ10" s="50" t="str">
        <f t="shared" si="9"/>
        <v/>
      </c>
      <c r="BA10" s="50" t="str">
        <f t="shared" si="10"/>
        <v/>
      </c>
      <c r="BC10" s="69"/>
    </row>
    <row r="18" spans="2:52" x14ac:dyDescent="0.3">
      <c r="B18" s="1" t="s">
        <v>74</v>
      </c>
      <c r="AO18" s="1" t="s">
        <v>75</v>
      </c>
    </row>
    <row r="19" spans="2:52" x14ac:dyDescent="0.3">
      <c r="B19" s="24" t="s">
        <v>14</v>
      </c>
      <c r="C19" s="25"/>
      <c r="AO19" s="24" t="s">
        <v>14</v>
      </c>
      <c r="AP19" s="25"/>
    </row>
    <row r="20" spans="2:52" x14ac:dyDescent="0.3">
      <c r="B20" s="40" t="s">
        <v>15</v>
      </c>
      <c r="C20" s="19"/>
      <c r="AO20" s="40" t="s">
        <v>15</v>
      </c>
      <c r="AP20" s="75"/>
    </row>
    <row r="21" spans="2:52" x14ac:dyDescent="0.3">
      <c r="B21" s="47" t="s">
        <v>16</v>
      </c>
      <c r="C21" s="22"/>
      <c r="AO21" s="47" t="s">
        <v>16</v>
      </c>
      <c r="AP21" s="78"/>
    </row>
    <row r="23" spans="2:52" x14ac:dyDescent="0.3">
      <c r="B23" s="1" t="s">
        <v>17</v>
      </c>
      <c r="O23" s="1" t="s">
        <v>19</v>
      </c>
      <c r="AB23" s="1" t="s">
        <v>39</v>
      </c>
      <c r="AO23" s="1" t="s">
        <v>17</v>
      </c>
    </row>
    <row r="24" spans="2:52" x14ac:dyDescent="0.3">
      <c r="B24" s="1" t="s">
        <v>8</v>
      </c>
      <c r="O24" s="1" t="s">
        <v>8</v>
      </c>
      <c r="AB24" s="1" t="s">
        <v>8</v>
      </c>
      <c r="AO24" s="1" t="s">
        <v>70</v>
      </c>
    </row>
    <row r="25" spans="2:52" x14ac:dyDescent="0.3"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6"/>
      <c r="O25" s="5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  <c r="AB25" s="5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7"/>
      <c r="AO25" s="5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</row>
    <row r="26" spans="2:52" x14ac:dyDescent="0.3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O26" s="8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B26" s="8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0"/>
      <c r="AO26" s="8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10"/>
    </row>
    <row r="27" spans="2:52" x14ac:dyDescent="0.3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O27" s="8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B27" s="8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  <c r="AO27" s="8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10"/>
    </row>
    <row r="28" spans="2:52" x14ac:dyDescent="0.3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  <c r="O28" s="8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B28" s="8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0"/>
      <c r="AO28" s="8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10"/>
    </row>
    <row r="29" spans="2:52" x14ac:dyDescent="0.3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  <c r="O29" s="8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B29" s="8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10"/>
      <c r="AO29" s="8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10"/>
    </row>
    <row r="30" spans="2:52" x14ac:dyDescent="0.3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  <c r="O30" s="8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B30" s="8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0"/>
      <c r="AO30" s="8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10"/>
    </row>
    <row r="31" spans="2:52" x14ac:dyDescent="0.3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  <c r="O31" s="8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B31" s="8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0"/>
      <c r="AO31" s="8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10"/>
    </row>
    <row r="32" spans="2:52" x14ac:dyDescent="0.3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2"/>
      <c r="O32" s="1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B32" s="11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3"/>
      <c r="AO32" s="11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3"/>
    </row>
    <row r="34" spans="2:52" x14ac:dyDescent="0.3">
      <c r="B34" s="1" t="s">
        <v>11</v>
      </c>
      <c r="O34" s="1" t="s">
        <v>11</v>
      </c>
      <c r="AB34" s="1" t="s">
        <v>11</v>
      </c>
      <c r="AO34" s="1" t="s">
        <v>71</v>
      </c>
    </row>
    <row r="35" spans="2:52" x14ac:dyDescent="0.3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O35" s="5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  <c r="AB35" s="5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7"/>
      <c r="AO35" s="5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2:52" x14ac:dyDescent="0.3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  <c r="O36" s="8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B36" s="8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  <c r="AO36" s="8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10"/>
    </row>
    <row r="37" spans="2:52" x14ac:dyDescent="0.3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10"/>
      <c r="O37" s="8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B37" s="8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0"/>
      <c r="AO37" s="8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10"/>
    </row>
    <row r="38" spans="2:52" x14ac:dyDescent="0.3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10"/>
      <c r="O38" s="8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B38" s="8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0"/>
      <c r="AO38" s="8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10"/>
    </row>
    <row r="39" spans="2:52" x14ac:dyDescent="0.3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10"/>
      <c r="O39" s="8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B39" s="8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10"/>
      <c r="AO39" s="8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10"/>
    </row>
    <row r="40" spans="2:52" x14ac:dyDescent="0.3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10"/>
      <c r="O40" s="8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B40" s="8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10"/>
      <c r="AO40" s="8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10"/>
    </row>
    <row r="41" spans="2:52" x14ac:dyDescent="0.3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  <c r="O41" s="8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B41" s="8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10"/>
      <c r="AO41" s="8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10"/>
    </row>
    <row r="42" spans="2:52" x14ac:dyDescent="0.3"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3"/>
      <c r="O42" s="11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  <c r="AB42" s="11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3"/>
      <c r="AO42" s="11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3"/>
    </row>
    <row r="44" spans="2:52" x14ac:dyDescent="0.3">
      <c r="B44" s="1" t="s">
        <v>13</v>
      </c>
      <c r="O44" s="1" t="s">
        <v>13</v>
      </c>
      <c r="AB44" s="1" t="s">
        <v>13</v>
      </c>
      <c r="AO44" s="1" t="s">
        <v>72</v>
      </c>
    </row>
    <row r="45" spans="2:52" x14ac:dyDescent="0.3">
      <c r="B45" s="37" t="str">
        <f>IF(B25="","",B25-B35)</f>
        <v/>
      </c>
      <c r="C45" s="38" t="str">
        <f t="shared" ref="C45:M45" si="11">IF(C25="","",C25-C35)</f>
        <v/>
      </c>
      <c r="D45" s="38" t="str">
        <f t="shared" si="11"/>
        <v/>
      </c>
      <c r="E45" s="38" t="str">
        <f t="shared" si="11"/>
        <v/>
      </c>
      <c r="F45" s="38" t="str">
        <f t="shared" si="11"/>
        <v/>
      </c>
      <c r="G45" s="38" t="str">
        <f t="shared" si="11"/>
        <v/>
      </c>
      <c r="H45" s="38" t="str">
        <f t="shared" si="11"/>
        <v/>
      </c>
      <c r="I45" s="38" t="str">
        <f t="shared" si="11"/>
        <v/>
      </c>
      <c r="J45" s="38" t="str">
        <f t="shared" si="11"/>
        <v/>
      </c>
      <c r="K45" s="38" t="str">
        <f t="shared" si="11"/>
        <v/>
      </c>
      <c r="L45" s="38" t="str">
        <f t="shared" si="11"/>
        <v/>
      </c>
      <c r="M45" s="39" t="str">
        <f t="shared" si="11"/>
        <v/>
      </c>
      <c r="O45" s="37" t="str">
        <f>IF(O25="","",O25-O35)</f>
        <v/>
      </c>
      <c r="P45" s="38" t="str">
        <f t="shared" ref="P45:Z45" si="12">IF(P25="","",P25-P35)</f>
        <v/>
      </c>
      <c r="Q45" s="38" t="str">
        <f t="shared" si="12"/>
        <v/>
      </c>
      <c r="R45" s="38" t="str">
        <f t="shared" si="12"/>
        <v/>
      </c>
      <c r="S45" s="38" t="str">
        <f t="shared" si="12"/>
        <v/>
      </c>
      <c r="T45" s="38" t="str">
        <f t="shared" si="12"/>
        <v/>
      </c>
      <c r="U45" s="38" t="str">
        <f t="shared" si="12"/>
        <v/>
      </c>
      <c r="V45" s="38" t="str">
        <f t="shared" si="12"/>
        <v/>
      </c>
      <c r="W45" s="38" t="str">
        <f t="shared" si="12"/>
        <v/>
      </c>
      <c r="X45" s="38" t="str">
        <f t="shared" si="12"/>
        <v/>
      </c>
      <c r="Y45" s="38" t="str">
        <f t="shared" si="12"/>
        <v/>
      </c>
      <c r="Z45" s="39" t="str">
        <f t="shared" si="12"/>
        <v/>
      </c>
      <c r="AB45" s="37" t="str">
        <f>IF(AB25="","",AB25-AB35)</f>
        <v/>
      </c>
      <c r="AC45" s="38" t="str">
        <f t="shared" ref="AC45:AM45" si="13">IF(AC25="","",AC25-AC35)</f>
        <v/>
      </c>
      <c r="AD45" s="38" t="str">
        <f t="shared" si="13"/>
        <v/>
      </c>
      <c r="AE45" s="38" t="str">
        <f t="shared" si="13"/>
        <v/>
      </c>
      <c r="AF45" s="38" t="str">
        <f t="shared" si="13"/>
        <v/>
      </c>
      <c r="AG45" s="38" t="str">
        <f t="shared" si="13"/>
        <v/>
      </c>
      <c r="AH45" s="38" t="str">
        <f t="shared" si="13"/>
        <v/>
      </c>
      <c r="AI45" s="38" t="str">
        <f t="shared" si="13"/>
        <v/>
      </c>
      <c r="AJ45" s="38" t="str">
        <f t="shared" si="13"/>
        <v/>
      </c>
      <c r="AK45" s="38" t="str">
        <f t="shared" si="13"/>
        <v/>
      </c>
      <c r="AL45" s="38" t="str">
        <f t="shared" si="13"/>
        <v/>
      </c>
      <c r="AM45" s="39" t="str">
        <f t="shared" si="13"/>
        <v/>
      </c>
      <c r="AO45" s="37" t="str">
        <f>IF(AO25="","",IF(AO35="","",AO25-AO35))</f>
        <v/>
      </c>
      <c r="AP45" s="38" t="str">
        <f t="shared" ref="AP45:AZ45" si="14">IF(AP25="","",IF(AP35="","",AP25-AP35))</f>
        <v/>
      </c>
      <c r="AQ45" s="38" t="str">
        <f t="shared" si="14"/>
        <v/>
      </c>
      <c r="AR45" s="38" t="str">
        <f t="shared" si="14"/>
        <v/>
      </c>
      <c r="AS45" s="38" t="str">
        <f t="shared" si="14"/>
        <v/>
      </c>
      <c r="AT45" s="38" t="str">
        <f t="shared" si="14"/>
        <v/>
      </c>
      <c r="AU45" s="38" t="str">
        <f t="shared" si="14"/>
        <v/>
      </c>
      <c r="AV45" s="38" t="str">
        <f t="shared" si="14"/>
        <v/>
      </c>
      <c r="AW45" s="38" t="str">
        <f t="shared" si="14"/>
        <v/>
      </c>
      <c r="AX45" s="38" t="str">
        <f t="shared" si="14"/>
        <v/>
      </c>
      <c r="AY45" s="38" t="str">
        <f t="shared" si="14"/>
        <v/>
      </c>
      <c r="AZ45" s="39" t="str">
        <f t="shared" si="14"/>
        <v/>
      </c>
    </row>
    <row r="46" spans="2:52" x14ac:dyDescent="0.3">
      <c r="B46" s="41" t="str">
        <f t="shared" ref="B46:M46" si="15">IF(B26="","",B26-B36)</f>
        <v/>
      </c>
      <c r="C46" s="42" t="str">
        <f t="shared" si="15"/>
        <v/>
      </c>
      <c r="D46" s="42" t="str">
        <f t="shared" si="15"/>
        <v/>
      </c>
      <c r="E46" s="42" t="str">
        <f t="shared" si="15"/>
        <v/>
      </c>
      <c r="F46" s="42" t="str">
        <f t="shared" si="15"/>
        <v/>
      </c>
      <c r="G46" s="42" t="str">
        <f t="shared" si="15"/>
        <v/>
      </c>
      <c r="H46" s="42" t="str">
        <f t="shared" si="15"/>
        <v/>
      </c>
      <c r="I46" s="42" t="str">
        <f t="shared" si="15"/>
        <v/>
      </c>
      <c r="J46" s="42" t="str">
        <f t="shared" si="15"/>
        <v/>
      </c>
      <c r="K46" s="42" t="str">
        <f t="shared" si="15"/>
        <v/>
      </c>
      <c r="L46" s="42" t="str">
        <f t="shared" si="15"/>
        <v/>
      </c>
      <c r="M46" s="43" t="str">
        <f t="shared" si="15"/>
        <v/>
      </c>
      <c r="O46" s="41" t="str">
        <f t="shared" ref="O46:Z46" si="16">IF(O26="","",O26-O36)</f>
        <v/>
      </c>
      <c r="P46" s="42" t="str">
        <f t="shared" si="16"/>
        <v/>
      </c>
      <c r="Q46" s="42" t="str">
        <f t="shared" si="16"/>
        <v/>
      </c>
      <c r="R46" s="42" t="str">
        <f t="shared" si="16"/>
        <v/>
      </c>
      <c r="S46" s="42" t="str">
        <f t="shared" si="16"/>
        <v/>
      </c>
      <c r="T46" s="42" t="str">
        <f t="shared" si="16"/>
        <v/>
      </c>
      <c r="U46" s="42" t="str">
        <f t="shared" si="16"/>
        <v/>
      </c>
      <c r="V46" s="42" t="str">
        <f t="shared" si="16"/>
        <v/>
      </c>
      <c r="W46" s="42" t="str">
        <f t="shared" si="16"/>
        <v/>
      </c>
      <c r="X46" s="42" t="str">
        <f t="shared" si="16"/>
        <v/>
      </c>
      <c r="Y46" s="42" t="str">
        <f t="shared" si="16"/>
        <v/>
      </c>
      <c r="Z46" s="43" t="str">
        <f t="shared" si="16"/>
        <v/>
      </c>
      <c r="AB46" s="41" t="str">
        <f t="shared" ref="AB46:AM46" si="17">IF(AB26="","",AB26-AB36)</f>
        <v/>
      </c>
      <c r="AC46" s="42" t="str">
        <f t="shared" si="17"/>
        <v/>
      </c>
      <c r="AD46" s="42" t="str">
        <f t="shared" si="17"/>
        <v/>
      </c>
      <c r="AE46" s="42" t="str">
        <f t="shared" si="17"/>
        <v/>
      </c>
      <c r="AF46" s="42" t="str">
        <f t="shared" si="17"/>
        <v/>
      </c>
      <c r="AG46" s="42" t="str">
        <f t="shared" si="17"/>
        <v/>
      </c>
      <c r="AH46" s="42" t="str">
        <f t="shared" si="17"/>
        <v/>
      </c>
      <c r="AI46" s="42" t="str">
        <f t="shared" si="17"/>
        <v/>
      </c>
      <c r="AJ46" s="42" t="str">
        <f t="shared" si="17"/>
        <v/>
      </c>
      <c r="AK46" s="42" t="str">
        <f t="shared" si="17"/>
        <v/>
      </c>
      <c r="AL46" s="42" t="str">
        <f t="shared" si="17"/>
        <v/>
      </c>
      <c r="AM46" s="43" t="str">
        <f t="shared" si="17"/>
        <v/>
      </c>
      <c r="AO46" s="41" t="str">
        <f t="shared" ref="AO46:AZ46" si="18">IF(AO26="","",IF(AO36="","",AO26-AO36))</f>
        <v/>
      </c>
      <c r="AP46" s="42" t="str">
        <f t="shared" si="18"/>
        <v/>
      </c>
      <c r="AQ46" s="42" t="str">
        <f t="shared" si="18"/>
        <v/>
      </c>
      <c r="AR46" s="42" t="str">
        <f t="shared" si="18"/>
        <v/>
      </c>
      <c r="AS46" s="42" t="str">
        <f t="shared" si="18"/>
        <v/>
      </c>
      <c r="AT46" s="42" t="str">
        <f t="shared" si="18"/>
        <v/>
      </c>
      <c r="AU46" s="42" t="str">
        <f t="shared" si="18"/>
        <v/>
      </c>
      <c r="AV46" s="42" t="str">
        <f t="shared" si="18"/>
        <v/>
      </c>
      <c r="AW46" s="42" t="str">
        <f t="shared" si="18"/>
        <v/>
      </c>
      <c r="AX46" s="42" t="str">
        <f t="shared" si="18"/>
        <v/>
      </c>
      <c r="AY46" s="42" t="str">
        <f t="shared" si="18"/>
        <v/>
      </c>
      <c r="AZ46" s="43" t="str">
        <f t="shared" si="18"/>
        <v/>
      </c>
    </row>
    <row r="47" spans="2:52" x14ac:dyDescent="0.3">
      <c r="B47" s="41" t="str">
        <f t="shared" ref="B47:M47" si="19">IF(B27="","",B27-B37)</f>
        <v/>
      </c>
      <c r="C47" s="42" t="str">
        <f t="shared" si="19"/>
        <v/>
      </c>
      <c r="D47" s="42" t="str">
        <f t="shared" si="19"/>
        <v/>
      </c>
      <c r="E47" s="42" t="str">
        <f t="shared" si="19"/>
        <v/>
      </c>
      <c r="F47" s="42" t="str">
        <f t="shared" si="19"/>
        <v/>
      </c>
      <c r="G47" s="42" t="str">
        <f t="shared" si="19"/>
        <v/>
      </c>
      <c r="H47" s="42" t="str">
        <f t="shared" si="19"/>
        <v/>
      </c>
      <c r="I47" s="42" t="str">
        <f t="shared" si="19"/>
        <v/>
      </c>
      <c r="J47" s="42" t="str">
        <f t="shared" si="19"/>
        <v/>
      </c>
      <c r="K47" s="42" t="str">
        <f t="shared" si="19"/>
        <v/>
      </c>
      <c r="L47" s="42" t="str">
        <f t="shared" si="19"/>
        <v/>
      </c>
      <c r="M47" s="43" t="str">
        <f t="shared" si="19"/>
        <v/>
      </c>
      <c r="O47" s="41" t="str">
        <f t="shared" ref="O47:Z47" si="20">IF(O27="","",O27-O37)</f>
        <v/>
      </c>
      <c r="P47" s="42" t="str">
        <f t="shared" si="20"/>
        <v/>
      </c>
      <c r="Q47" s="42" t="str">
        <f t="shared" si="20"/>
        <v/>
      </c>
      <c r="R47" s="42" t="str">
        <f t="shared" si="20"/>
        <v/>
      </c>
      <c r="S47" s="42" t="str">
        <f t="shared" si="20"/>
        <v/>
      </c>
      <c r="T47" s="42" t="str">
        <f t="shared" si="20"/>
        <v/>
      </c>
      <c r="U47" s="42" t="str">
        <f t="shared" si="20"/>
        <v/>
      </c>
      <c r="V47" s="42" t="str">
        <f t="shared" si="20"/>
        <v/>
      </c>
      <c r="W47" s="42" t="str">
        <f t="shared" si="20"/>
        <v/>
      </c>
      <c r="X47" s="42" t="str">
        <f t="shared" si="20"/>
        <v/>
      </c>
      <c r="Y47" s="42" t="str">
        <f t="shared" si="20"/>
        <v/>
      </c>
      <c r="Z47" s="43" t="str">
        <f t="shared" si="20"/>
        <v/>
      </c>
      <c r="AB47" s="41" t="str">
        <f t="shared" ref="AB47:AM47" si="21">IF(AB27="","",AB27-AB37)</f>
        <v/>
      </c>
      <c r="AC47" s="42" t="str">
        <f t="shared" si="21"/>
        <v/>
      </c>
      <c r="AD47" s="42" t="str">
        <f t="shared" si="21"/>
        <v/>
      </c>
      <c r="AE47" s="42" t="str">
        <f t="shared" si="21"/>
        <v/>
      </c>
      <c r="AF47" s="42" t="str">
        <f t="shared" si="21"/>
        <v/>
      </c>
      <c r="AG47" s="42" t="str">
        <f t="shared" si="21"/>
        <v/>
      </c>
      <c r="AH47" s="42" t="str">
        <f t="shared" si="21"/>
        <v/>
      </c>
      <c r="AI47" s="42" t="str">
        <f t="shared" si="21"/>
        <v/>
      </c>
      <c r="AJ47" s="42" t="str">
        <f t="shared" si="21"/>
        <v/>
      </c>
      <c r="AK47" s="42" t="str">
        <f t="shared" si="21"/>
        <v/>
      </c>
      <c r="AL47" s="42" t="str">
        <f t="shared" si="21"/>
        <v/>
      </c>
      <c r="AM47" s="43" t="str">
        <f t="shared" si="21"/>
        <v/>
      </c>
      <c r="AO47" s="41" t="str">
        <f t="shared" ref="AO47:AZ47" si="22">IF(AO27="","",IF(AO37="","",AO27-AO37))</f>
        <v/>
      </c>
      <c r="AP47" s="42" t="str">
        <f t="shared" si="22"/>
        <v/>
      </c>
      <c r="AQ47" s="42" t="str">
        <f t="shared" si="22"/>
        <v/>
      </c>
      <c r="AR47" s="42" t="str">
        <f t="shared" si="22"/>
        <v/>
      </c>
      <c r="AS47" s="42" t="str">
        <f t="shared" si="22"/>
        <v/>
      </c>
      <c r="AT47" s="42" t="str">
        <f t="shared" si="22"/>
        <v/>
      </c>
      <c r="AU47" s="42" t="str">
        <f t="shared" si="22"/>
        <v/>
      </c>
      <c r="AV47" s="42" t="str">
        <f t="shared" si="22"/>
        <v/>
      </c>
      <c r="AW47" s="42" t="str">
        <f t="shared" si="22"/>
        <v/>
      </c>
      <c r="AX47" s="42" t="str">
        <f t="shared" si="22"/>
        <v/>
      </c>
      <c r="AY47" s="42" t="str">
        <f t="shared" si="22"/>
        <v/>
      </c>
      <c r="AZ47" s="43" t="str">
        <f t="shared" si="22"/>
        <v/>
      </c>
    </row>
    <row r="48" spans="2:52" x14ac:dyDescent="0.3">
      <c r="B48" s="41" t="str">
        <f t="shared" ref="B48:M48" si="23">IF(B28="","",B28-B38)</f>
        <v/>
      </c>
      <c r="C48" s="42" t="str">
        <f t="shared" si="23"/>
        <v/>
      </c>
      <c r="D48" s="42" t="str">
        <f t="shared" si="23"/>
        <v/>
      </c>
      <c r="E48" s="42" t="str">
        <f t="shared" si="23"/>
        <v/>
      </c>
      <c r="F48" s="42" t="str">
        <f t="shared" si="23"/>
        <v/>
      </c>
      <c r="G48" s="42" t="str">
        <f t="shared" si="23"/>
        <v/>
      </c>
      <c r="H48" s="42" t="str">
        <f t="shared" si="23"/>
        <v/>
      </c>
      <c r="I48" s="42" t="str">
        <f t="shared" si="23"/>
        <v/>
      </c>
      <c r="J48" s="42" t="str">
        <f t="shared" si="23"/>
        <v/>
      </c>
      <c r="K48" s="42" t="str">
        <f t="shared" si="23"/>
        <v/>
      </c>
      <c r="L48" s="42" t="str">
        <f t="shared" si="23"/>
        <v/>
      </c>
      <c r="M48" s="43" t="str">
        <f t="shared" si="23"/>
        <v/>
      </c>
      <c r="O48" s="41" t="str">
        <f t="shared" ref="O48:Z48" si="24">IF(O28="","",O28-O38)</f>
        <v/>
      </c>
      <c r="P48" s="42" t="str">
        <f t="shared" si="24"/>
        <v/>
      </c>
      <c r="Q48" s="42" t="str">
        <f t="shared" si="24"/>
        <v/>
      </c>
      <c r="R48" s="42" t="str">
        <f t="shared" si="24"/>
        <v/>
      </c>
      <c r="S48" s="42" t="str">
        <f t="shared" si="24"/>
        <v/>
      </c>
      <c r="T48" s="42" t="str">
        <f t="shared" si="24"/>
        <v/>
      </c>
      <c r="U48" s="42" t="str">
        <f t="shared" si="24"/>
        <v/>
      </c>
      <c r="V48" s="42" t="str">
        <f t="shared" si="24"/>
        <v/>
      </c>
      <c r="W48" s="42" t="str">
        <f t="shared" si="24"/>
        <v/>
      </c>
      <c r="X48" s="42" t="str">
        <f t="shared" si="24"/>
        <v/>
      </c>
      <c r="Y48" s="42" t="str">
        <f t="shared" si="24"/>
        <v/>
      </c>
      <c r="Z48" s="43" t="str">
        <f t="shared" si="24"/>
        <v/>
      </c>
      <c r="AB48" s="41" t="str">
        <f t="shared" ref="AB48:AM48" si="25">IF(AB28="","",AB28-AB38)</f>
        <v/>
      </c>
      <c r="AC48" s="42" t="str">
        <f t="shared" si="25"/>
        <v/>
      </c>
      <c r="AD48" s="42" t="str">
        <f t="shared" si="25"/>
        <v/>
      </c>
      <c r="AE48" s="42" t="str">
        <f t="shared" si="25"/>
        <v/>
      </c>
      <c r="AF48" s="42" t="str">
        <f t="shared" si="25"/>
        <v/>
      </c>
      <c r="AG48" s="42" t="str">
        <f t="shared" si="25"/>
        <v/>
      </c>
      <c r="AH48" s="42" t="str">
        <f t="shared" si="25"/>
        <v/>
      </c>
      <c r="AI48" s="42" t="str">
        <f t="shared" si="25"/>
        <v/>
      </c>
      <c r="AJ48" s="42" t="str">
        <f t="shared" si="25"/>
        <v/>
      </c>
      <c r="AK48" s="42" t="str">
        <f t="shared" si="25"/>
        <v/>
      </c>
      <c r="AL48" s="42" t="str">
        <f t="shared" si="25"/>
        <v/>
      </c>
      <c r="AM48" s="43" t="str">
        <f t="shared" si="25"/>
        <v/>
      </c>
      <c r="AO48" s="41" t="str">
        <f t="shared" ref="AO48:AZ48" si="26">IF(AO28="","",IF(AO38="","",AO28-AO38))</f>
        <v/>
      </c>
      <c r="AP48" s="42" t="str">
        <f t="shared" si="26"/>
        <v/>
      </c>
      <c r="AQ48" s="42" t="str">
        <f t="shared" si="26"/>
        <v/>
      </c>
      <c r="AR48" s="42" t="str">
        <f t="shared" si="26"/>
        <v/>
      </c>
      <c r="AS48" s="42" t="str">
        <f t="shared" si="26"/>
        <v/>
      </c>
      <c r="AT48" s="42" t="str">
        <f t="shared" si="26"/>
        <v/>
      </c>
      <c r="AU48" s="42" t="str">
        <f t="shared" si="26"/>
        <v/>
      </c>
      <c r="AV48" s="42" t="str">
        <f t="shared" si="26"/>
        <v/>
      </c>
      <c r="AW48" s="42" t="str">
        <f t="shared" si="26"/>
        <v/>
      </c>
      <c r="AX48" s="42" t="str">
        <f t="shared" si="26"/>
        <v/>
      </c>
      <c r="AY48" s="42" t="str">
        <f t="shared" si="26"/>
        <v/>
      </c>
      <c r="AZ48" s="43" t="str">
        <f t="shared" si="26"/>
        <v/>
      </c>
    </row>
    <row r="49" spans="2:52" x14ac:dyDescent="0.3">
      <c r="B49" s="41" t="str">
        <f t="shared" ref="B49:M49" si="27">IF(B29="","",B29-B39)</f>
        <v/>
      </c>
      <c r="C49" s="42" t="str">
        <f t="shared" si="27"/>
        <v/>
      </c>
      <c r="D49" s="42" t="str">
        <f t="shared" si="27"/>
        <v/>
      </c>
      <c r="E49" s="42" t="str">
        <f t="shared" si="27"/>
        <v/>
      </c>
      <c r="F49" s="42" t="str">
        <f t="shared" si="27"/>
        <v/>
      </c>
      <c r="G49" s="42" t="str">
        <f t="shared" si="27"/>
        <v/>
      </c>
      <c r="H49" s="42" t="str">
        <f t="shared" si="27"/>
        <v/>
      </c>
      <c r="I49" s="42" t="str">
        <f t="shared" si="27"/>
        <v/>
      </c>
      <c r="J49" s="42" t="str">
        <f t="shared" si="27"/>
        <v/>
      </c>
      <c r="K49" s="42" t="str">
        <f t="shared" si="27"/>
        <v/>
      </c>
      <c r="L49" s="42" t="str">
        <f t="shared" si="27"/>
        <v/>
      </c>
      <c r="M49" s="43" t="str">
        <f t="shared" si="27"/>
        <v/>
      </c>
      <c r="O49" s="41" t="str">
        <f t="shared" ref="O49:Z49" si="28">IF(O29="","",O29-O39)</f>
        <v/>
      </c>
      <c r="P49" s="42" t="str">
        <f t="shared" si="28"/>
        <v/>
      </c>
      <c r="Q49" s="42" t="str">
        <f t="shared" si="28"/>
        <v/>
      </c>
      <c r="R49" s="42" t="str">
        <f t="shared" si="28"/>
        <v/>
      </c>
      <c r="S49" s="42" t="str">
        <f t="shared" si="28"/>
        <v/>
      </c>
      <c r="T49" s="42" t="str">
        <f t="shared" si="28"/>
        <v/>
      </c>
      <c r="U49" s="42" t="str">
        <f t="shared" si="28"/>
        <v/>
      </c>
      <c r="V49" s="42" t="str">
        <f t="shared" si="28"/>
        <v/>
      </c>
      <c r="W49" s="42" t="str">
        <f t="shared" si="28"/>
        <v/>
      </c>
      <c r="X49" s="42" t="str">
        <f t="shared" si="28"/>
        <v/>
      </c>
      <c r="Y49" s="42" t="str">
        <f t="shared" si="28"/>
        <v/>
      </c>
      <c r="Z49" s="43" t="str">
        <f t="shared" si="28"/>
        <v/>
      </c>
      <c r="AB49" s="41" t="str">
        <f t="shared" ref="AB49:AM49" si="29">IF(AB29="","",AB29-AB39)</f>
        <v/>
      </c>
      <c r="AC49" s="42" t="str">
        <f t="shared" si="29"/>
        <v/>
      </c>
      <c r="AD49" s="42" t="str">
        <f t="shared" si="29"/>
        <v/>
      </c>
      <c r="AE49" s="42" t="str">
        <f t="shared" si="29"/>
        <v/>
      </c>
      <c r="AF49" s="42" t="str">
        <f t="shared" si="29"/>
        <v/>
      </c>
      <c r="AG49" s="42" t="str">
        <f t="shared" si="29"/>
        <v/>
      </c>
      <c r="AH49" s="42" t="str">
        <f t="shared" si="29"/>
        <v/>
      </c>
      <c r="AI49" s="42" t="str">
        <f t="shared" si="29"/>
        <v/>
      </c>
      <c r="AJ49" s="42" t="str">
        <f t="shared" si="29"/>
        <v/>
      </c>
      <c r="AK49" s="42" t="str">
        <f t="shared" si="29"/>
        <v/>
      </c>
      <c r="AL49" s="42" t="str">
        <f t="shared" si="29"/>
        <v/>
      </c>
      <c r="AM49" s="43" t="str">
        <f t="shared" si="29"/>
        <v/>
      </c>
      <c r="AO49" s="41" t="str">
        <f t="shared" ref="AO49:AZ49" si="30">IF(AO29="","",IF(AO39="","",AO29-AO39))</f>
        <v/>
      </c>
      <c r="AP49" s="42" t="str">
        <f t="shared" si="30"/>
        <v/>
      </c>
      <c r="AQ49" s="42" t="str">
        <f t="shared" si="30"/>
        <v/>
      </c>
      <c r="AR49" s="42" t="str">
        <f t="shared" si="30"/>
        <v/>
      </c>
      <c r="AS49" s="42" t="str">
        <f t="shared" si="30"/>
        <v/>
      </c>
      <c r="AT49" s="42" t="str">
        <f t="shared" si="30"/>
        <v/>
      </c>
      <c r="AU49" s="42" t="str">
        <f t="shared" si="30"/>
        <v/>
      </c>
      <c r="AV49" s="42" t="str">
        <f t="shared" si="30"/>
        <v/>
      </c>
      <c r="AW49" s="42" t="str">
        <f t="shared" si="30"/>
        <v/>
      </c>
      <c r="AX49" s="42" t="str">
        <f t="shared" si="30"/>
        <v/>
      </c>
      <c r="AY49" s="42" t="str">
        <f t="shared" si="30"/>
        <v/>
      </c>
      <c r="AZ49" s="43" t="str">
        <f t="shared" si="30"/>
        <v/>
      </c>
    </row>
    <row r="50" spans="2:52" x14ac:dyDescent="0.3">
      <c r="B50" s="41" t="str">
        <f t="shared" ref="B50:M50" si="31">IF(B30="","",B30-B40)</f>
        <v/>
      </c>
      <c r="C50" s="42" t="str">
        <f t="shared" si="31"/>
        <v/>
      </c>
      <c r="D50" s="42" t="str">
        <f t="shared" si="31"/>
        <v/>
      </c>
      <c r="E50" s="42" t="str">
        <f t="shared" si="31"/>
        <v/>
      </c>
      <c r="F50" s="42" t="str">
        <f t="shared" si="31"/>
        <v/>
      </c>
      <c r="G50" s="42" t="str">
        <f t="shared" si="31"/>
        <v/>
      </c>
      <c r="H50" s="42" t="str">
        <f t="shared" si="31"/>
        <v/>
      </c>
      <c r="I50" s="42" t="str">
        <f t="shared" si="31"/>
        <v/>
      </c>
      <c r="J50" s="42" t="str">
        <f t="shared" si="31"/>
        <v/>
      </c>
      <c r="K50" s="42" t="str">
        <f t="shared" si="31"/>
        <v/>
      </c>
      <c r="L50" s="42" t="str">
        <f t="shared" si="31"/>
        <v/>
      </c>
      <c r="M50" s="43" t="str">
        <f t="shared" si="31"/>
        <v/>
      </c>
      <c r="O50" s="41" t="str">
        <f t="shared" ref="O50:Z50" si="32">IF(O30="","",O30-O40)</f>
        <v/>
      </c>
      <c r="P50" s="42" t="str">
        <f t="shared" si="32"/>
        <v/>
      </c>
      <c r="Q50" s="42" t="str">
        <f t="shared" si="32"/>
        <v/>
      </c>
      <c r="R50" s="42" t="str">
        <f t="shared" si="32"/>
        <v/>
      </c>
      <c r="S50" s="42" t="str">
        <f t="shared" si="32"/>
        <v/>
      </c>
      <c r="T50" s="42" t="str">
        <f t="shared" si="32"/>
        <v/>
      </c>
      <c r="U50" s="42" t="str">
        <f t="shared" si="32"/>
        <v/>
      </c>
      <c r="V50" s="42" t="str">
        <f t="shared" si="32"/>
        <v/>
      </c>
      <c r="W50" s="42" t="str">
        <f t="shared" si="32"/>
        <v/>
      </c>
      <c r="X50" s="42" t="str">
        <f t="shared" si="32"/>
        <v/>
      </c>
      <c r="Y50" s="42" t="str">
        <f t="shared" si="32"/>
        <v/>
      </c>
      <c r="Z50" s="43" t="str">
        <f t="shared" si="32"/>
        <v/>
      </c>
      <c r="AB50" s="41" t="str">
        <f t="shared" ref="AB50:AM50" si="33">IF(AB30="","",AB30-AB40)</f>
        <v/>
      </c>
      <c r="AC50" s="42" t="str">
        <f t="shared" si="33"/>
        <v/>
      </c>
      <c r="AD50" s="42" t="str">
        <f t="shared" si="33"/>
        <v/>
      </c>
      <c r="AE50" s="42" t="str">
        <f t="shared" si="33"/>
        <v/>
      </c>
      <c r="AF50" s="42" t="str">
        <f t="shared" si="33"/>
        <v/>
      </c>
      <c r="AG50" s="42" t="str">
        <f t="shared" si="33"/>
        <v/>
      </c>
      <c r="AH50" s="42" t="str">
        <f t="shared" si="33"/>
        <v/>
      </c>
      <c r="AI50" s="42" t="str">
        <f t="shared" si="33"/>
        <v/>
      </c>
      <c r="AJ50" s="42" t="str">
        <f t="shared" si="33"/>
        <v/>
      </c>
      <c r="AK50" s="42" t="str">
        <f t="shared" si="33"/>
        <v/>
      </c>
      <c r="AL50" s="42" t="str">
        <f t="shared" si="33"/>
        <v/>
      </c>
      <c r="AM50" s="43" t="str">
        <f t="shared" si="33"/>
        <v/>
      </c>
      <c r="AO50" s="41" t="str">
        <f t="shared" ref="AO50:AZ50" si="34">IF(AO30="","",IF(AO40="","",AO30-AO40))</f>
        <v/>
      </c>
      <c r="AP50" s="42" t="str">
        <f t="shared" si="34"/>
        <v/>
      </c>
      <c r="AQ50" s="42" t="str">
        <f t="shared" si="34"/>
        <v/>
      </c>
      <c r="AR50" s="42" t="str">
        <f t="shared" si="34"/>
        <v/>
      </c>
      <c r="AS50" s="42" t="str">
        <f t="shared" si="34"/>
        <v/>
      </c>
      <c r="AT50" s="42" t="str">
        <f t="shared" si="34"/>
        <v/>
      </c>
      <c r="AU50" s="42" t="str">
        <f t="shared" si="34"/>
        <v/>
      </c>
      <c r="AV50" s="42" t="str">
        <f t="shared" si="34"/>
        <v/>
      </c>
      <c r="AW50" s="42" t="str">
        <f t="shared" si="34"/>
        <v/>
      </c>
      <c r="AX50" s="42" t="str">
        <f t="shared" si="34"/>
        <v/>
      </c>
      <c r="AY50" s="42" t="str">
        <f t="shared" si="34"/>
        <v/>
      </c>
      <c r="AZ50" s="43" t="str">
        <f t="shared" si="34"/>
        <v/>
      </c>
    </row>
    <row r="51" spans="2:52" x14ac:dyDescent="0.3">
      <c r="B51" s="41" t="str">
        <f t="shared" ref="B51:M51" si="35">IF(B31="","",B31-B41)</f>
        <v/>
      </c>
      <c r="C51" s="42" t="str">
        <f t="shared" si="35"/>
        <v/>
      </c>
      <c r="D51" s="42" t="str">
        <f t="shared" si="35"/>
        <v/>
      </c>
      <c r="E51" s="42" t="str">
        <f t="shared" si="35"/>
        <v/>
      </c>
      <c r="F51" s="42" t="str">
        <f t="shared" si="35"/>
        <v/>
      </c>
      <c r="G51" s="42" t="str">
        <f t="shared" si="35"/>
        <v/>
      </c>
      <c r="H51" s="42" t="str">
        <f t="shared" si="35"/>
        <v/>
      </c>
      <c r="I51" s="42" t="str">
        <f t="shared" si="35"/>
        <v/>
      </c>
      <c r="J51" s="42" t="str">
        <f t="shared" si="35"/>
        <v/>
      </c>
      <c r="K51" s="42" t="str">
        <f t="shared" si="35"/>
        <v/>
      </c>
      <c r="L51" s="42" t="str">
        <f t="shared" si="35"/>
        <v/>
      </c>
      <c r="M51" s="43" t="str">
        <f t="shared" si="35"/>
        <v/>
      </c>
      <c r="O51" s="41" t="str">
        <f t="shared" ref="O51:Z51" si="36">IF(O31="","",O31-O41)</f>
        <v/>
      </c>
      <c r="P51" s="42" t="str">
        <f t="shared" si="36"/>
        <v/>
      </c>
      <c r="Q51" s="42" t="str">
        <f t="shared" si="36"/>
        <v/>
      </c>
      <c r="R51" s="42" t="str">
        <f t="shared" si="36"/>
        <v/>
      </c>
      <c r="S51" s="42" t="str">
        <f t="shared" si="36"/>
        <v/>
      </c>
      <c r="T51" s="42" t="str">
        <f t="shared" si="36"/>
        <v/>
      </c>
      <c r="U51" s="42" t="str">
        <f t="shared" si="36"/>
        <v/>
      </c>
      <c r="V51" s="42" t="str">
        <f t="shared" si="36"/>
        <v/>
      </c>
      <c r="W51" s="42" t="str">
        <f t="shared" si="36"/>
        <v/>
      </c>
      <c r="X51" s="42" t="str">
        <f t="shared" si="36"/>
        <v/>
      </c>
      <c r="Y51" s="42" t="str">
        <f t="shared" si="36"/>
        <v/>
      </c>
      <c r="Z51" s="43" t="str">
        <f t="shared" si="36"/>
        <v/>
      </c>
      <c r="AB51" s="41" t="str">
        <f t="shared" ref="AB51:AM51" si="37">IF(AB31="","",AB31-AB41)</f>
        <v/>
      </c>
      <c r="AC51" s="42" t="str">
        <f t="shared" si="37"/>
        <v/>
      </c>
      <c r="AD51" s="42" t="str">
        <f t="shared" si="37"/>
        <v/>
      </c>
      <c r="AE51" s="42" t="str">
        <f t="shared" si="37"/>
        <v/>
      </c>
      <c r="AF51" s="42" t="str">
        <f t="shared" si="37"/>
        <v/>
      </c>
      <c r="AG51" s="42" t="str">
        <f t="shared" si="37"/>
        <v/>
      </c>
      <c r="AH51" s="42" t="str">
        <f t="shared" si="37"/>
        <v/>
      </c>
      <c r="AI51" s="42" t="str">
        <f t="shared" si="37"/>
        <v/>
      </c>
      <c r="AJ51" s="42" t="str">
        <f t="shared" si="37"/>
        <v/>
      </c>
      <c r="AK51" s="42" t="str">
        <f t="shared" si="37"/>
        <v/>
      </c>
      <c r="AL51" s="42" t="str">
        <f t="shared" si="37"/>
        <v/>
      </c>
      <c r="AM51" s="43" t="str">
        <f t="shared" si="37"/>
        <v/>
      </c>
      <c r="AO51" s="41" t="str">
        <f t="shared" ref="AO51:AZ51" si="38">IF(AO31="","",IF(AO41="","",AO31-AO41))</f>
        <v/>
      </c>
      <c r="AP51" s="42" t="str">
        <f t="shared" si="38"/>
        <v/>
      </c>
      <c r="AQ51" s="42" t="str">
        <f t="shared" si="38"/>
        <v/>
      </c>
      <c r="AR51" s="42" t="str">
        <f t="shared" si="38"/>
        <v/>
      </c>
      <c r="AS51" s="42" t="str">
        <f t="shared" si="38"/>
        <v/>
      </c>
      <c r="AT51" s="42" t="str">
        <f t="shared" si="38"/>
        <v/>
      </c>
      <c r="AU51" s="42" t="str">
        <f t="shared" si="38"/>
        <v/>
      </c>
      <c r="AV51" s="42" t="str">
        <f t="shared" si="38"/>
        <v/>
      </c>
      <c r="AW51" s="42" t="str">
        <f t="shared" si="38"/>
        <v/>
      </c>
      <c r="AX51" s="42" t="str">
        <f t="shared" si="38"/>
        <v/>
      </c>
      <c r="AY51" s="42" t="str">
        <f t="shared" si="38"/>
        <v/>
      </c>
      <c r="AZ51" s="43" t="str">
        <f t="shared" si="38"/>
        <v/>
      </c>
    </row>
    <row r="52" spans="2:52" x14ac:dyDescent="0.3">
      <c r="B52" s="44" t="str">
        <f t="shared" ref="B52:M52" si="39">IF(B32="","",B32-B42)</f>
        <v/>
      </c>
      <c r="C52" s="45" t="str">
        <f t="shared" si="39"/>
        <v/>
      </c>
      <c r="D52" s="45" t="str">
        <f t="shared" si="39"/>
        <v/>
      </c>
      <c r="E52" s="45" t="str">
        <f t="shared" si="39"/>
        <v/>
      </c>
      <c r="F52" s="45" t="str">
        <f t="shared" si="39"/>
        <v/>
      </c>
      <c r="G52" s="45" t="str">
        <f t="shared" si="39"/>
        <v/>
      </c>
      <c r="H52" s="45" t="str">
        <f t="shared" si="39"/>
        <v/>
      </c>
      <c r="I52" s="45" t="str">
        <f t="shared" si="39"/>
        <v/>
      </c>
      <c r="J52" s="45" t="str">
        <f t="shared" si="39"/>
        <v/>
      </c>
      <c r="K52" s="45" t="str">
        <f t="shared" si="39"/>
        <v/>
      </c>
      <c r="L52" s="45" t="str">
        <f t="shared" si="39"/>
        <v/>
      </c>
      <c r="M52" s="46" t="str">
        <f t="shared" si="39"/>
        <v/>
      </c>
      <c r="O52" s="44" t="str">
        <f t="shared" ref="O52:Z52" si="40">IF(O32="","",O32-O42)</f>
        <v/>
      </c>
      <c r="P52" s="45" t="str">
        <f t="shared" si="40"/>
        <v/>
      </c>
      <c r="Q52" s="45" t="str">
        <f t="shared" si="40"/>
        <v/>
      </c>
      <c r="R52" s="45" t="str">
        <f t="shared" si="40"/>
        <v/>
      </c>
      <c r="S52" s="45" t="str">
        <f t="shared" si="40"/>
        <v/>
      </c>
      <c r="T52" s="45" t="str">
        <f t="shared" si="40"/>
        <v/>
      </c>
      <c r="U52" s="45" t="str">
        <f t="shared" si="40"/>
        <v/>
      </c>
      <c r="V52" s="45" t="str">
        <f t="shared" si="40"/>
        <v/>
      </c>
      <c r="W52" s="45" t="str">
        <f t="shared" si="40"/>
        <v/>
      </c>
      <c r="X52" s="45" t="str">
        <f t="shared" si="40"/>
        <v/>
      </c>
      <c r="Y52" s="45" t="str">
        <f t="shared" si="40"/>
        <v/>
      </c>
      <c r="Z52" s="46" t="str">
        <f t="shared" si="40"/>
        <v/>
      </c>
      <c r="AB52" s="44" t="str">
        <f t="shared" ref="AB52:AM52" si="41">IF(AB32="","",AB32-AB42)</f>
        <v/>
      </c>
      <c r="AC52" s="45" t="str">
        <f t="shared" si="41"/>
        <v/>
      </c>
      <c r="AD52" s="45" t="str">
        <f t="shared" si="41"/>
        <v/>
      </c>
      <c r="AE52" s="45" t="str">
        <f t="shared" si="41"/>
        <v/>
      </c>
      <c r="AF52" s="45" t="str">
        <f t="shared" si="41"/>
        <v/>
      </c>
      <c r="AG52" s="45" t="str">
        <f t="shared" si="41"/>
        <v/>
      </c>
      <c r="AH52" s="45" t="str">
        <f t="shared" si="41"/>
        <v/>
      </c>
      <c r="AI52" s="45" t="str">
        <f t="shared" si="41"/>
        <v/>
      </c>
      <c r="AJ52" s="45" t="str">
        <f t="shared" si="41"/>
        <v/>
      </c>
      <c r="AK52" s="45" t="str">
        <f t="shared" si="41"/>
        <v/>
      </c>
      <c r="AL52" s="45" t="str">
        <f t="shared" si="41"/>
        <v/>
      </c>
      <c r="AM52" s="46" t="str">
        <f t="shared" si="41"/>
        <v/>
      </c>
      <c r="AO52" s="44" t="str">
        <f t="shared" ref="AO52:AZ52" si="42">IF(AO32="","",IF(AO42="","",AO32-AO42))</f>
        <v/>
      </c>
      <c r="AP52" s="45" t="str">
        <f t="shared" si="42"/>
        <v/>
      </c>
      <c r="AQ52" s="45" t="str">
        <f t="shared" si="42"/>
        <v/>
      </c>
      <c r="AR52" s="45" t="str">
        <f t="shared" si="42"/>
        <v/>
      </c>
      <c r="AS52" s="45" t="str">
        <f t="shared" si="42"/>
        <v/>
      </c>
      <c r="AT52" s="45" t="str">
        <f t="shared" si="42"/>
        <v/>
      </c>
      <c r="AU52" s="45" t="str">
        <f t="shared" si="42"/>
        <v/>
      </c>
      <c r="AV52" s="45" t="str">
        <f t="shared" si="42"/>
        <v/>
      </c>
      <c r="AW52" s="45" t="str">
        <f t="shared" si="42"/>
        <v/>
      </c>
      <c r="AX52" s="45" t="str">
        <f t="shared" si="42"/>
        <v/>
      </c>
      <c r="AY52" s="45" t="str">
        <f t="shared" si="42"/>
        <v/>
      </c>
      <c r="AZ52" s="46" t="str">
        <f t="shared" si="42"/>
        <v/>
      </c>
    </row>
    <row r="54" spans="2:52" ht="15.6" x14ac:dyDescent="0.35">
      <c r="B54" s="1" t="s">
        <v>59</v>
      </c>
      <c r="D54" s="1" t="s">
        <v>21</v>
      </c>
      <c r="F54" s="26" t="str">
        <f>IF(SUM(B55:M62)=0,"",MAX(B55:M62))</f>
        <v/>
      </c>
      <c r="O54" s="1" t="s">
        <v>60</v>
      </c>
      <c r="Q54" s="1" t="s">
        <v>22</v>
      </c>
      <c r="S54" s="26" t="str">
        <f>IF(SUM(O55:Z62)=0,"",AVERAGE(O55:Z62))</f>
        <v/>
      </c>
      <c r="AB54" s="1" t="s">
        <v>18</v>
      </c>
      <c r="AO54" s="1" t="s">
        <v>76</v>
      </c>
    </row>
    <row r="55" spans="2:52" x14ac:dyDescent="0.3">
      <c r="B55" s="51" t="str">
        <f>IF(B45="","",B45*$C$20+$C$21)</f>
        <v/>
      </c>
      <c r="C55" s="52" t="str">
        <f t="shared" ref="C55:M55" si="43">IF(C45="","",C45*$C$20+$C$21)</f>
        <v/>
      </c>
      <c r="D55" s="52" t="str">
        <f t="shared" si="43"/>
        <v/>
      </c>
      <c r="E55" s="52" t="str">
        <f t="shared" si="43"/>
        <v/>
      </c>
      <c r="F55" s="52" t="str">
        <f t="shared" si="43"/>
        <v/>
      </c>
      <c r="G55" s="52" t="str">
        <f t="shared" si="43"/>
        <v/>
      </c>
      <c r="H55" s="52" t="str">
        <f t="shared" si="43"/>
        <v/>
      </c>
      <c r="I55" s="52" t="str">
        <f t="shared" si="43"/>
        <v/>
      </c>
      <c r="J55" s="52" t="str">
        <f t="shared" si="43"/>
        <v/>
      </c>
      <c r="K55" s="52" t="str">
        <f t="shared" si="43"/>
        <v/>
      </c>
      <c r="L55" s="52" t="str">
        <f t="shared" si="43"/>
        <v/>
      </c>
      <c r="M55" s="53" t="str">
        <f t="shared" si="43"/>
        <v/>
      </c>
      <c r="O55" s="51" t="str">
        <f t="shared" ref="O55:Z55" si="44">IF(O45="","",O45*$C$20+$C$21)</f>
        <v/>
      </c>
      <c r="P55" s="52" t="str">
        <f t="shared" si="44"/>
        <v/>
      </c>
      <c r="Q55" s="52" t="str">
        <f t="shared" si="44"/>
        <v/>
      </c>
      <c r="R55" s="52" t="str">
        <f t="shared" si="44"/>
        <v/>
      </c>
      <c r="S55" s="52" t="str">
        <f t="shared" si="44"/>
        <v/>
      </c>
      <c r="T55" s="52" t="str">
        <f t="shared" si="44"/>
        <v/>
      </c>
      <c r="U55" s="52" t="str">
        <f t="shared" si="44"/>
        <v/>
      </c>
      <c r="V55" s="52" t="str">
        <f t="shared" si="44"/>
        <v/>
      </c>
      <c r="W55" s="52" t="str">
        <f t="shared" si="44"/>
        <v/>
      </c>
      <c r="X55" s="52" t="str">
        <f t="shared" si="44"/>
        <v/>
      </c>
      <c r="Y55" s="52" t="str">
        <f t="shared" si="44"/>
        <v/>
      </c>
      <c r="Z55" s="53" t="str">
        <f t="shared" si="44"/>
        <v/>
      </c>
      <c r="AB55" s="51" t="str">
        <f t="shared" ref="AB55:AM55" si="45">IF(AB45="","",AB45*$C$20+$C$21)</f>
        <v/>
      </c>
      <c r="AC55" s="52" t="str">
        <f t="shared" si="45"/>
        <v/>
      </c>
      <c r="AD55" s="52" t="str">
        <f t="shared" si="45"/>
        <v/>
      </c>
      <c r="AE55" s="52" t="str">
        <f t="shared" si="45"/>
        <v/>
      </c>
      <c r="AF55" s="52" t="str">
        <f t="shared" si="45"/>
        <v/>
      </c>
      <c r="AG55" s="52" t="str">
        <f t="shared" si="45"/>
        <v/>
      </c>
      <c r="AH55" s="52" t="str">
        <f t="shared" si="45"/>
        <v/>
      </c>
      <c r="AI55" s="52" t="str">
        <f t="shared" si="45"/>
        <v/>
      </c>
      <c r="AJ55" s="52" t="str">
        <f t="shared" si="45"/>
        <v/>
      </c>
      <c r="AK55" s="52" t="str">
        <f t="shared" si="45"/>
        <v/>
      </c>
      <c r="AL55" s="52" t="str">
        <f t="shared" si="45"/>
        <v/>
      </c>
      <c r="AM55" s="53" t="str">
        <f t="shared" si="45"/>
        <v/>
      </c>
      <c r="AO55" s="37" t="str">
        <f>IF(AO45="","",AO45*$AP$20+$AP$21)</f>
        <v/>
      </c>
      <c r="AP55" s="38" t="str">
        <f t="shared" ref="AP55:AZ55" si="46">IF(AP45="","",AP45*$AP$20+$AP$21)</f>
        <v/>
      </c>
      <c r="AQ55" s="38" t="str">
        <f t="shared" si="46"/>
        <v/>
      </c>
      <c r="AR55" s="38" t="str">
        <f t="shared" si="46"/>
        <v/>
      </c>
      <c r="AS55" s="38" t="str">
        <f t="shared" si="46"/>
        <v/>
      </c>
      <c r="AT55" s="38" t="str">
        <f t="shared" si="46"/>
        <v/>
      </c>
      <c r="AU55" s="38" t="str">
        <f t="shared" si="46"/>
        <v/>
      </c>
      <c r="AV55" s="38" t="str">
        <f t="shared" si="46"/>
        <v/>
      </c>
      <c r="AW55" s="38" t="str">
        <f t="shared" si="46"/>
        <v/>
      </c>
      <c r="AX55" s="38" t="str">
        <f t="shared" si="46"/>
        <v/>
      </c>
      <c r="AY55" s="38" t="str">
        <f t="shared" si="46"/>
        <v/>
      </c>
      <c r="AZ55" s="39" t="str">
        <f t="shared" si="46"/>
        <v/>
      </c>
    </row>
    <row r="56" spans="2:52" x14ac:dyDescent="0.3">
      <c r="B56" s="54" t="str">
        <f t="shared" ref="B56:M56" si="47">IF(B46="","",B46*$C$20+$C$21)</f>
        <v/>
      </c>
      <c r="C56" s="55" t="str">
        <f t="shared" si="47"/>
        <v/>
      </c>
      <c r="D56" s="55" t="str">
        <f t="shared" si="47"/>
        <v/>
      </c>
      <c r="E56" s="55" t="str">
        <f t="shared" si="47"/>
        <v/>
      </c>
      <c r="F56" s="55" t="str">
        <f t="shared" si="47"/>
        <v/>
      </c>
      <c r="G56" s="55" t="str">
        <f t="shared" si="47"/>
        <v/>
      </c>
      <c r="H56" s="55" t="str">
        <f t="shared" si="47"/>
        <v/>
      </c>
      <c r="I56" s="55" t="str">
        <f t="shared" si="47"/>
        <v/>
      </c>
      <c r="J56" s="55" t="str">
        <f t="shared" si="47"/>
        <v/>
      </c>
      <c r="K56" s="55" t="str">
        <f t="shared" si="47"/>
        <v/>
      </c>
      <c r="L56" s="55" t="str">
        <f t="shared" si="47"/>
        <v/>
      </c>
      <c r="M56" s="56" t="str">
        <f t="shared" si="47"/>
        <v/>
      </c>
      <c r="O56" s="54" t="str">
        <f t="shared" ref="O56:Z56" si="48">IF(O46="","",O46*$C$20+$C$21)</f>
        <v/>
      </c>
      <c r="P56" s="55" t="str">
        <f t="shared" si="48"/>
        <v/>
      </c>
      <c r="Q56" s="55" t="str">
        <f t="shared" si="48"/>
        <v/>
      </c>
      <c r="R56" s="55" t="str">
        <f t="shared" si="48"/>
        <v/>
      </c>
      <c r="S56" s="55" t="str">
        <f t="shared" si="48"/>
        <v/>
      </c>
      <c r="T56" s="55" t="str">
        <f t="shared" si="48"/>
        <v/>
      </c>
      <c r="U56" s="55" t="str">
        <f t="shared" si="48"/>
        <v/>
      </c>
      <c r="V56" s="55" t="str">
        <f t="shared" si="48"/>
        <v/>
      </c>
      <c r="W56" s="55" t="str">
        <f t="shared" si="48"/>
        <v/>
      </c>
      <c r="X56" s="55" t="str">
        <f t="shared" si="48"/>
        <v/>
      </c>
      <c r="Y56" s="55" t="str">
        <f t="shared" si="48"/>
        <v/>
      </c>
      <c r="Z56" s="56" t="str">
        <f t="shared" si="48"/>
        <v/>
      </c>
      <c r="AB56" s="54" t="str">
        <f t="shared" ref="AB56:AM56" si="49">IF(AB46="","",AB46*$C$20+$C$21)</f>
        <v/>
      </c>
      <c r="AC56" s="55" t="str">
        <f t="shared" si="49"/>
        <v/>
      </c>
      <c r="AD56" s="55" t="str">
        <f t="shared" si="49"/>
        <v/>
      </c>
      <c r="AE56" s="55" t="str">
        <f t="shared" si="49"/>
        <v/>
      </c>
      <c r="AF56" s="55" t="str">
        <f t="shared" si="49"/>
        <v/>
      </c>
      <c r="AG56" s="55" t="str">
        <f t="shared" si="49"/>
        <v/>
      </c>
      <c r="AH56" s="55" t="str">
        <f t="shared" si="49"/>
        <v/>
      </c>
      <c r="AI56" s="55" t="str">
        <f t="shared" si="49"/>
        <v/>
      </c>
      <c r="AJ56" s="55" t="str">
        <f t="shared" si="49"/>
        <v/>
      </c>
      <c r="AK56" s="55" t="str">
        <f t="shared" si="49"/>
        <v/>
      </c>
      <c r="AL56" s="55" t="str">
        <f t="shared" si="49"/>
        <v/>
      </c>
      <c r="AM56" s="56" t="str">
        <f t="shared" si="49"/>
        <v/>
      </c>
      <c r="AO56" s="41" t="str">
        <f t="shared" ref="AO56:AZ56" si="50">IF(AO46="","",AO46*$AP$20+$AP$21)</f>
        <v/>
      </c>
      <c r="AP56" s="42" t="str">
        <f t="shared" si="50"/>
        <v/>
      </c>
      <c r="AQ56" s="42" t="str">
        <f t="shared" si="50"/>
        <v/>
      </c>
      <c r="AR56" s="42" t="str">
        <f t="shared" si="50"/>
        <v/>
      </c>
      <c r="AS56" s="42" t="str">
        <f t="shared" si="50"/>
        <v/>
      </c>
      <c r="AT56" s="42" t="str">
        <f t="shared" si="50"/>
        <v/>
      </c>
      <c r="AU56" s="42" t="str">
        <f t="shared" si="50"/>
        <v/>
      </c>
      <c r="AV56" s="42" t="str">
        <f t="shared" si="50"/>
        <v/>
      </c>
      <c r="AW56" s="42" t="str">
        <f t="shared" si="50"/>
        <v/>
      </c>
      <c r="AX56" s="42" t="str">
        <f t="shared" si="50"/>
        <v/>
      </c>
      <c r="AY56" s="42" t="str">
        <f t="shared" si="50"/>
        <v/>
      </c>
      <c r="AZ56" s="43" t="str">
        <f t="shared" si="50"/>
        <v/>
      </c>
    </row>
    <row r="57" spans="2:52" x14ac:dyDescent="0.3">
      <c r="B57" s="54" t="str">
        <f t="shared" ref="B57:M57" si="51">IF(B47="","",B47*$C$20+$C$21)</f>
        <v/>
      </c>
      <c r="C57" s="55" t="str">
        <f t="shared" si="51"/>
        <v/>
      </c>
      <c r="D57" s="55" t="str">
        <f t="shared" si="51"/>
        <v/>
      </c>
      <c r="E57" s="55" t="str">
        <f t="shared" si="51"/>
        <v/>
      </c>
      <c r="F57" s="55" t="str">
        <f t="shared" si="51"/>
        <v/>
      </c>
      <c r="G57" s="55" t="str">
        <f t="shared" si="51"/>
        <v/>
      </c>
      <c r="H57" s="55" t="str">
        <f t="shared" si="51"/>
        <v/>
      </c>
      <c r="I57" s="55" t="str">
        <f t="shared" si="51"/>
        <v/>
      </c>
      <c r="J57" s="55" t="str">
        <f t="shared" si="51"/>
        <v/>
      </c>
      <c r="K57" s="55" t="str">
        <f t="shared" si="51"/>
        <v/>
      </c>
      <c r="L57" s="55" t="str">
        <f t="shared" si="51"/>
        <v/>
      </c>
      <c r="M57" s="56" t="str">
        <f t="shared" si="51"/>
        <v/>
      </c>
      <c r="O57" s="54" t="str">
        <f t="shared" ref="O57:Z57" si="52">IF(O47="","",O47*$C$20+$C$21)</f>
        <v/>
      </c>
      <c r="P57" s="55" t="str">
        <f t="shared" si="52"/>
        <v/>
      </c>
      <c r="Q57" s="55" t="str">
        <f t="shared" si="52"/>
        <v/>
      </c>
      <c r="R57" s="55" t="str">
        <f t="shared" si="52"/>
        <v/>
      </c>
      <c r="S57" s="55" t="str">
        <f t="shared" si="52"/>
        <v/>
      </c>
      <c r="T57" s="55" t="str">
        <f t="shared" si="52"/>
        <v/>
      </c>
      <c r="U57" s="55" t="str">
        <f t="shared" si="52"/>
        <v/>
      </c>
      <c r="V57" s="55" t="str">
        <f t="shared" si="52"/>
        <v/>
      </c>
      <c r="W57" s="55" t="str">
        <f t="shared" si="52"/>
        <v/>
      </c>
      <c r="X57" s="55" t="str">
        <f t="shared" si="52"/>
        <v/>
      </c>
      <c r="Y57" s="55" t="str">
        <f t="shared" si="52"/>
        <v/>
      </c>
      <c r="Z57" s="56" t="str">
        <f t="shared" si="52"/>
        <v/>
      </c>
      <c r="AB57" s="54" t="str">
        <f t="shared" ref="AB57:AM57" si="53">IF(AB47="","",AB47*$C$20+$C$21)</f>
        <v/>
      </c>
      <c r="AC57" s="55" t="str">
        <f t="shared" si="53"/>
        <v/>
      </c>
      <c r="AD57" s="55" t="str">
        <f t="shared" si="53"/>
        <v/>
      </c>
      <c r="AE57" s="55" t="str">
        <f t="shared" si="53"/>
        <v/>
      </c>
      <c r="AF57" s="55" t="str">
        <f t="shared" si="53"/>
        <v/>
      </c>
      <c r="AG57" s="55" t="str">
        <f t="shared" si="53"/>
        <v/>
      </c>
      <c r="AH57" s="55" t="str">
        <f t="shared" si="53"/>
        <v/>
      </c>
      <c r="AI57" s="55" t="str">
        <f t="shared" si="53"/>
        <v/>
      </c>
      <c r="AJ57" s="55" t="str">
        <f t="shared" si="53"/>
        <v/>
      </c>
      <c r="AK57" s="55" t="str">
        <f t="shared" si="53"/>
        <v/>
      </c>
      <c r="AL57" s="55" t="str">
        <f t="shared" si="53"/>
        <v/>
      </c>
      <c r="AM57" s="56" t="str">
        <f t="shared" si="53"/>
        <v/>
      </c>
      <c r="AO57" s="41" t="str">
        <f t="shared" ref="AO57:AZ57" si="54">IF(AO47="","",AO47*$AP$20+$AP$21)</f>
        <v/>
      </c>
      <c r="AP57" s="42" t="str">
        <f t="shared" si="54"/>
        <v/>
      </c>
      <c r="AQ57" s="42" t="str">
        <f t="shared" si="54"/>
        <v/>
      </c>
      <c r="AR57" s="42" t="str">
        <f t="shared" si="54"/>
        <v/>
      </c>
      <c r="AS57" s="42" t="str">
        <f t="shared" si="54"/>
        <v/>
      </c>
      <c r="AT57" s="42" t="str">
        <f t="shared" si="54"/>
        <v/>
      </c>
      <c r="AU57" s="42" t="str">
        <f t="shared" si="54"/>
        <v/>
      </c>
      <c r="AV57" s="42" t="str">
        <f t="shared" si="54"/>
        <v/>
      </c>
      <c r="AW57" s="42" t="str">
        <f t="shared" si="54"/>
        <v/>
      </c>
      <c r="AX57" s="42" t="str">
        <f t="shared" si="54"/>
        <v/>
      </c>
      <c r="AY57" s="42" t="str">
        <f t="shared" si="54"/>
        <v/>
      </c>
      <c r="AZ57" s="43" t="str">
        <f t="shared" si="54"/>
        <v/>
      </c>
    </row>
    <row r="58" spans="2:52" x14ac:dyDescent="0.3">
      <c r="B58" s="54" t="str">
        <f t="shared" ref="B58:M58" si="55">IF(B48="","",B48*$C$20+$C$21)</f>
        <v/>
      </c>
      <c r="C58" s="55" t="str">
        <f t="shared" si="55"/>
        <v/>
      </c>
      <c r="D58" s="55" t="str">
        <f t="shared" si="55"/>
        <v/>
      </c>
      <c r="E58" s="55" t="str">
        <f t="shared" si="55"/>
        <v/>
      </c>
      <c r="F58" s="55" t="str">
        <f t="shared" si="55"/>
        <v/>
      </c>
      <c r="G58" s="55" t="str">
        <f t="shared" si="55"/>
        <v/>
      </c>
      <c r="H58" s="55" t="str">
        <f t="shared" si="55"/>
        <v/>
      </c>
      <c r="I58" s="55" t="str">
        <f t="shared" si="55"/>
        <v/>
      </c>
      <c r="J58" s="55" t="str">
        <f t="shared" si="55"/>
        <v/>
      </c>
      <c r="K58" s="55" t="str">
        <f t="shared" si="55"/>
        <v/>
      </c>
      <c r="L58" s="55" t="str">
        <f t="shared" si="55"/>
        <v/>
      </c>
      <c r="M58" s="56" t="str">
        <f t="shared" si="55"/>
        <v/>
      </c>
      <c r="O58" s="54" t="str">
        <f t="shared" ref="O58:Z58" si="56">IF(O48="","",O48*$C$20+$C$21)</f>
        <v/>
      </c>
      <c r="P58" s="55" t="str">
        <f t="shared" si="56"/>
        <v/>
      </c>
      <c r="Q58" s="55" t="str">
        <f t="shared" si="56"/>
        <v/>
      </c>
      <c r="R58" s="55" t="str">
        <f t="shared" si="56"/>
        <v/>
      </c>
      <c r="S58" s="55" t="str">
        <f t="shared" si="56"/>
        <v/>
      </c>
      <c r="T58" s="55" t="str">
        <f t="shared" si="56"/>
        <v/>
      </c>
      <c r="U58" s="55" t="str">
        <f t="shared" si="56"/>
        <v/>
      </c>
      <c r="V58" s="55" t="str">
        <f t="shared" si="56"/>
        <v/>
      </c>
      <c r="W58" s="55" t="str">
        <f t="shared" si="56"/>
        <v/>
      </c>
      <c r="X58" s="55" t="str">
        <f t="shared" si="56"/>
        <v/>
      </c>
      <c r="Y58" s="55" t="str">
        <f t="shared" si="56"/>
        <v/>
      </c>
      <c r="Z58" s="56" t="str">
        <f t="shared" si="56"/>
        <v/>
      </c>
      <c r="AB58" s="54" t="str">
        <f t="shared" ref="AB58:AM58" si="57">IF(AB48="","",AB48*$C$20+$C$21)</f>
        <v/>
      </c>
      <c r="AC58" s="55" t="str">
        <f t="shared" si="57"/>
        <v/>
      </c>
      <c r="AD58" s="55" t="str">
        <f t="shared" si="57"/>
        <v/>
      </c>
      <c r="AE58" s="55" t="str">
        <f t="shared" si="57"/>
        <v/>
      </c>
      <c r="AF58" s="55" t="str">
        <f t="shared" si="57"/>
        <v/>
      </c>
      <c r="AG58" s="55" t="str">
        <f t="shared" si="57"/>
        <v/>
      </c>
      <c r="AH58" s="55" t="str">
        <f t="shared" si="57"/>
        <v/>
      </c>
      <c r="AI58" s="55" t="str">
        <f t="shared" si="57"/>
        <v/>
      </c>
      <c r="AJ58" s="55" t="str">
        <f t="shared" si="57"/>
        <v/>
      </c>
      <c r="AK58" s="55" t="str">
        <f t="shared" si="57"/>
        <v/>
      </c>
      <c r="AL58" s="55" t="str">
        <f t="shared" si="57"/>
        <v/>
      </c>
      <c r="AM58" s="56" t="str">
        <f t="shared" si="57"/>
        <v/>
      </c>
      <c r="AO58" s="41" t="str">
        <f t="shared" ref="AO58:AZ58" si="58">IF(AO48="","",AO48*$AP$20+$AP$21)</f>
        <v/>
      </c>
      <c r="AP58" s="42" t="str">
        <f t="shared" si="58"/>
        <v/>
      </c>
      <c r="AQ58" s="42" t="str">
        <f t="shared" si="58"/>
        <v/>
      </c>
      <c r="AR58" s="42" t="str">
        <f t="shared" si="58"/>
        <v/>
      </c>
      <c r="AS58" s="42" t="str">
        <f t="shared" si="58"/>
        <v/>
      </c>
      <c r="AT58" s="42" t="str">
        <f t="shared" si="58"/>
        <v/>
      </c>
      <c r="AU58" s="42" t="str">
        <f t="shared" si="58"/>
        <v/>
      </c>
      <c r="AV58" s="42" t="str">
        <f t="shared" si="58"/>
        <v/>
      </c>
      <c r="AW58" s="42" t="str">
        <f t="shared" si="58"/>
        <v/>
      </c>
      <c r="AX58" s="42" t="str">
        <f t="shared" si="58"/>
        <v/>
      </c>
      <c r="AY58" s="42" t="str">
        <f t="shared" si="58"/>
        <v/>
      </c>
      <c r="AZ58" s="43" t="str">
        <f t="shared" si="58"/>
        <v/>
      </c>
    </row>
    <row r="59" spans="2:52" x14ac:dyDescent="0.3">
      <c r="B59" s="54" t="str">
        <f t="shared" ref="B59:M59" si="59">IF(B49="","",B49*$C$20+$C$21)</f>
        <v/>
      </c>
      <c r="C59" s="55" t="str">
        <f t="shared" si="59"/>
        <v/>
      </c>
      <c r="D59" s="55" t="str">
        <f t="shared" si="59"/>
        <v/>
      </c>
      <c r="E59" s="55" t="str">
        <f t="shared" si="59"/>
        <v/>
      </c>
      <c r="F59" s="55" t="str">
        <f t="shared" si="59"/>
        <v/>
      </c>
      <c r="G59" s="55" t="str">
        <f t="shared" si="59"/>
        <v/>
      </c>
      <c r="H59" s="55" t="str">
        <f t="shared" si="59"/>
        <v/>
      </c>
      <c r="I59" s="55" t="str">
        <f t="shared" si="59"/>
        <v/>
      </c>
      <c r="J59" s="55" t="str">
        <f t="shared" si="59"/>
        <v/>
      </c>
      <c r="K59" s="55" t="str">
        <f t="shared" si="59"/>
        <v/>
      </c>
      <c r="L59" s="55" t="str">
        <f t="shared" si="59"/>
        <v/>
      </c>
      <c r="M59" s="56" t="str">
        <f t="shared" si="59"/>
        <v/>
      </c>
      <c r="O59" s="54" t="str">
        <f t="shared" ref="O59:Z59" si="60">IF(O49="","",O49*$C$20+$C$21)</f>
        <v/>
      </c>
      <c r="P59" s="55" t="str">
        <f t="shared" si="60"/>
        <v/>
      </c>
      <c r="Q59" s="55" t="str">
        <f t="shared" si="60"/>
        <v/>
      </c>
      <c r="R59" s="55" t="str">
        <f t="shared" si="60"/>
        <v/>
      </c>
      <c r="S59" s="55" t="str">
        <f t="shared" si="60"/>
        <v/>
      </c>
      <c r="T59" s="55" t="str">
        <f t="shared" si="60"/>
        <v/>
      </c>
      <c r="U59" s="55" t="str">
        <f t="shared" si="60"/>
        <v/>
      </c>
      <c r="V59" s="55" t="str">
        <f t="shared" si="60"/>
        <v/>
      </c>
      <c r="W59" s="55" t="str">
        <f t="shared" si="60"/>
        <v/>
      </c>
      <c r="X59" s="55" t="str">
        <f t="shared" si="60"/>
        <v/>
      </c>
      <c r="Y59" s="55" t="str">
        <f t="shared" si="60"/>
        <v/>
      </c>
      <c r="Z59" s="56" t="str">
        <f t="shared" si="60"/>
        <v/>
      </c>
      <c r="AB59" s="54" t="str">
        <f t="shared" ref="AB59:AM59" si="61">IF(AB49="","",AB49*$C$20+$C$21)</f>
        <v/>
      </c>
      <c r="AC59" s="55" t="str">
        <f t="shared" si="61"/>
        <v/>
      </c>
      <c r="AD59" s="55" t="str">
        <f t="shared" si="61"/>
        <v/>
      </c>
      <c r="AE59" s="55" t="str">
        <f t="shared" si="61"/>
        <v/>
      </c>
      <c r="AF59" s="55" t="str">
        <f t="shared" si="61"/>
        <v/>
      </c>
      <c r="AG59" s="55" t="str">
        <f t="shared" si="61"/>
        <v/>
      </c>
      <c r="AH59" s="55" t="str">
        <f t="shared" si="61"/>
        <v/>
      </c>
      <c r="AI59" s="55" t="str">
        <f t="shared" si="61"/>
        <v/>
      </c>
      <c r="AJ59" s="55" t="str">
        <f t="shared" si="61"/>
        <v/>
      </c>
      <c r="AK59" s="55" t="str">
        <f t="shared" si="61"/>
        <v/>
      </c>
      <c r="AL59" s="55" t="str">
        <f t="shared" si="61"/>
        <v/>
      </c>
      <c r="AM59" s="56" t="str">
        <f t="shared" si="61"/>
        <v/>
      </c>
      <c r="AO59" s="41" t="str">
        <f t="shared" ref="AO59:AZ59" si="62">IF(AO49="","",AO49*$AP$20+$AP$21)</f>
        <v/>
      </c>
      <c r="AP59" s="42" t="str">
        <f t="shared" si="62"/>
        <v/>
      </c>
      <c r="AQ59" s="42" t="str">
        <f t="shared" si="62"/>
        <v/>
      </c>
      <c r="AR59" s="42" t="str">
        <f t="shared" si="62"/>
        <v/>
      </c>
      <c r="AS59" s="42" t="str">
        <f t="shared" si="62"/>
        <v/>
      </c>
      <c r="AT59" s="42" t="str">
        <f t="shared" si="62"/>
        <v/>
      </c>
      <c r="AU59" s="42" t="str">
        <f t="shared" si="62"/>
        <v/>
      </c>
      <c r="AV59" s="42" t="str">
        <f t="shared" si="62"/>
        <v/>
      </c>
      <c r="AW59" s="42" t="str">
        <f t="shared" si="62"/>
        <v/>
      </c>
      <c r="AX59" s="42" t="str">
        <f t="shared" si="62"/>
        <v/>
      </c>
      <c r="AY59" s="42" t="str">
        <f t="shared" si="62"/>
        <v/>
      </c>
      <c r="AZ59" s="43" t="str">
        <f t="shared" si="62"/>
        <v/>
      </c>
    </row>
    <row r="60" spans="2:52" x14ac:dyDescent="0.3">
      <c r="B60" s="54" t="str">
        <f t="shared" ref="B60:M60" si="63">IF(B50="","",B50*$C$20+$C$21)</f>
        <v/>
      </c>
      <c r="C60" s="55" t="str">
        <f t="shared" si="63"/>
        <v/>
      </c>
      <c r="D60" s="55" t="str">
        <f t="shared" si="63"/>
        <v/>
      </c>
      <c r="E60" s="55" t="str">
        <f t="shared" si="63"/>
        <v/>
      </c>
      <c r="F60" s="55" t="str">
        <f t="shared" si="63"/>
        <v/>
      </c>
      <c r="G60" s="55" t="str">
        <f t="shared" si="63"/>
        <v/>
      </c>
      <c r="H60" s="55" t="str">
        <f t="shared" si="63"/>
        <v/>
      </c>
      <c r="I60" s="55" t="str">
        <f t="shared" si="63"/>
        <v/>
      </c>
      <c r="J60" s="55" t="str">
        <f t="shared" si="63"/>
        <v/>
      </c>
      <c r="K60" s="55" t="str">
        <f t="shared" si="63"/>
        <v/>
      </c>
      <c r="L60" s="55" t="str">
        <f t="shared" si="63"/>
        <v/>
      </c>
      <c r="M60" s="56" t="str">
        <f t="shared" si="63"/>
        <v/>
      </c>
      <c r="O60" s="54" t="str">
        <f t="shared" ref="O60:Z60" si="64">IF(O50="","",O50*$C$20+$C$21)</f>
        <v/>
      </c>
      <c r="P60" s="55" t="str">
        <f t="shared" si="64"/>
        <v/>
      </c>
      <c r="Q60" s="55" t="str">
        <f t="shared" si="64"/>
        <v/>
      </c>
      <c r="R60" s="55" t="str">
        <f t="shared" si="64"/>
        <v/>
      </c>
      <c r="S60" s="55" t="str">
        <f t="shared" si="64"/>
        <v/>
      </c>
      <c r="T60" s="55" t="str">
        <f t="shared" si="64"/>
        <v/>
      </c>
      <c r="U60" s="55" t="str">
        <f t="shared" si="64"/>
        <v/>
      </c>
      <c r="V60" s="55" t="str">
        <f t="shared" si="64"/>
        <v/>
      </c>
      <c r="W60" s="55" t="str">
        <f t="shared" si="64"/>
        <v/>
      </c>
      <c r="X60" s="55" t="str">
        <f t="shared" si="64"/>
        <v/>
      </c>
      <c r="Y60" s="55" t="str">
        <f t="shared" si="64"/>
        <v/>
      </c>
      <c r="Z60" s="56" t="str">
        <f t="shared" si="64"/>
        <v/>
      </c>
      <c r="AB60" s="54" t="str">
        <f t="shared" ref="AB60:AM60" si="65">IF(AB50="","",AB50*$C$20+$C$21)</f>
        <v/>
      </c>
      <c r="AC60" s="55" t="str">
        <f t="shared" si="65"/>
        <v/>
      </c>
      <c r="AD60" s="55" t="str">
        <f t="shared" si="65"/>
        <v/>
      </c>
      <c r="AE60" s="55" t="str">
        <f t="shared" si="65"/>
        <v/>
      </c>
      <c r="AF60" s="55" t="str">
        <f t="shared" si="65"/>
        <v/>
      </c>
      <c r="AG60" s="55" t="str">
        <f t="shared" si="65"/>
        <v/>
      </c>
      <c r="AH60" s="55" t="str">
        <f t="shared" si="65"/>
        <v/>
      </c>
      <c r="AI60" s="55" t="str">
        <f t="shared" si="65"/>
        <v/>
      </c>
      <c r="AJ60" s="55" t="str">
        <f t="shared" si="65"/>
        <v/>
      </c>
      <c r="AK60" s="55" t="str">
        <f t="shared" si="65"/>
        <v/>
      </c>
      <c r="AL60" s="55" t="str">
        <f t="shared" si="65"/>
        <v/>
      </c>
      <c r="AM60" s="56" t="str">
        <f t="shared" si="65"/>
        <v/>
      </c>
      <c r="AO60" s="41" t="str">
        <f t="shared" ref="AO60:AZ60" si="66">IF(AO50="","",AO50*$AP$20+$AP$21)</f>
        <v/>
      </c>
      <c r="AP60" s="42" t="str">
        <f t="shared" si="66"/>
        <v/>
      </c>
      <c r="AQ60" s="42" t="str">
        <f t="shared" si="66"/>
        <v/>
      </c>
      <c r="AR60" s="42" t="str">
        <f t="shared" si="66"/>
        <v/>
      </c>
      <c r="AS60" s="42" t="str">
        <f t="shared" si="66"/>
        <v/>
      </c>
      <c r="AT60" s="42" t="str">
        <f t="shared" si="66"/>
        <v/>
      </c>
      <c r="AU60" s="42" t="str">
        <f t="shared" si="66"/>
        <v/>
      </c>
      <c r="AV60" s="42" t="str">
        <f t="shared" si="66"/>
        <v/>
      </c>
      <c r="AW60" s="42" t="str">
        <f t="shared" si="66"/>
        <v/>
      </c>
      <c r="AX60" s="42" t="str">
        <f t="shared" si="66"/>
        <v/>
      </c>
      <c r="AY60" s="42" t="str">
        <f t="shared" si="66"/>
        <v/>
      </c>
      <c r="AZ60" s="43" t="str">
        <f t="shared" si="66"/>
        <v/>
      </c>
    </row>
    <row r="61" spans="2:52" x14ac:dyDescent="0.3">
      <c r="B61" s="54" t="str">
        <f t="shared" ref="B61:M61" si="67">IF(B51="","",B51*$C$20+$C$21)</f>
        <v/>
      </c>
      <c r="C61" s="55" t="str">
        <f t="shared" si="67"/>
        <v/>
      </c>
      <c r="D61" s="55" t="str">
        <f t="shared" si="67"/>
        <v/>
      </c>
      <c r="E61" s="55" t="str">
        <f t="shared" si="67"/>
        <v/>
      </c>
      <c r="F61" s="55" t="str">
        <f t="shared" si="67"/>
        <v/>
      </c>
      <c r="G61" s="55" t="str">
        <f t="shared" si="67"/>
        <v/>
      </c>
      <c r="H61" s="55" t="str">
        <f t="shared" si="67"/>
        <v/>
      </c>
      <c r="I61" s="55" t="str">
        <f t="shared" si="67"/>
        <v/>
      </c>
      <c r="J61" s="55" t="str">
        <f t="shared" si="67"/>
        <v/>
      </c>
      <c r="K61" s="55" t="str">
        <f t="shared" si="67"/>
        <v/>
      </c>
      <c r="L61" s="55" t="str">
        <f t="shared" si="67"/>
        <v/>
      </c>
      <c r="M61" s="56" t="str">
        <f t="shared" si="67"/>
        <v/>
      </c>
      <c r="O61" s="54" t="str">
        <f t="shared" ref="O61:Z61" si="68">IF(O51="","",O51*$C$20+$C$21)</f>
        <v/>
      </c>
      <c r="P61" s="55" t="str">
        <f t="shared" si="68"/>
        <v/>
      </c>
      <c r="Q61" s="55" t="str">
        <f t="shared" si="68"/>
        <v/>
      </c>
      <c r="R61" s="55" t="str">
        <f t="shared" si="68"/>
        <v/>
      </c>
      <c r="S61" s="55" t="str">
        <f t="shared" si="68"/>
        <v/>
      </c>
      <c r="T61" s="55" t="str">
        <f t="shared" si="68"/>
        <v/>
      </c>
      <c r="U61" s="55" t="str">
        <f t="shared" si="68"/>
        <v/>
      </c>
      <c r="V61" s="55" t="str">
        <f t="shared" si="68"/>
        <v/>
      </c>
      <c r="W61" s="55" t="str">
        <f t="shared" si="68"/>
        <v/>
      </c>
      <c r="X61" s="55" t="str">
        <f t="shared" si="68"/>
        <v/>
      </c>
      <c r="Y61" s="55" t="str">
        <f t="shared" si="68"/>
        <v/>
      </c>
      <c r="Z61" s="56" t="str">
        <f t="shared" si="68"/>
        <v/>
      </c>
      <c r="AB61" s="54" t="str">
        <f t="shared" ref="AB61:AM61" si="69">IF(AB51="","",AB51*$C$20+$C$21)</f>
        <v/>
      </c>
      <c r="AC61" s="55" t="str">
        <f t="shared" si="69"/>
        <v/>
      </c>
      <c r="AD61" s="55" t="str">
        <f t="shared" si="69"/>
        <v/>
      </c>
      <c r="AE61" s="55" t="str">
        <f t="shared" si="69"/>
        <v/>
      </c>
      <c r="AF61" s="55" t="str">
        <f t="shared" si="69"/>
        <v/>
      </c>
      <c r="AG61" s="55" t="str">
        <f t="shared" si="69"/>
        <v/>
      </c>
      <c r="AH61" s="55" t="str">
        <f t="shared" si="69"/>
        <v/>
      </c>
      <c r="AI61" s="55" t="str">
        <f t="shared" si="69"/>
        <v/>
      </c>
      <c r="AJ61" s="55" t="str">
        <f t="shared" si="69"/>
        <v/>
      </c>
      <c r="AK61" s="55" t="str">
        <f t="shared" si="69"/>
        <v/>
      </c>
      <c r="AL61" s="55" t="str">
        <f t="shared" si="69"/>
        <v/>
      </c>
      <c r="AM61" s="56" t="str">
        <f t="shared" si="69"/>
        <v/>
      </c>
      <c r="AO61" s="41" t="str">
        <f t="shared" ref="AO61:AZ61" si="70">IF(AO51="","",AO51*$AP$20+$AP$21)</f>
        <v/>
      </c>
      <c r="AP61" s="42" t="str">
        <f t="shared" si="70"/>
        <v/>
      </c>
      <c r="AQ61" s="42" t="str">
        <f t="shared" si="70"/>
        <v/>
      </c>
      <c r="AR61" s="42" t="str">
        <f t="shared" si="70"/>
        <v/>
      </c>
      <c r="AS61" s="42" t="str">
        <f t="shared" si="70"/>
        <v/>
      </c>
      <c r="AT61" s="42" t="str">
        <f t="shared" si="70"/>
        <v/>
      </c>
      <c r="AU61" s="42" t="str">
        <f t="shared" si="70"/>
        <v/>
      </c>
      <c r="AV61" s="42" t="str">
        <f t="shared" si="70"/>
        <v/>
      </c>
      <c r="AW61" s="42" t="str">
        <f t="shared" si="70"/>
        <v/>
      </c>
      <c r="AX61" s="42" t="str">
        <f t="shared" si="70"/>
        <v/>
      </c>
      <c r="AY61" s="42" t="str">
        <f t="shared" si="70"/>
        <v/>
      </c>
      <c r="AZ61" s="43" t="str">
        <f t="shared" si="70"/>
        <v/>
      </c>
    </row>
    <row r="62" spans="2:52" x14ac:dyDescent="0.3">
      <c r="B62" s="57" t="str">
        <f t="shared" ref="B62:M62" si="71">IF(B52="","",B52*$C$20+$C$21)</f>
        <v/>
      </c>
      <c r="C62" s="58" t="str">
        <f t="shared" si="71"/>
        <v/>
      </c>
      <c r="D62" s="58" t="str">
        <f t="shared" si="71"/>
        <v/>
      </c>
      <c r="E62" s="58" t="str">
        <f t="shared" si="71"/>
        <v/>
      </c>
      <c r="F62" s="58" t="str">
        <f t="shared" si="71"/>
        <v/>
      </c>
      <c r="G62" s="58" t="str">
        <f t="shared" si="71"/>
        <v/>
      </c>
      <c r="H62" s="58" t="str">
        <f t="shared" si="71"/>
        <v/>
      </c>
      <c r="I62" s="58" t="str">
        <f t="shared" si="71"/>
        <v/>
      </c>
      <c r="J62" s="58" t="str">
        <f t="shared" si="71"/>
        <v/>
      </c>
      <c r="K62" s="58" t="str">
        <f t="shared" si="71"/>
        <v/>
      </c>
      <c r="L62" s="58" t="str">
        <f t="shared" si="71"/>
        <v/>
      </c>
      <c r="M62" s="59" t="str">
        <f t="shared" si="71"/>
        <v/>
      </c>
      <c r="O62" s="57" t="str">
        <f t="shared" ref="O62:Z62" si="72">IF(O52="","",O52*$C$20+$C$21)</f>
        <v/>
      </c>
      <c r="P62" s="58" t="str">
        <f t="shared" si="72"/>
        <v/>
      </c>
      <c r="Q62" s="58" t="str">
        <f t="shared" si="72"/>
        <v/>
      </c>
      <c r="R62" s="58" t="str">
        <f t="shared" si="72"/>
        <v/>
      </c>
      <c r="S62" s="58" t="str">
        <f t="shared" si="72"/>
        <v/>
      </c>
      <c r="T62" s="58" t="str">
        <f t="shared" si="72"/>
        <v/>
      </c>
      <c r="U62" s="58" t="str">
        <f t="shared" si="72"/>
        <v/>
      </c>
      <c r="V62" s="58" t="str">
        <f t="shared" si="72"/>
        <v/>
      </c>
      <c r="W62" s="58" t="str">
        <f t="shared" si="72"/>
        <v/>
      </c>
      <c r="X62" s="58" t="str">
        <f t="shared" si="72"/>
        <v/>
      </c>
      <c r="Y62" s="58" t="str">
        <f t="shared" si="72"/>
        <v/>
      </c>
      <c r="Z62" s="59" t="str">
        <f t="shared" si="72"/>
        <v/>
      </c>
      <c r="AB62" s="57" t="str">
        <f t="shared" ref="AB62:AM62" si="73">IF(AB52="","",AB52*$C$20+$C$21)</f>
        <v/>
      </c>
      <c r="AC62" s="58" t="str">
        <f t="shared" si="73"/>
        <v/>
      </c>
      <c r="AD62" s="58" t="str">
        <f t="shared" si="73"/>
        <v/>
      </c>
      <c r="AE62" s="58" t="str">
        <f t="shared" si="73"/>
        <v/>
      </c>
      <c r="AF62" s="58" t="str">
        <f t="shared" si="73"/>
        <v/>
      </c>
      <c r="AG62" s="58" t="str">
        <f t="shared" si="73"/>
        <v/>
      </c>
      <c r="AH62" s="58" t="str">
        <f t="shared" si="73"/>
        <v/>
      </c>
      <c r="AI62" s="58" t="str">
        <f t="shared" si="73"/>
        <v/>
      </c>
      <c r="AJ62" s="58" t="str">
        <f t="shared" si="73"/>
        <v/>
      </c>
      <c r="AK62" s="58" t="str">
        <f t="shared" si="73"/>
        <v/>
      </c>
      <c r="AL62" s="58" t="str">
        <f t="shared" si="73"/>
        <v/>
      </c>
      <c r="AM62" s="59" t="str">
        <f t="shared" si="73"/>
        <v/>
      </c>
      <c r="AO62" s="44" t="str">
        <f t="shared" ref="AO62:AZ62" si="74">IF(AO52="","",AO52*$AP$20+$AP$21)</f>
        <v/>
      </c>
      <c r="AP62" s="45" t="str">
        <f t="shared" si="74"/>
        <v/>
      </c>
      <c r="AQ62" s="45" t="str">
        <f t="shared" si="74"/>
        <v/>
      </c>
      <c r="AR62" s="45" t="str">
        <f t="shared" si="74"/>
        <v/>
      </c>
      <c r="AS62" s="45" t="str">
        <f t="shared" si="74"/>
        <v/>
      </c>
      <c r="AT62" s="45" t="str">
        <f t="shared" si="74"/>
        <v/>
      </c>
      <c r="AU62" s="45" t="str">
        <f t="shared" si="74"/>
        <v/>
      </c>
      <c r="AV62" s="45" t="str">
        <f t="shared" si="74"/>
        <v/>
      </c>
      <c r="AW62" s="45" t="str">
        <f t="shared" si="74"/>
        <v/>
      </c>
      <c r="AX62" s="45" t="str">
        <f t="shared" si="74"/>
        <v/>
      </c>
      <c r="AY62" s="45" t="str">
        <f t="shared" si="74"/>
        <v/>
      </c>
      <c r="AZ62" s="46" t="str">
        <f t="shared" si="74"/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BFC2-586F-4B8B-B3A4-0B862BD181E7}">
  <sheetPr codeName="Sheet3"/>
  <dimension ref="A1:AO63"/>
  <sheetViews>
    <sheetView tabSelected="1" zoomScale="90" zoomScaleNormal="90" workbookViewId="0">
      <pane ySplit="1" topLeftCell="A2" activePane="bottomLeft" state="frozen"/>
      <selection pane="bottomLeft" activeCell="H54" sqref="H54"/>
    </sheetView>
  </sheetViews>
  <sheetFormatPr defaultRowHeight="14.4" x14ac:dyDescent="0.3"/>
  <cols>
    <col min="1" max="1" width="17" style="1" customWidth="1"/>
    <col min="2" max="3" width="8.88671875" style="1"/>
    <col min="4" max="15" width="9.5546875" style="1" bestFit="1" customWidth="1"/>
    <col min="16" max="30" width="8.88671875" style="1"/>
    <col min="31" max="31" width="11.77734375" style="1" bestFit="1" customWidth="1"/>
    <col min="32" max="16384" width="8.88671875" style="1"/>
  </cols>
  <sheetData>
    <row r="1" spans="1:41" x14ac:dyDescent="0.3">
      <c r="D1" s="1" t="s">
        <v>26</v>
      </c>
      <c r="Q1" s="1" t="s">
        <v>27</v>
      </c>
      <c r="R1" s="36" t="str">
        <f>IF(B10="","",B10)</f>
        <v/>
      </c>
      <c r="T1" s="1" t="s">
        <v>5</v>
      </c>
      <c r="U1" s="36" t="str">
        <f>IF(B11="","",B11)</f>
        <v/>
      </c>
      <c r="AD1" s="1" t="s">
        <v>45</v>
      </c>
      <c r="AE1" s="36" t="str">
        <f>IF(B14="","",B14)</f>
        <v/>
      </c>
      <c r="AG1" s="1" t="s">
        <v>5</v>
      </c>
      <c r="AH1" s="36" t="str">
        <f>IF(B15="","",B15)</f>
        <v/>
      </c>
    </row>
    <row r="2" spans="1:41" ht="15.6" x14ac:dyDescent="0.35">
      <c r="A2" s="1" t="s">
        <v>1</v>
      </c>
      <c r="D2" s="1" t="s">
        <v>61</v>
      </c>
      <c r="Q2" s="1" t="s">
        <v>61</v>
      </c>
      <c r="AD2" s="1" t="s">
        <v>61</v>
      </c>
    </row>
    <row r="3" spans="1:41" x14ac:dyDescent="0.3">
      <c r="A3" s="3" t="s">
        <v>37</v>
      </c>
      <c r="B3" s="61" t="str">
        <f>IF(Inputs!B12="","",Inputs!B12)</f>
        <v/>
      </c>
      <c r="D3" s="37" t="str">
        <f>IF($B$8="",IF('UV calibration and raw data'!O55="",IF(Inputs!Q33="","",Inputs!Q33),'UV calibration and raw data'!O55),Results!$B$8)</f>
        <v/>
      </c>
      <c r="E3" s="38" t="str">
        <f>IF($B$8="",IF('UV calibration and raw data'!P55="",IF(Inputs!R33="","",Inputs!R33),'UV calibration and raw data'!P55),Results!$B$8)</f>
        <v/>
      </c>
      <c r="F3" s="38" t="str">
        <f>IF($B$8="",IF('UV calibration and raw data'!Q55="",IF(Inputs!S33="","",Inputs!S33),'UV calibration and raw data'!Q55),Results!$B$8)</f>
        <v/>
      </c>
      <c r="G3" s="38" t="str">
        <f>IF($B$8="",IF('UV calibration and raw data'!R55="",IF(Inputs!T33="","",Inputs!T33),'UV calibration and raw data'!R55),Results!$B$8)</f>
        <v/>
      </c>
      <c r="H3" s="38" t="str">
        <f>IF($B$8="",IF('UV calibration and raw data'!S55="",IF(Inputs!U33="","",Inputs!U33),'UV calibration and raw data'!S55),Results!$B$8)</f>
        <v/>
      </c>
      <c r="I3" s="38" t="str">
        <f>IF($B$8="",IF('UV calibration and raw data'!T55="",IF(Inputs!V33="","",Inputs!V33),'UV calibration and raw data'!T55),Results!$B$8)</f>
        <v/>
      </c>
      <c r="J3" s="38" t="str">
        <f>IF($B$8="",IF('UV calibration and raw data'!U55="",IF(Inputs!W33="","",Inputs!W33),'UV calibration and raw data'!U55),Results!$B$8)</f>
        <v/>
      </c>
      <c r="K3" s="38" t="str">
        <f>IF($B$8="",IF('UV calibration and raw data'!V55="",IF(Inputs!X33="","",Inputs!X33),'UV calibration and raw data'!V55),Results!$B$8)</f>
        <v/>
      </c>
      <c r="L3" s="38" t="str">
        <f>IF($B$8="",IF('UV calibration and raw data'!W55="",IF(Inputs!Y33="","",Inputs!Y33),'UV calibration and raw data'!W55),Results!$B$8)</f>
        <v/>
      </c>
      <c r="M3" s="38" t="str">
        <f>IF($B$8="",IF('UV calibration and raw data'!X55="",IF(Inputs!Z33="","",Inputs!Z33),'UV calibration and raw data'!X55),Results!$B$8)</f>
        <v/>
      </c>
      <c r="N3" s="38" t="str">
        <f>IF($B$8="",IF('UV calibration and raw data'!Y55="",IF(Inputs!AA33="","",Inputs!AA33),'UV calibration and raw data'!Y55),Results!$B$8)</f>
        <v/>
      </c>
      <c r="O3" s="39" t="str">
        <f>IF($B$8="",IF('UV calibration and raw data'!Z55="",IF(Inputs!AB33="","",Inputs!AB33),'UV calibration and raw data'!Z55),Results!$B$8)</f>
        <v/>
      </c>
      <c r="Q3" s="5" t="str">
        <f t="shared" ref="Q3:AB10" si="0">IF($B$12="","",$B$12)</f>
        <v/>
      </c>
      <c r="R3" s="6" t="str">
        <f t="shared" si="0"/>
        <v/>
      </c>
      <c r="S3" s="6" t="str">
        <f t="shared" si="0"/>
        <v/>
      </c>
      <c r="T3" s="6" t="str">
        <f t="shared" si="0"/>
        <v/>
      </c>
      <c r="U3" s="6" t="str">
        <f t="shared" si="0"/>
        <v/>
      </c>
      <c r="V3" s="6" t="str">
        <f t="shared" si="0"/>
        <v/>
      </c>
      <c r="W3" s="6" t="str">
        <f t="shared" si="0"/>
        <v/>
      </c>
      <c r="X3" s="6" t="str">
        <f t="shared" si="0"/>
        <v/>
      </c>
      <c r="Y3" s="6" t="str">
        <f t="shared" si="0"/>
        <v/>
      </c>
      <c r="Z3" s="6" t="str">
        <f t="shared" si="0"/>
        <v/>
      </c>
      <c r="AA3" s="6" t="str">
        <f t="shared" si="0"/>
        <v/>
      </c>
      <c r="AB3" s="7" t="str">
        <f t="shared" si="0"/>
        <v/>
      </c>
      <c r="AD3" s="5" t="str">
        <f t="shared" ref="AD3:AO10" si="1">IF($B$16="","",$B$16)</f>
        <v/>
      </c>
      <c r="AE3" s="6" t="str">
        <f t="shared" si="1"/>
        <v/>
      </c>
      <c r="AF3" s="6" t="str">
        <f t="shared" si="1"/>
        <v/>
      </c>
      <c r="AG3" s="6" t="str">
        <f t="shared" si="1"/>
        <v/>
      </c>
      <c r="AH3" s="6" t="str">
        <f t="shared" si="1"/>
        <v/>
      </c>
      <c r="AI3" s="6" t="str">
        <f t="shared" si="1"/>
        <v/>
      </c>
      <c r="AJ3" s="6" t="str">
        <f t="shared" si="1"/>
        <v/>
      </c>
      <c r="AK3" s="6" t="str">
        <f t="shared" si="1"/>
        <v/>
      </c>
      <c r="AL3" s="6" t="str">
        <f t="shared" si="1"/>
        <v/>
      </c>
      <c r="AM3" s="6" t="str">
        <f t="shared" si="1"/>
        <v/>
      </c>
      <c r="AN3" s="6" t="str">
        <f t="shared" si="1"/>
        <v/>
      </c>
      <c r="AO3" s="7" t="str">
        <f t="shared" si="1"/>
        <v/>
      </c>
    </row>
    <row r="4" spans="1:41" x14ac:dyDescent="0.3">
      <c r="A4" s="2"/>
      <c r="B4" s="36" t="str">
        <f>IF(Inputs!B13="","",Inputs!B13)</f>
        <v/>
      </c>
      <c r="D4" s="41" t="str">
        <f>IF($B$8="",IF('UV calibration and raw data'!O56="",IF(Inputs!Q34="","",Inputs!Q34),'UV calibration and raw data'!O56),Results!$B$8)</f>
        <v/>
      </c>
      <c r="E4" s="42" t="str">
        <f>IF($B$8="",IF('UV calibration and raw data'!P56="",IF(Inputs!R34="","",Inputs!R34),'UV calibration and raw data'!P56),Results!$B$8)</f>
        <v/>
      </c>
      <c r="F4" s="42" t="str">
        <f>IF($B$8="",IF('UV calibration and raw data'!Q56="",IF(Inputs!S34="","",Inputs!S34),'UV calibration and raw data'!Q56),Results!$B$8)</f>
        <v/>
      </c>
      <c r="G4" s="42" t="str">
        <f>IF($B$8="",IF('UV calibration and raw data'!R56="",IF(Inputs!T34="","",Inputs!T34),'UV calibration and raw data'!R56),Results!$B$8)</f>
        <v/>
      </c>
      <c r="H4" s="42" t="str">
        <f>IF($B$8="",IF('UV calibration and raw data'!S56="",IF(Inputs!U34="","",Inputs!U34),'UV calibration and raw data'!S56),Results!$B$8)</f>
        <v/>
      </c>
      <c r="I4" s="42" t="str">
        <f>IF($B$8="",IF('UV calibration and raw data'!T56="",IF(Inputs!V34="","",Inputs!V34),'UV calibration and raw data'!T56),Results!$B$8)</f>
        <v/>
      </c>
      <c r="J4" s="42" t="str">
        <f>IF($B$8="",IF('UV calibration and raw data'!U56="",IF(Inputs!W34="","",Inputs!W34),'UV calibration and raw data'!U56),Results!$B$8)</f>
        <v/>
      </c>
      <c r="K4" s="42" t="str">
        <f>IF($B$8="",IF('UV calibration and raw data'!V56="",IF(Inputs!X34="","",Inputs!X34),'UV calibration and raw data'!V56),Results!$B$8)</f>
        <v/>
      </c>
      <c r="L4" s="42" t="str">
        <f>IF($B$8="",IF('UV calibration and raw data'!W56="",IF(Inputs!Y34="","",Inputs!Y34),'UV calibration and raw data'!W56),Results!$B$8)</f>
        <v/>
      </c>
      <c r="M4" s="42" t="str">
        <f>IF($B$8="",IF('UV calibration and raw data'!X56="",IF(Inputs!Z34="","",Inputs!Z34),'UV calibration and raw data'!X56),Results!$B$8)</f>
        <v/>
      </c>
      <c r="N4" s="42" t="str">
        <f>IF($B$8="",IF('UV calibration and raw data'!Y56="",IF(Inputs!AA34="","",Inputs!AA34),'UV calibration and raw data'!Y56),Results!$B$8)</f>
        <v/>
      </c>
      <c r="O4" s="43" t="str">
        <f>IF($B$8="",IF('UV calibration and raw data'!Z56="",IF(Inputs!AB34="","",Inputs!AB34),'UV calibration and raw data'!Z56),Results!$B$8)</f>
        <v/>
      </c>
      <c r="Q4" s="8" t="str">
        <f t="shared" si="0"/>
        <v/>
      </c>
      <c r="R4" s="9" t="str">
        <f t="shared" si="0"/>
        <v/>
      </c>
      <c r="S4" s="9" t="str">
        <f t="shared" si="0"/>
        <v/>
      </c>
      <c r="T4" s="9" t="str">
        <f t="shared" si="0"/>
        <v/>
      </c>
      <c r="U4" s="9" t="str">
        <f t="shared" si="0"/>
        <v/>
      </c>
      <c r="V4" s="9" t="str">
        <f t="shared" si="0"/>
        <v/>
      </c>
      <c r="W4" s="9" t="str">
        <f t="shared" si="0"/>
        <v/>
      </c>
      <c r="X4" s="9" t="str">
        <f t="shared" si="0"/>
        <v/>
      </c>
      <c r="Y4" s="9" t="str">
        <f t="shared" si="0"/>
        <v/>
      </c>
      <c r="Z4" s="9" t="str">
        <f t="shared" si="0"/>
        <v/>
      </c>
      <c r="AA4" s="9" t="str">
        <f t="shared" si="0"/>
        <v/>
      </c>
      <c r="AB4" s="10" t="str">
        <f t="shared" si="0"/>
        <v/>
      </c>
      <c r="AD4" s="8" t="str">
        <f t="shared" si="1"/>
        <v/>
      </c>
      <c r="AE4" s="9" t="str">
        <f t="shared" si="1"/>
        <v/>
      </c>
      <c r="AF4" s="9" t="str">
        <f t="shared" si="1"/>
        <v/>
      </c>
      <c r="AG4" s="9" t="str">
        <f t="shared" si="1"/>
        <v/>
      </c>
      <c r="AH4" s="9" t="str">
        <f t="shared" si="1"/>
        <v/>
      </c>
      <c r="AI4" s="9" t="str">
        <f t="shared" si="1"/>
        <v/>
      </c>
      <c r="AJ4" s="9" t="str">
        <f t="shared" si="1"/>
        <v/>
      </c>
      <c r="AK4" s="9" t="str">
        <f t="shared" si="1"/>
        <v/>
      </c>
      <c r="AL4" s="9" t="str">
        <f t="shared" si="1"/>
        <v/>
      </c>
      <c r="AM4" s="9" t="str">
        <f t="shared" si="1"/>
        <v/>
      </c>
      <c r="AN4" s="9" t="str">
        <f t="shared" si="1"/>
        <v/>
      </c>
      <c r="AO4" s="10" t="str">
        <f t="shared" si="1"/>
        <v/>
      </c>
    </row>
    <row r="5" spans="1:41" x14ac:dyDescent="0.3">
      <c r="A5" s="3" t="s">
        <v>38</v>
      </c>
      <c r="B5" s="61" t="str">
        <f>IF(Inputs!B14="","",Inputs!B14)</f>
        <v/>
      </c>
      <c r="D5" s="41" t="str">
        <f>IF($B$8="",IF('UV calibration and raw data'!O57="",IF(Inputs!Q35="","",Inputs!Q35),'UV calibration and raw data'!O57),Results!$B$8)</f>
        <v/>
      </c>
      <c r="E5" s="42" t="str">
        <f>IF($B$8="",IF('UV calibration and raw data'!P57="",IF(Inputs!R35="","",Inputs!R35),'UV calibration and raw data'!P57),Results!$B$8)</f>
        <v/>
      </c>
      <c r="F5" s="42" t="str">
        <f>IF($B$8="",IF('UV calibration and raw data'!Q57="",IF(Inputs!S35="","",Inputs!S35),'UV calibration and raw data'!Q57),Results!$B$8)</f>
        <v/>
      </c>
      <c r="G5" s="42" t="str">
        <f>IF($B$8="",IF('UV calibration and raw data'!R57="",IF(Inputs!T35="","",Inputs!T35),'UV calibration and raw data'!R57),Results!$B$8)</f>
        <v/>
      </c>
      <c r="H5" s="42" t="str">
        <f>IF($B$8="",IF('UV calibration and raw data'!S57="",IF(Inputs!U35="","",Inputs!U35),'UV calibration and raw data'!S57),Results!$B$8)</f>
        <v/>
      </c>
      <c r="I5" s="42" t="str">
        <f>IF($B$8="",IF('UV calibration and raw data'!T57="",IF(Inputs!V35="","",Inputs!V35),'UV calibration and raw data'!T57),Results!$B$8)</f>
        <v/>
      </c>
      <c r="J5" s="42" t="str">
        <f>IF($B$8="",IF('UV calibration and raw data'!U57="",IF(Inputs!W35="","",Inputs!W35),'UV calibration and raw data'!U57),Results!$B$8)</f>
        <v/>
      </c>
      <c r="K5" s="42" t="str">
        <f>IF($B$8="",IF('UV calibration and raw data'!V57="",IF(Inputs!X35="","",Inputs!X35),'UV calibration and raw data'!V57),Results!$B$8)</f>
        <v/>
      </c>
      <c r="L5" s="42" t="str">
        <f>IF($B$8="",IF('UV calibration and raw data'!W57="",IF(Inputs!Y35="","",Inputs!Y35),'UV calibration and raw data'!W57),Results!$B$8)</f>
        <v/>
      </c>
      <c r="M5" s="42" t="str">
        <f>IF($B$8="",IF('UV calibration and raw data'!X57="",IF(Inputs!Z35="","",Inputs!Z35),'UV calibration and raw data'!X57),Results!$B$8)</f>
        <v/>
      </c>
      <c r="N5" s="42" t="str">
        <f>IF($B$8="",IF('UV calibration and raw data'!Y57="",IF(Inputs!AA35="","",Inputs!AA35),'UV calibration and raw data'!Y57),Results!$B$8)</f>
        <v/>
      </c>
      <c r="O5" s="43" t="str">
        <f>IF($B$8="",IF('UV calibration and raw data'!Z57="",IF(Inputs!AB35="","",Inputs!AB35),'UV calibration and raw data'!Z57),Results!$B$8)</f>
        <v/>
      </c>
      <c r="Q5" s="8" t="str">
        <f t="shared" si="0"/>
        <v/>
      </c>
      <c r="R5" s="9" t="str">
        <f t="shared" si="0"/>
        <v/>
      </c>
      <c r="S5" s="9" t="str">
        <f t="shared" si="0"/>
        <v/>
      </c>
      <c r="T5" s="9" t="str">
        <f t="shared" si="0"/>
        <v/>
      </c>
      <c r="U5" s="9" t="str">
        <f t="shared" si="0"/>
        <v/>
      </c>
      <c r="V5" s="9" t="str">
        <f t="shared" si="0"/>
        <v/>
      </c>
      <c r="W5" s="9" t="str">
        <f t="shared" si="0"/>
        <v/>
      </c>
      <c r="X5" s="9" t="str">
        <f t="shared" si="0"/>
        <v/>
      </c>
      <c r="Y5" s="9" t="str">
        <f t="shared" si="0"/>
        <v/>
      </c>
      <c r="Z5" s="9" t="str">
        <f t="shared" si="0"/>
        <v/>
      </c>
      <c r="AA5" s="9" t="str">
        <f t="shared" si="0"/>
        <v/>
      </c>
      <c r="AB5" s="10" t="str">
        <f t="shared" si="0"/>
        <v/>
      </c>
      <c r="AD5" s="8" t="str">
        <f t="shared" si="1"/>
        <v/>
      </c>
      <c r="AE5" s="9" t="str">
        <f t="shared" si="1"/>
        <v/>
      </c>
      <c r="AF5" s="9" t="str">
        <f t="shared" si="1"/>
        <v/>
      </c>
      <c r="AG5" s="9" t="str">
        <f t="shared" si="1"/>
        <v/>
      </c>
      <c r="AH5" s="9" t="str">
        <f t="shared" si="1"/>
        <v/>
      </c>
      <c r="AI5" s="9" t="str">
        <f t="shared" si="1"/>
        <v/>
      </c>
      <c r="AJ5" s="9" t="str">
        <f t="shared" si="1"/>
        <v/>
      </c>
      <c r="AK5" s="9" t="str">
        <f t="shared" si="1"/>
        <v/>
      </c>
      <c r="AL5" s="9" t="str">
        <f t="shared" si="1"/>
        <v/>
      </c>
      <c r="AM5" s="9" t="str">
        <f t="shared" si="1"/>
        <v/>
      </c>
      <c r="AN5" s="9" t="str">
        <f t="shared" si="1"/>
        <v/>
      </c>
      <c r="AO5" s="10" t="str">
        <f t="shared" si="1"/>
        <v/>
      </c>
    </row>
    <row r="6" spans="1:41" x14ac:dyDescent="0.3">
      <c r="B6" s="36"/>
      <c r="D6" s="41" t="str">
        <f>IF($B$8="",IF('UV calibration and raw data'!O58="",IF(Inputs!Q36="","",Inputs!Q36),'UV calibration and raw data'!O58),Results!$B$8)</f>
        <v/>
      </c>
      <c r="E6" s="42" t="str">
        <f>IF($B$8="",IF('UV calibration and raw data'!P58="",IF(Inputs!R36="","",Inputs!R36),'UV calibration and raw data'!P58),Results!$B$8)</f>
        <v/>
      </c>
      <c r="F6" s="42" t="str">
        <f>IF($B$8="",IF('UV calibration and raw data'!Q58="",IF(Inputs!S36="","",Inputs!S36),'UV calibration and raw data'!Q58),Results!$B$8)</f>
        <v/>
      </c>
      <c r="G6" s="42" t="str">
        <f>IF($B$8="",IF('UV calibration and raw data'!R58="",IF(Inputs!T36="","",Inputs!T36),'UV calibration and raw data'!R58),Results!$B$8)</f>
        <v/>
      </c>
      <c r="H6" s="42" t="str">
        <f>IF($B$8="",IF('UV calibration and raw data'!S58="",IF(Inputs!U36="","",Inputs!U36),'UV calibration and raw data'!S58),Results!$B$8)</f>
        <v/>
      </c>
      <c r="I6" s="42" t="str">
        <f>IF($B$8="",IF('UV calibration and raw data'!T58="",IF(Inputs!V36="","",Inputs!V36),'UV calibration and raw data'!T58),Results!$B$8)</f>
        <v/>
      </c>
      <c r="J6" s="42" t="str">
        <f>IF($B$8="",IF('UV calibration and raw data'!U58="",IF(Inputs!W36="","",Inputs!W36),'UV calibration and raw data'!U58),Results!$B$8)</f>
        <v/>
      </c>
      <c r="K6" s="42" t="str">
        <f>IF($B$8="",IF('UV calibration and raw data'!V58="",IF(Inputs!X36="","",Inputs!X36),'UV calibration and raw data'!V58),Results!$B$8)</f>
        <v/>
      </c>
      <c r="L6" s="42" t="str">
        <f>IF($B$8="",IF('UV calibration and raw data'!W58="",IF(Inputs!Y36="","",Inputs!Y36),'UV calibration and raw data'!W58),Results!$B$8)</f>
        <v/>
      </c>
      <c r="M6" s="42" t="str">
        <f>IF($B$8="",IF('UV calibration and raw data'!X58="",IF(Inputs!Z36="","",Inputs!Z36),'UV calibration and raw data'!X58),Results!$B$8)</f>
        <v/>
      </c>
      <c r="N6" s="42" t="str">
        <f>IF($B$8="",IF('UV calibration and raw data'!Y58="",IF(Inputs!AA36="","",Inputs!AA36),'UV calibration and raw data'!Y58),Results!$B$8)</f>
        <v/>
      </c>
      <c r="O6" s="43" t="str">
        <f>IF($B$8="",IF('UV calibration and raw data'!Z58="",IF(Inputs!AB36="","",Inputs!AB36),'UV calibration and raw data'!Z58),Results!$B$8)</f>
        <v/>
      </c>
      <c r="Q6" s="8" t="str">
        <f t="shared" si="0"/>
        <v/>
      </c>
      <c r="R6" s="9" t="str">
        <f t="shared" si="0"/>
        <v/>
      </c>
      <c r="S6" s="9" t="str">
        <f t="shared" si="0"/>
        <v/>
      </c>
      <c r="T6" s="9" t="str">
        <f t="shared" si="0"/>
        <v/>
      </c>
      <c r="U6" s="9" t="str">
        <f t="shared" si="0"/>
        <v/>
      </c>
      <c r="V6" s="9" t="str">
        <f t="shared" si="0"/>
        <v/>
      </c>
      <c r="W6" s="9" t="str">
        <f t="shared" si="0"/>
        <v/>
      </c>
      <c r="X6" s="9" t="str">
        <f t="shared" si="0"/>
        <v/>
      </c>
      <c r="Y6" s="9" t="str">
        <f t="shared" si="0"/>
        <v/>
      </c>
      <c r="Z6" s="9" t="str">
        <f t="shared" si="0"/>
        <v/>
      </c>
      <c r="AA6" s="9" t="str">
        <f t="shared" si="0"/>
        <v/>
      </c>
      <c r="AB6" s="10" t="str">
        <f t="shared" si="0"/>
        <v/>
      </c>
      <c r="AD6" s="8" t="str">
        <f t="shared" si="1"/>
        <v/>
      </c>
      <c r="AE6" s="9" t="str">
        <f t="shared" si="1"/>
        <v/>
      </c>
      <c r="AF6" s="9" t="str">
        <f t="shared" si="1"/>
        <v/>
      </c>
      <c r="AG6" s="9" t="str">
        <f t="shared" si="1"/>
        <v/>
      </c>
      <c r="AH6" s="9" t="str">
        <f t="shared" si="1"/>
        <v/>
      </c>
      <c r="AI6" s="9" t="str">
        <f t="shared" si="1"/>
        <v/>
      </c>
      <c r="AJ6" s="9" t="str">
        <f t="shared" si="1"/>
        <v/>
      </c>
      <c r="AK6" s="9" t="str">
        <f t="shared" si="1"/>
        <v/>
      </c>
      <c r="AL6" s="9" t="str">
        <f t="shared" si="1"/>
        <v/>
      </c>
      <c r="AM6" s="9" t="str">
        <f t="shared" si="1"/>
        <v/>
      </c>
      <c r="AN6" s="9" t="str">
        <f t="shared" si="1"/>
        <v/>
      </c>
      <c r="AO6" s="10" t="str">
        <f t="shared" si="1"/>
        <v/>
      </c>
    </row>
    <row r="7" spans="1:41" x14ac:dyDescent="0.3">
      <c r="A7" s="1" t="s">
        <v>28</v>
      </c>
      <c r="B7" s="36"/>
      <c r="D7" s="41" t="str">
        <f>IF($B$8="",IF('UV calibration and raw data'!O59="",IF(Inputs!Q37="","",Inputs!Q37),'UV calibration and raw data'!O59),Results!$B$8)</f>
        <v/>
      </c>
      <c r="E7" s="42" t="str">
        <f>IF($B$8="",IF('UV calibration and raw data'!P59="",IF(Inputs!R37="","",Inputs!R37),'UV calibration and raw data'!P59),Results!$B$8)</f>
        <v/>
      </c>
      <c r="F7" s="42" t="str">
        <f>IF($B$8="",IF('UV calibration and raw data'!Q59="",IF(Inputs!S37="","",Inputs!S37),'UV calibration and raw data'!Q59),Results!$B$8)</f>
        <v/>
      </c>
      <c r="G7" s="42" t="str">
        <f>IF($B$8="",IF('UV calibration and raw data'!R59="",IF(Inputs!T37="","",Inputs!T37),'UV calibration and raw data'!R59),Results!$B$8)</f>
        <v/>
      </c>
      <c r="H7" s="42" t="str">
        <f>IF($B$8="",IF('UV calibration and raw data'!S59="",IF(Inputs!U37="","",Inputs!U37),'UV calibration and raw data'!S59),Results!$B$8)</f>
        <v/>
      </c>
      <c r="I7" s="42" t="str">
        <f>IF($B$8="",IF('UV calibration and raw data'!T59="",IF(Inputs!V37="","",Inputs!V37),'UV calibration and raw data'!T59),Results!$B$8)</f>
        <v/>
      </c>
      <c r="J7" s="42" t="str">
        <f>IF($B$8="",IF('UV calibration and raw data'!U59="",IF(Inputs!W37="","",Inputs!W37),'UV calibration and raw data'!U59),Results!$B$8)</f>
        <v/>
      </c>
      <c r="K7" s="42" t="str">
        <f>IF($B$8="",IF('UV calibration and raw data'!V59="",IF(Inputs!X37="","",Inputs!X37),'UV calibration and raw data'!V59),Results!$B$8)</f>
        <v/>
      </c>
      <c r="L7" s="42" t="str">
        <f>IF($B$8="",IF('UV calibration and raw data'!W59="",IF(Inputs!Y37="","",Inputs!Y37),'UV calibration and raw data'!W59),Results!$B$8)</f>
        <v/>
      </c>
      <c r="M7" s="42" t="str">
        <f>IF($B$8="",IF('UV calibration and raw data'!X59="",IF(Inputs!Z37="","",Inputs!Z37),'UV calibration and raw data'!X59),Results!$B$8)</f>
        <v/>
      </c>
      <c r="N7" s="42" t="str">
        <f>IF($B$8="",IF('UV calibration and raw data'!Y59="",IF(Inputs!AA37="","",Inputs!AA37),'UV calibration and raw data'!Y59),Results!$B$8)</f>
        <v/>
      </c>
      <c r="O7" s="43" t="str">
        <f>IF($B$8="",IF('UV calibration and raw data'!Z59="",IF(Inputs!AB37="","",Inputs!AB37),'UV calibration and raw data'!Z59),Results!$B$8)</f>
        <v/>
      </c>
      <c r="Q7" s="8" t="str">
        <f t="shared" si="0"/>
        <v/>
      </c>
      <c r="R7" s="9" t="str">
        <f t="shared" si="0"/>
        <v/>
      </c>
      <c r="S7" s="9" t="str">
        <f t="shared" si="0"/>
        <v/>
      </c>
      <c r="T7" s="9" t="str">
        <f t="shared" si="0"/>
        <v/>
      </c>
      <c r="U7" s="9" t="str">
        <f t="shared" si="0"/>
        <v/>
      </c>
      <c r="V7" s="9" t="str">
        <f t="shared" si="0"/>
        <v/>
      </c>
      <c r="W7" s="9" t="str">
        <f t="shared" si="0"/>
        <v/>
      </c>
      <c r="X7" s="9" t="str">
        <f t="shared" si="0"/>
        <v/>
      </c>
      <c r="Y7" s="9" t="str">
        <f t="shared" si="0"/>
        <v/>
      </c>
      <c r="Z7" s="9" t="str">
        <f t="shared" si="0"/>
        <v/>
      </c>
      <c r="AA7" s="9" t="str">
        <f t="shared" si="0"/>
        <v/>
      </c>
      <c r="AB7" s="10" t="str">
        <f t="shared" si="0"/>
        <v/>
      </c>
      <c r="AD7" s="8" t="str">
        <f t="shared" si="1"/>
        <v/>
      </c>
      <c r="AE7" s="9" t="str">
        <f t="shared" si="1"/>
        <v/>
      </c>
      <c r="AF7" s="9" t="str">
        <f t="shared" si="1"/>
        <v/>
      </c>
      <c r="AG7" s="9" t="str">
        <f t="shared" si="1"/>
        <v/>
      </c>
      <c r="AH7" s="9" t="str">
        <f t="shared" si="1"/>
        <v/>
      </c>
      <c r="AI7" s="9" t="str">
        <f t="shared" si="1"/>
        <v/>
      </c>
      <c r="AJ7" s="9" t="str">
        <f t="shared" si="1"/>
        <v/>
      </c>
      <c r="AK7" s="9" t="str">
        <f t="shared" si="1"/>
        <v/>
      </c>
      <c r="AL7" s="9" t="str">
        <f t="shared" si="1"/>
        <v/>
      </c>
      <c r="AM7" s="9" t="str">
        <f t="shared" si="1"/>
        <v/>
      </c>
      <c r="AN7" s="9" t="str">
        <f t="shared" si="1"/>
        <v/>
      </c>
      <c r="AO7" s="10" t="str">
        <f t="shared" si="1"/>
        <v/>
      </c>
    </row>
    <row r="8" spans="1:41" x14ac:dyDescent="0.3">
      <c r="A8" s="3" t="s">
        <v>40</v>
      </c>
      <c r="B8" s="61" t="str">
        <f>IF(Inputs!B15="","",Inputs!B15)</f>
        <v/>
      </c>
      <c r="D8" s="41" t="str">
        <f>IF($B$8="",IF('UV calibration and raw data'!O60="",IF(Inputs!Q38="","",Inputs!Q38),'UV calibration and raw data'!O60),Results!$B$8)</f>
        <v/>
      </c>
      <c r="E8" s="42" t="str">
        <f>IF($B$8="",IF('UV calibration and raw data'!P60="",IF(Inputs!R38="","",Inputs!R38),'UV calibration and raw data'!P60),Results!$B$8)</f>
        <v/>
      </c>
      <c r="F8" s="42" t="str">
        <f>IF($B$8="",IF('UV calibration and raw data'!Q60="",IF(Inputs!S38="","",Inputs!S38),'UV calibration and raw data'!Q60),Results!$B$8)</f>
        <v/>
      </c>
      <c r="G8" s="42" t="str">
        <f>IF($B$8="",IF('UV calibration and raw data'!R60="",IF(Inputs!T38="","",Inputs!T38),'UV calibration and raw data'!R60),Results!$B$8)</f>
        <v/>
      </c>
      <c r="H8" s="42" t="str">
        <f>IF($B$8="",IF('UV calibration and raw data'!S60="",IF(Inputs!U38="","",Inputs!U38),'UV calibration and raw data'!S60),Results!$B$8)</f>
        <v/>
      </c>
      <c r="I8" s="42" t="str">
        <f>IF($B$8="",IF('UV calibration and raw data'!T60="",IF(Inputs!V38="","",Inputs!V38),'UV calibration and raw data'!T60),Results!$B$8)</f>
        <v/>
      </c>
      <c r="J8" s="42" t="str">
        <f>IF($B$8="",IF('UV calibration and raw data'!U60="",IF(Inputs!W38="","",Inputs!W38),'UV calibration and raw data'!U60),Results!$B$8)</f>
        <v/>
      </c>
      <c r="K8" s="42" t="str">
        <f>IF($B$8="",IF('UV calibration and raw data'!V60="",IF(Inputs!X38="","",Inputs!X38),'UV calibration and raw data'!V60),Results!$B$8)</f>
        <v/>
      </c>
      <c r="L8" s="42" t="str">
        <f>IF($B$8="",IF('UV calibration and raw data'!W60="",IF(Inputs!Y38="","",Inputs!Y38),'UV calibration and raw data'!W60),Results!$B$8)</f>
        <v/>
      </c>
      <c r="M8" s="42" t="str">
        <f>IF($B$8="",IF('UV calibration and raw data'!X60="",IF(Inputs!Z38="","",Inputs!Z38),'UV calibration and raw data'!X60),Results!$B$8)</f>
        <v/>
      </c>
      <c r="N8" s="42" t="str">
        <f>IF($B$8="",IF('UV calibration and raw data'!Y60="",IF(Inputs!AA38="","",Inputs!AA38),'UV calibration and raw data'!Y60),Results!$B$8)</f>
        <v/>
      </c>
      <c r="O8" s="43" t="str">
        <f>IF($B$8="",IF('UV calibration and raw data'!Z60="",IF(Inputs!AB38="","",Inputs!AB38),'UV calibration and raw data'!Z60),Results!$B$8)</f>
        <v/>
      </c>
      <c r="Q8" s="8" t="str">
        <f t="shared" si="0"/>
        <v/>
      </c>
      <c r="R8" s="9" t="str">
        <f t="shared" si="0"/>
        <v/>
      </c>
      <c r="S8" s="9" t="str">
        <f t="shared" si="0"/>
        <v/>
      </c>
      <c r="T8" s="9" t="str">
        <f t="shared" si="0"/>
        <v/>
      </c>
      <c r="U8" s="9" t="str">
        <f t="shared" si="0"/>
        <v/>
      </c>
      <c r="V8" s="9" t="str">
        <f t="shared" si="0"/>
        <v/>
      </c>
      <c r="W8" s="9" t="str">
        <f t="shared" si="0"/>
        <v/>
      </c>
      <c r="X8" s="9" t="str">
        <f t="shared" si="0"/>
        <v/>
      </c>
      <c r="Y8" s="9" t="str">
        <f t="shared" si="0"/>
        <v/>
      </c>
      <c r="Z8" s="9" t="str">
        <f t="shared" si="0"/>
        <v/>
      </c>
      <c r="AA8" s="9" t="str">
        <f t="shared" si="0"/>
        <v/>
      </c>
      <c r="AB8" s="10" t="str">
        <f t="shared" si="0"/>
        <v/>
      </c>
      <c r="AD8" s="8" t="str">
        <f t="shared" si="1"/>
        <v/>
      </c>
      <c r="AE8" s="9" t="str">
        <f t="shared" si="1"/>
        <v/>
      </c>
      <c r="AF8" s="9" t="str">
        <f t="shared" si="1"/>
        <v/>
      </c>
      <c r="AG8" s="9" t="str">
        <f t="shared" si="1"/>
        <v/>
      </c>
      <c r="AH8" s="9" t="str">
        <f t="shared" si="1"/>
        <v/>
      </c>
      <c r="AI8" s="9" t="str">
        <f t="shared" si="1"/>
        <v/>
      </c>
      <c r="AJ8" s="9" t="str">
        <f t="shared" si="1"/>
        <v/>
      </c>
      <c r="AK8" s="9" t="str">
        <f t="shared" si="1"/>
        <v/>
      </c>
      <c r="AL8" s="9" t="str">
        <f t="shared" si="1"/>
        <v/>
      </c>
      <c r="AM8" s="9" t="str">
        <f t="shared" si="1"/>
        <v/>
      </c>
      <c r="AN8" s="9" t="str">
        <f t="shared" si="1"/>
        <v/>
      </c>
      <c r="AO8" s="10" t="str">
        <f t="shared" si="1"/>
        <v/>
      </c>
    </row>
    <row r="9" spans="1:41" x14ac:dyDescent="0.3">
      <c r="A9" s="2"/>
      <c r="B9" s="36"/>
      <c r="D9" s="41" t="str">
        <f>IF($B$8="",IF('UV calibration and raw data'!O61="",IF(Inputs!Q39="","",Inputs!Q39),'UV calibration and raw data'!O61),Results!$B$8)</f>
        <v/>
      </c>
      <c r="E9" s="42" t="str">
        <f>IF($B$8="",IF('UV calibration and raw data'!P61="",IF(Inputs!R39="","",Inputs!R39),'UV calibration and raw data'!P61),Results!$B$8)</f>
        <v/>
      </c>
      <c r="F9" s="42" t="str">
        <f>IF($B$8="",IF('UV calibration and raw data'!Q61="",IF(Inputs!S39="","",Inputs!S39),'UV calibration and raw data'!Q61),Results!$B$8)</f>
        <v/>
      </c>
      <c r="G9" s="42" t="str">
        <f>IF($B$8="",IF('UV calibration and raw data'!R61="",IF(Inputs!T39="","",Inputs!T39),'UV calibration and raw data'!R61),Results!$B$8)</f>
        <v/>
      </c>
      <c r="H9" s="42" t="str">
        <f>IF($B$8="",IF('UV calibration and raw data'!S61="",IF(Inputs!U39="","",Inputs!U39),'UV calibration and raw data'!S61),Results!$B$8)</f>
        <v/>
      </c>
      <c r="I9" s="42" t="str">
        <f>IF($B$8="",IF('UV calibration and raw data'!T61="",IF(Inputs!V39="","",Inputs!V39),'UV calibration and raw data'!T61),Results!$B$8)</f>
        <v/>
      </c>
      <c r="J9" s="42" t="str">
        <f>IF($B$8="",IF('UV calibration and raw data'!U61="",IF(Inputs!W39="","",Inputs!W39),'UV calibration and raw data'!U61),Results!$B$8)</f>
        <v/>
      </c>
      <c r="K9" s="42" t="str">
        <f>IF($B$8="",IF('UV calibration and raw data'!V61="",IF(Inputs!X39="","",Inputs!X39),'UV calibration and raw data'!V61),Results!$B$8)</f>
        <v/>
      </c>
      <c r="L9" s="42" t="str">
        <f>IF($B$8="",IF('UV calibration and raw data'!W61="",IF(Inputs!Y39="","",Inputs!Y39),'UV calibration and raw data'!W61),Results!$B$8)</f>
        <v/>
      </c>
      <c r="M9" s="42" t="str">
        <f>IF($B$8="",IF('UV calibration and raw data'!X61="",IF(Inputs!Z39="","",Inputs!Z39),'UV calibration and raw data'!X61),Results!$B$8)</f>
        <v/>
      </c>
      <c r="N9" s="42" t="str">
        <f>IF($B$8="",IF('UV calibration and raw data'!Y61="",IF(Inputs!AA39="","",Inputs!AA39),'UV calibration and raw data'!Y61),Results!$B$8)</f>
        <v/>
      </c>
      <c r="O9" s="43" t="str">
        <f>IF($B$8="",IF('UV calibration and raw data'!Z61="",IF(Inputs!AB39="","",Inputs!AB39),'UV calibration and raw data'!Z61),Results!$B$8)</f>
        <v/>
      </c>
      <c r="Q9" s="8" t="str">
        <f t="shared" si="0"/>
        <v/>
      </c>
      <c r="R9" s="9" t="str">
        <f t="shared" si="0"/>
        <v/>
      </c>
      <c r="S9" s="9" t="str">
        <f t="shared" si="0"/>
        <v/>
      </c>
      <c r="T9" s="9" t="str">
        <f t="shared" si="0"/>
        <v/>
      </c>
      <c r="U9" s="9" t="str">
        <f t="shared" si="0"/>
        <v/>
      </c>
      <c r="V9" s="9" t="str">
        <f t="shared" si="0"/>
        <v/>
      </c>
      <c r="W9" s="9" t="str">
        <f t="shared" si="0"/>
        <v/>
      </c>
      <c r="X9" s="9" t="str">
        <f t="shared" si="0"/>
        <v/>
      </c>
      <c r="Y9" s="9" t="str">
        <f t="shared" si="0"/>
        <v/>
      </c>
      <c r="Z9" s="9" t="str">
        <f t="shared" si="0"/>
        <v/>
      </c>
      <c r="AA9" s="9" t="str">
        <f t="shared" si="0"/>
        <v/>
      </c>
      <c r="AB9" s="10" t="str">
        <f t="shared" si="0"/>
        <v/>
      </c>
      <c r="AD9" s="8" t="str">
        <f t="shared" si="1"/>
        <v/>
      </c>
      <c r="AE9" s="9" t="str">
        <f t="shared" si="1"/>
        <v/>
      </c>
      <c r="AF9" s="9" t="str">
        <f t="shared" si="1"/>
        <v/>
      </c>
      <c r="AG9" s="9" t="str">
        <f t="shared" si="1"/>
        <v/>
      </c>
      <c r="AH9" s="9" t="str">
        <f t="shared" si="1"/>
        <v/>
      </c>
      <c r="AI9" s="9" t="str">
        <f t="shared" si="1"/>
        <v/>
      </c>
      <c r="AJ9" s="9" t="str">
        <f t="shared" si="1"/>
        <v/>
      </c>
      <c r="AK9" s="9" t="str">
        <f t="shared" si="1"/>
        <v/>
      </c>
      <c r="AL9" s="9" t="str">
        <f t="shared" si="1"/>
        <v/>
      </c>
      <c r="AM9" s="9" t="str">
        <f t="shared" si="1"/>
        <v/>
      </c>
      <c r="AN9" s="9" t="str">
        <f t="shared" si="1"/>
        <v/>
      </c>
      <c r="AO9" s="10" t="str">
        <f t="shared" si="1"/>
        <v/>
      </c>
    </row>
    <row r="10" spans="1:41" x14ac:dyDescent="0.3">
      <c r="A10" s="3" t="s">
        <v>41</v>
      </c>
      <c r="B10" s="60"/>
      <c r="D10" s="44" t="str">
        <f>IF($B$8="",IF('UV calibration and raw data'!O62="",IF(Inputs!Q40="","",Inputs!Q40),'UV calibration and raw data'!O62),Results!$B$8)</f>
        <v/>
      </c>
      <c r="E10" s="45" t="str">
        <f>IF($B$8="",IF('UV calibration and raw data'!P62="",IF(Inputs!R40="","",Inputs!R40),'UV calibration and raw data'!P62),Results!$B$8)</f>
        <v/>
      </c>
      <c r="F10" s="45" t="str">
        <f>IF($B$8="",IF('UV calibration and raw data'!Q62="",IF(Inputs!S40="","",Inputs!S40),'UV calibration and raw data'!Q62),Results!$B$8)</f>
        <v/>
      </c>
      <c r="G10" s="45" t="str">
        <f>IF($B$8="",IF('UV calibration and raw data'!R62="",IF(Inputs!T40="","",Inputs!T40),'UV calibration and raw data'!R62),Results!$B$8)</f>
        <v/>
      </c>
      <c r="H10" s="45" t="str">
        <f>IF($B$8="",IF('UV calibration and raw data'!S62="",IF(Inputs!U40="","",Inputs!U40),'UV calibration and raw data'!S62),Results!$B$8)</f>
        <v/>
      </c>
      <c r="I10" s="45" t="str">
        <f>IF($B$8="",IF('UV calibration and raw data'!T62="",IF(Inputs!V40="","",Inputs!V40),'UV calibration and raw data'!T62),Results!$B$8)</f>
        <v/>
      </c>
      <c r="J10" s="45" t="str">
        <f>IF($B$8="",IF('UV calibration and raw data'!U62="",IF(Inputs!W40="","",Inputs!W40),'UV calibration and raw data'!U62),Results!$B$8)</f>
        <v/>
      </c>
      <c r="K10" s="45" t="str">
        <f>IF($B$8="",IF('UV calibration and raw data'!V62="",IF(Inputs!X40="","",Inputs!X40),'UV calibration and raw data'!V62),Results!$B$8)</f>
        <v/>
      </c>
      <c r="L10" s="45" t="str">
        <f>IF($B$8="",IF('UV calibration and raw data'!W62="",IF(Inputs!Y40="","",Inputs!Y40),'UV calibration and raw data'!W62),Results!$B$8)</f>
        <v/>
      </c>
      <c r="M10" s="45" t="str">
        <f>IF($B$8="",IF('UV calibration and raw data'!X62="",IF(Inputs!Z40="","",Inputs!Z40),'UV calibration and raw data'!X62),Results!$B$8)</f>
        <v/>
      </c>
      <c r="N10" s="45" t="str">
        <f>IF($B$8="",IF('UV calibration and raw data'!Y62="",IF(Inputs!AA40="","",Inputs!AA40),'UV calibration and raw data'!Y62),Results!$B$8)</f>
        <v/>
      </c>
      <c r="O10" s="46" t="str">
        <f>IF($B$8="",IF('UV calibration and raw data'!Z62="",IF(Inputs!AB40="","",Inputs!AB40),'UV calibration and raw data'!Z62),Results!$B$8)</f>
        <v/>
      </c>
      <c r="Q10" s="11" t="str">
        <f t="shared" si="0"/>
        <v/>
      </c>
      <c r="R10" s="12" t="str">
        <f t="shared" si="0"/>
        <v/>
      </c>
      <c r="S10" s="12" t="str">
        <f t="shared" si="0"/>
        <v/>
      </c>
      <c r="T10" s="12" t="str">
        <f t="shared" si="0"/>
        <v/>
      </c>
      <c r="U10" s="12" t="str">
        <f t="shared" si="0"/>
        <v/>
      </c>
      <c r="V10" s="12" t="str">
        <f t="shared" si="0"/>
        <v/>
      </c>
      <c r="W10" s="12" t="str">
        <f t="shared" si="0"/>
        <v/>
      </c>
      <c r="X10" s="12" t="str">
        <f t="shared" si="0"/>
        <v/>
      </c>
      <c r="Y10" s="12" t="str">
        <f t="shared" si="0"/>
        <v/>
      </c>
      <c r="Z10" s="12" t="str">
        <f t="shared" si="0"/>
        <v/>
      </c>
      <c r="AA10" s="12" t="str">
        <f t="shared" si="0"/>
        <v/>
      </c>
      <c r="AB10" s="13" t="str">
        <f t="shared" si="0"/>
        <v/>
      </c>
      <c r="AD10" s="11" t="str">
        <f t="shared" si="1"/>
        <v/>
      </c>
      <c r="AE10" s="12" t="str">
        <f t="shared" si="1"/>
        <v/>
      </c>
      <c r="AF10" s="12" t="str">
        <f t="shared" si="1"/>
        <v/>
      </c>
      <c r="AG10" s="12" t="str">
        <f t="shared" si="1"/>
        <v/>
      </c>
      <c r="AH10" s="12" t="str">
        <f t="shared" si="1"/>
        <v/>
      </c>
      <c r="AI10" s="12" t="str">
        <f t="shared" si="1"/>
        <v/>
      </c>
      <c r="AJ10" s="12" t="str">
        <f t="shared" si="1"/>
        <v/>
      </c>
      <c r="AK10" s="12" t="str">
        <f t="shared" si="1"/>
        <v/>
      </c>
      <c r="AL10" s="12" t="str">
        <f t="shared" si="1"/>
        <v/>
      </c>
      <c r="AM10" s="12" t="str">
        <f t="shared" si="1"/>
        <v/>
      </c>
      <c r="AN10" s="12" t="str">
        <f t="shared" si="1"/>
        <v/>
      </c>
      <c r="AO10" s="13" t="str">
        <f t="shared" si="1"/>
        <v/>
      </c>
    </row>
    <row r="11" spans="1:41" x14ac:dyDescent="0.3">
      <c r="A11" s="3" t="s">
        <v>42</v>
      </c>
      <c r="B11" s="60"/>
    </row>
    <row r="12" spans="1:41" ht="15.6" x14ac:dyDescent="0.35">
      <c r="A12" s="3" t="s">
        <v>65</v>
      </c>
      <c r="B12" s="60"/>
      <c r="D12" s="1" t="s">
        <v>62</v>
      </c>
      <c r="F12" s="1" t="s">
        <v>29</v>
      </c>
      <c r="Q12" s="1" t="s">
        <v>62</v>
      </c>
      <c r="S12" s="23" t="s">
        <v>29</v>
      </c>
      <c r="AD12" s="1" t="s">
        <v>62</v>
      </c>
      <c r="AF12" s="23" t="s">
        <v>29</v>
      </c>
    </row>
    <row r="13" spans="1:41" x14ac:dyDescent="0.3">
      <c r="A13" s="2"/>
      <c r="B13" s="36"/>
      <c r="D13" s="51" t="str">
        <f>IF('UV calibration and raw data'!B55="","",'UV calibration and raw data'!B55)</f>
        <v/>
      </c>
      <c r="E13" s="52" t="str">
        <f>IF('UV calibration and raw data'!C55="","",'UV calibration and raw data'!C55)</f>
        <v/>
      </c>
      <c r="F13" s="52" t="str">
        <f>IF('UV calibration and raw data'!D55="","",'UV calibration and raw data'!D55)</f>
        <v/>
      </c>
      <c r="G13" s="52" t="str">
        <f>IF('UV calibration and raw data'!E55="","",'UV calibration and raw data'!E55)</f>
        <v/>
      </c>
      <c r="H13" s="52" t="str">
        <f>IF('UV calibration and raw data'!F55="","",'UV calibration and raw data'!F55)</f>
        <v/>
      </c>
      <c r="I13" s="52" t="str">
        <f>IF('UV calibration and raw data'!G55="","",'UV calibration and raw data'!G55)</f>
        <v/>
      </c>
      <c r="J13" s="52" t="str">
        <f>IF('UV calibration and raw data'!H55="","",'UV calibration and raw data'!H55)</f>
        <v/>
      </c>
      <c r="K13" s="52" t="str">
        <f>IF('UV calibration and raw data'!I55="","",'UV calibration and raw data'!I55)</f>
        <v/>
      </c>
      <c r="L13" s="52" t="str">
        <f>IF('UV calibration and raw data'!J55="","",'UV calibration and raw data'!J55)</f>
        <v/>
      </c>
      <c r="M13" s="52" t="str">
        <f>IF('UV calibration and raw data'!K55="","",'UV calibration and raw data'!K55)</f>
        <v/>
      </c>
      <c r="N13" s="52" t="str">
        <f>IF('UV calibration and raw data'!L55="","",'UV calibration and raw data'!L55)</f>
        <v/>
      </c>
      <c r="O13" s="53" t="str">
        <f>IF('UV calibration and raw data'!M55="","",'UV calibration and raw data'!M55)</f>
        <v/>
      </c>
      <c r="Q13" s="5"/>
      <c r="R13" s="6"/>
      <c r="S13" s="9"/>
      <c r="T13" s="6"/>
      <c r="U13" s="6"/>
      <c r="V13" s="6"/>
      <c r="W13" s="6"/>
      <c r="X13" s="6"/>
      <c r="Y13" s="6"/>
      <c r="Z13" s="6"/>
      <c r="AA13" s="6"/>
      <c r="AB13" s="7"/>
      <c r="AD13" s="5"/>
      <c r="AE13" s="6"/>
      <c r="AF13" s="9"/>
      <c r="AG13" s="6"/>
      <c r="AH13" s="6"/>
      <c r="AI13" s="6"/>
      <c r="AJ13" s="6"/>
      <c r="AK13" s="6"/>
      <c r="AL13" s="6"/>
      <c r="AM13" s="6"/>
      <c r="AN13" s="6"/>
      <c r="AO13" s="7"/>
    </row>
    <row r="14" spans="1:41" x14ac:dyDescent="0.3">
      <c r="A14" s="3" t="s">
        <v>43</v>
      </c>
      <c r="B14" s="60"/>
      <c r="D14" s="54" t="str">
        <f>IF('UV calibration and raw data'!B56="","",'UV calibration and raw data'!B56)</f>
        <v/>
      </c>
      <c r="E14" s="55" t="str">
        <f>IF('UV calibration and raw data'!C56="","",'UV calibration and raw data'!C56)</f>
        <v/>
      </c>
      <c r="F14" s="55" t="str">
        <f>IF('UV calibration and raw data'!D56="","",'UV calibration and raw data'!D56)</f>
        <v/>
      </c>
      <c r="G14" s="55" t="str">
        <f>IF('UV calibration and raw data'!E56="","",'UV calibration and raw data'!E56)</f>
        <v/>
      </c>
      <c r="H14" s="55" t="str">
        <f>IF('UV calibration and raw data'!F56="","",'UV calibration and raw data'!F56)</f>
        <v/>
      </c>
      <c r="I14" s="55" t="str">
        <f>IF('UV calibration and raw data'!G56="","",'UV calibration and raw data'!G56)</f>
        <v/>
      </c>
      <c r="J14" s="55" t="str">
        <f>IF('UV calibration and raw data'!H56="","",'UV calibration and raw data'!H56)</f>
        <v/>
      </c>
      <c r="K14" s="55" t="str">
        <f>IF('UV calibration and raw data'!I56="","",'UV calibration and raw data'!I56)</f>
        <v/>
      </c>
      <c r="L14" s="55" t="str">
        <f>IF('UV calibration and raw data'!J56="","",'UV calibration and raw data'!J56)</f>
        <v/>
      </c>
      <c r="M14" s="55" t="str">
        <f>IF('UV calibration and raw data'!K56="","",'UV calibration and raw data'!K56)</f>
        <v/>
      </c>
      <c r="N14" s="55" t="str">
        <f>IF('UV calibration and raw data'!L56="","",'UV calibration and raw data'!L56)</f>
        <v/>
      </c>
      <c r="O14" s="56" t="str">
        <f>IF('UV calibration and raw data'!M56="","",'UV calibration and raw data'!M56)</f>
        <v/>
      </c>
      <c r="Q14" s="8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D14" s="8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</row>
    <row r="15" spans="1:41" x14ac:dyDescent="0.3">
      <c r="A15" s="3" t="s">
        <v>44</v>
      </c>
      <c r="B15" s="60"/>
      <c r="D15" s="54" t="str">
        <f>IF('UV calibration and raw data'!B57="","",'UV calibration and raw data'!B57)</f>
        <v/>
      </c>
      <c r="E15" s="55" t="str">
        <f>IF('UV calibration and raw data'!C57="","",'UV calibration and raw data'!C57)</f>
        <v/>
      </c>
      <c r="F15" s="55" t="str">
        <f>IF('UV calibration and raw data'!D57="","",'UV calibration and raw data'!D57)</f>
        <v/>
      </c>
      <c r="G15" s="55" t="str">
        <f>IF('UV calibration and raw data'!E57="","",'UV calibration and raw data'!E57)</f>
        <v/>
      </c>
      <c r="H15" s="55" t="str">
        <f>IF('UV calibration and raw data'!F57="","",'UV calibration and raw data'!F57)</f>
        <v/>
      </c>
      <c r="I15" s="55" t="str">
        <f>IF('UV calibration and raw data'!G57="","",'UV calibration and raw data'!G57)</f>
        <v/>
      </c>
      <c r="J15" s="55" t="str">
        <f>IF('UV calibration and raw data'!H57="","",'UV calibration and raw data'!H57)</f>
        <v/>
      </c>
      <c r="K15" s="55" t="str">
        <f>IF('UV calibration and raw data'!I57="","",'UV calibration and raw data'!I57)</f>
        <v/>
      </c>
      <c r="L15" s="55" t="str">
        <f>IF('UV calibration and raw data'!J57="","",'UV calibration and raw data'!J57)</f>
        <v/>
      </c>
      <c r="M15" s="55" t="str">
        <f>IF('UV calibration and raw data'!K57="","",'UV calibration and raw data'!K57)</f>
        <v/>
      </c>
      <c r="N15" s="55" t="str">
        <f>IF('UV calibration and raw data'!L57="","",'UV calibration and raw data'!L57)</f>
        <v/>
      </c>
      <c r="O15" s="56" t="str">
        <f>IF('UV calibration and raw data'!M57="","",'UV calibration and raw data'!M57)</f>
        <v/>
      </c>
      <c r="Q15" s="8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D15" s="8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10"/>
    </row>
    <row r="16" spans="1:41" ht="15.6" x14ac:dyDescent="0.35">
      <c r="A16" s="3" t="s">
        <v>66</v>
      </c>
      <c r="B16" s="60"/>
      <c r="D16" s="54" t="str">
        <f>IF('UV calibration and raw data'!B58="","",'UV calibration and raw data'!B58)</f>
        <v/>
      </c>
      <c r="E16" s="55" t="str">
        <f>IF('UV calibration and raw data'!C58="","",'UV calibration and raw data'!C58)</f>
        <v/>
      </c>
      <c r="F16" s="55" t="str">
        <f>IF('UV calibration and raw data'!D58="","",'UV calibration and raw data'!D58)</f>
        <v/>
      </c>
      <c r="G16" s="55" t="str">
        <f>IF('UV calibration and raw data'!E58="","",'UV calibration and raw data'!E58)</f>
        <v/>
      </c>
      <c r="H16" s="55" t="str">
        <f>IF('UV calibration and raw data'!F58="","",'UV calibration and raw data'!F58)</f>
        <v/>
      </c>
      <c r="I16" s="55" t="str">
        <f>IF('UV calibration and raw data'!G58="","",'UV calibration and raw data'!G58)</f>
        <v/>
      </c>
      <c r="J16" s="55" t="str">
        <f>IF('UV calibration and raw data'!H58="","",'UV calibration and raw data'!H58)</f>
        <v/>
      </c>
      <c r="K16" s="55" t="str">
        <f>IF('UV calibration and raw data'!I58="","",'UV calibration and raw data'!I58)</f>
        <v/>
      </c>
      <c r="L16" s="55" t="str">
        <f>IF('UV calibration and raw data'!J58="","",'UV calibration and raw data'!J58)</f>
        <v/>
      </c>
      <c r="M16" s="55" t="str">
        <f>IF('UV calibration and raw data'!K58="","",'UV calibration and raw data'!K58)</f>
        <v/>
      </c>
      <c r="N16" s="55" t="str">
        <f>IF('UV calibration and raw data'!L58="","",'UV calibration and raw data'!L58)</f>
        <v/>
      </c>
      <c r="O16" s="56" t="str">
        <f>IF('UV calibration and raw data'!M58="","",'UV calibration and raw data'!M58)</f>
        <v/>
      </c>
      <c r="Q16" s="8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D16" s="8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0"/>
    </row>
    <row r="17" spans="4:41" x14ac:dyDescent="0.3">
      <c r="D17" s="54" t="str">
        <f>IF('UV calibration and raw data'!B59="","",'UV calibration and raw data'!B59)</f>
        <v/>
      </c>
      <c r="E17" s="55" t="str">
        <f>IF('UV calibration and raw data'!C59="","",'UV calibration and raw data'!C59)</f>
        <v/>
      </c>
      <c r="F17" s="55" t="str">
        <f>IF('UV calibration and raw data'!D59="","",'UV calibration and raw data'!D59)</f>
        <v/>
      </c>
      <c r="G17" s="55" t="str">
        <f>IF('UV calibration and raw data'!E59="","",'UV calibration and raw data'!E59)</f>
        <v/>
      </c>
      <c r="H17" s="55" t="str">
        <f>IF('UV calibration and raw data'!F59="","",'UV calibration and raw data'!F59)</f>
        <v/>
      </c>
      <c r="I17" s="55" t="str">
        <f>IF('UV calibration and raw data'!G59="","",'UV calibration and raw data'!G59)</f>
        <v/>
      </c>
      <c r="J17" s="55" t="str">
        <f>IF('UV calibration and raw data'!H59="","",'UV calibration and raw data'!H59)</f>
        <v/>
      </c>
      <c r="K17" s="55" t="str">
        <f>IF('UV calibration and raw data'!I59="","",'UV calibration and raw data'!I59)</f>
        <v/>
      </c>
      <c r="L17" s="55" t="str">
        <f>IF('UV calibration and raw data'!J59="","",'UV calibration and raw data'!J59)</f>
        <v/>
      </c>
      <c r="M17" s="55" t="str">
        <f>IF('UV calibration and raw data'!K59="","",'UV calibration and raw data'!K59)</f>
        <v/>
      </c>
      <c r="N17" s="55" t="str">
        <f>IF('UV calibration and raw data'!L59="","",'UV calibration and raw data'!L59)</f>
        <v/>
      </c>
      <c r="O17" s="56" t="str">
        <f>IF('UV calibration and raw data'!M59="","",'UV calibration and raw data'!M59)</f>
        <v/>
      </c>
      <c r="Q17" s="8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D17" s="8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</row>
    <row r="18" spans="4:41" x14ac:dyDescent="0.3">
      <c r="D18" s="54" t="str">
        <f>IF('UV calibration and raw data'!B60="","",'UV calibration and raw data'!B60)</f>
        <v/>
      </c>
      <c r="E18" s="55" t="str">
        <f>IF('UV calibration and raw data'!C60="","",'UV calibration and raw data'!C60)</f>
        <v/>
      </c>
      <c r="F18" s="55" t="str">
        <f>IF('UV calibration and raw data'!D60="","",'UV calibration and raw data'!D60)</f>
        <v/>
      </c>
      <c r="G18" s="55" t="str">
        <f>IF('UV calibration and raw data'!E60="","",'UV calibration and raw data'!E60)</f>
        <v/>
      </c>
      <c r="H18" s="55" t="str">
        <f>IF('UV calibration and raw data'!F60="","",'UV calibration and raw data'!F60)</f>
        <v/>
      </c>
      <c r="I18" s="55" t="str">
        <f>IF('UV calibration and raw data'!G60="","",'UV calibration and raw data'!G60)</f>
        <v/>
      </c>
      <c r="J18" s="55" t="str">
        <f>IF('UV calibration and raw data'!H60="","",'UV calibration and raw data'!H60)</f>
        <v/>
      </c>
      <c r="K18" s="55" t="str">
        <f>IF('UV calibration and raw data'!I60="","",'UV calibration and raw data'!I60)</f>
        <v/>
      </c>
      <c r="L18" s="55" t="str">
        <f>IF('UV calibration and raw data'!J60="","",'UV calibration and raw data'!J60)</f>
        <v/>
      </c>
      <c r="M18" s="55" t="str">
        <f>IF('UV calibration and raw data'!K60="","",'UV calibration and raw data'!K60)</f>
        <v/>
      </c>
      <c r="N18" s="55" t="str">
        <f>IF('UV calibration and raw data'!L60="","",'UV calibration and raw data'!L60)</f>
        <v/>
      </c>
      <c r="O18" s="56" t="str">
        <f>IF('UV calibration and raw data'!M60="","",'UV calibration and raw data'!M60)</f>
        <v/>
      </c>
      <c r="Q18" s="8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D18" s="8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10"/>
    </row>
    <row r="19" spans="4:41" x14ac:dyDescent="0.3">
      <c r="D19" s="54" t="str">
        <f>IF('UV calibration and raw data'!B61="","",'UV calibration and raw data'!B61)</f>
        <v/>
      </c>
      <c r="E19" s="55" t="str">
        <f>IF('UV calibration and raw data'!C61="","",'UV calibration and raw data'!C61)</f>
        <v/>
      </c>
      <c r="F19" s="55" t="str">
        <f>IF('UV calibration and raw data'!D61="","",'UV calibration and raw data'!D61)</f>
        <v/>
      </c>
      <c r="G19" s="55" t="str">
        <f>IF('UV calibration and raw data'!E61="","",'UV calibration and raw data'!E61)</f>
        <v/>
      </c>
      <c r="H19" s="55" t="str">
        <f>IF('UV calibration and raw data'!F61="","",'UV calibration and raw data'!F61)</f>
        <v/>
      </c>
      <c r="I19" s="55" t="str">
        <f>IF('UV calibration and raw data'!G61="","",'UV calibration and raw data'!G61)</f>
        <v/>
      </c>
      <c r="J19" s="55" t="str">
        <f>IF('UV calibration and raw data'!H61="","",'UV calibration and raw data'!H61)</f>
        <v/>
      </c>
      <c r="K19" s="55" t="str">
        <f>IF('UV calibration and raw data'!I61="","",'UV calibration and raw data'!I61)</f>
        <v/>
      </c>
      <c r="L19" s="55" t="str">
        <f>IF('UV calibration and raw data'!J61="","",'UV calibration and raw data'!J61)</f>
        <v/>
      </c>
      <c r="M19" s="55" t="str">
        <f>IF('UV calibration and raw data'!K61="","",'UV calibration and raw data'!K61)</f>
        <v/>
      </c>
      <c r="N19" s="55" t="str">
        <f>IF('UV calibration and raw data'!L61="","",'UV calibration and raw data'!L61)</f>
        <v/>
      </c>
      <c r="O19" s="56" t="str">
        <f>IF('UV calibration and raw data'!M61="","",'UV calibration and raw data'!M61)</f>
        <v/>
      </c>
      <c r="Q19" s="8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D19" s="8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</row>
    <row r="20" spans="4:41" x14ac:dyDescent="0.3">
      <c r="D20" s="57" t="str">
        <f>IF('UV calibration and raw data'!B62="","",'UV calibration and raw data'!B62)</f>
        <v/>
      </c>
      <c r="E20" s="58" t="str">
        <f>IF('UV calibration and raw data'!C62="","",'UV calibration and raw data'!C62)</f>
        <v/>
      </c>
      <c r="F20" s="58" t="str">
        <f>IF('UV calibration and raw data'!D62="","",'UV calibration and raw data'!D62)</f>
        <v/>
      </c>
      <c r="G20" s="58" t="str">
        <f>IF('UV calibration and raw data'!E62="","",'UV calibration and raw data'!E62)</f>
        <v/>
      </c>
      <c r="H20" s="58" t="str">
        <f>IF('UV calibration and raw data'!F62="","",'UV calibration and raw data'!F62)</f>
        <v/>
      </c>
      <c r="I20" s="58" t="str">
        <f>IF('UV calibration and raw data'!G62="","",'UV calibration and raw data'!G62)</f>
        <v/>
      </c>
      <c r="J20" s="58" t="str">
        <f>IF('UV calibration and raw data'!H62="","",'UV calibration and raw data'!H62)</f>
        <v/>
      </c>
      <c r="K20" s="58" t="str">
        <f>IF('UV calibration and raw data'!I62="","",'UV calibration and raw data'!I62)</f>
        <v/>
      </c>
      <c r="L20" s="58" t="str">
        <f>IF('UV calibration and raw data'!J62="","",'UV calibration and raw data'!J62)</f>
        <v/>
      </c>
      <c r="M20" s="58" t="str">
        <f>IF('UV calibration and raw data'!K62="","",'UV calibration and raw data'!K62)</f>
        <v/>
      </c>
      <c r="N20" s="58" t="str">
        <f>IF('UV calibration and raw data'!L62="","",'UV calibration and raw data'!L62)</f>
        <v/>
      </c>
      <c r="O20" s="59" t="str">
        <f>IF('UV calibration and raw data'!M62="","",'UV calibration and raw data'!M62)</f>
        <v/>
      </c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3"/>
      <c r="AD20" s="11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/>
    </row>
    <row r="22" spans="4:41" ht="15.6" x14ac:dyDescent="0.35">
      <c r="D22" s="1" t="s">
        <v>20</v>
      </c>
      <c r="F22" s="1" t="s">
        <v>64</v>
      </c>
      <c r="Q22" s="1" t="s">
        <v>20</v>
      </c>
      <c r="S22" s="1" t="s">
        <v>64</v>
      </c>
      <c r="AD22" s="1" t="s">
        <v>20</v>
      </c>
      <c r="AF22" s="1" t="s">
        <v>64</v>
      </c>
    </row>
    <row r="23" spans="4:41" x14ac:dyDescent="0.3">
      <c r="D23" s="51" t="str">
        <f>IF(D3="","",IF(D13="","",IF('UV calibration and raw data'!AO55="",Inputs!Q23*(Results!D3-Results!D13)/Inputs!Q13,(Inputs!Q23*Results!D3-'UV calibration and raw data'!AO55*Results!D13)/Inputs!Q13)))</f>
        <v/>
      </c>
      <c r="E23" s="52" t="str">
        <f>IF(E3="","",IF(E13="","",IF('UV calibration and raw data'!AP55="",Inputs!R23*(Results!E3-Results!E13)/Inputs!R13,(Inputs!R23*Results!E3-'UV calibration and raw data'!AP55*Results!E13)/Inputs!R13)))</f>
        <v/>
      </c>
      <c r="F23" s="52" t="str">
        <f>IF(F3="","",IF(F13="","",IF('UV calibration and raw data'!AQ55="",Inputs!S23*(Results!F3-Results!F13)/Inputs!S13,(Inputs!S23*Results!F3-'UV calibration and raw data'!AQ55*Results!F13)/Inputs!S13)))</f>
        <v/>
      </c>
      <c r="G23" s="52" t="str">
        <f>IF(G3="","",IF(G13="","",IF('UV calibration and raw data'!AR55="",Inputs!T23*(Results!G3-Results!G13)/Inputs!T13,(Inputs!T23*Results!G3-'UV calibration and raw data'!AR55*Results!G13)/Inputs!T13)))</f>
        <v/>
      </c>
      <c r="H23" s="52" t="str">
        <f>IF(H3="","",IF(H13="","",IF('UV calibration and raw data'!AS55="",Inputs!U23*(Results!H3-Results!H13)/Inputs!U13,(Inputs!U23*Results!H3-'UV calibration and raw data'!AS55*Results!H13)/Inputs!U13)))</f>
        <v/>
      </c>
      <c r="I23" s="52" t="str">
        <f>IF(I3="","",IF(I13="","",IF('UV calibration and raw data'!AT55="",Inputs!V23*(Results!I3-Results!I13)/Inputs!V13,(Inputs!V23*Results!I3-'UV calibration and raw data'!AT55*Results!I13)/Inputs!V13)))</f>
        <v/>
      </c>
      <c r="J23" s="52" t="str">
        <f>IF(J3="","",IF(J13="","",IF('UV calibration and raw data'!AU55="",Inputs!W23*(Results!J3-Results!J13)/Inputs!W13,(Inputs!W23*Results!J3-'UV calibration and raw data'!AU55*Results!J13)/Inputs!W13)))</f>
        <v/>
      </c>
      <c r="K23" s="52" t="str">
        <f>IF(K3="","",IF(K13="","",IF('UV calibration and raw data'!AV55="",Inputs!X23*(Results!K3-Results!K13)/Inputs!X13,(Inputs!X23*Results!K3-'UV calibration and raw data'!AV55*Results!K13)/Inputs!X13)))</f>
        <v/>
      </c>
      <c r="L23" s="52" t="str">
        <f>IF(L3="","",IF(L13="","",IF('UV calibration and raw data'!AW55="",Inputs!Y23*(Results!L3-Results!L13)/Inputs!Y13,(Inputs!Y23*Results!L3-'UV calibration and raw data'!AW55*Results!L13)/Inputs!Y13)))</f>
        <v/>
      </c>
      <c r="M23" s="52" t="str">
        <f>IF(M3="","",IF(M13="","",IF('UV calibration and raw data'!AX55="",Inputs!Z23*(Results!M3-Results!M13)/Inputs!Z13,(Inputs!Z23*Results!M3-'UV calibration and raw data'!AX55*Results!M13)/Inputs!Z13)))</f>
        <v/>
      </c>
      <c r="N23" s="52" t="str">
        <f>IF(N3="","",IF(N13="","",IF('UV calibration and raw data'!AY55="",Inputs!AA23*(Results!N3-Results!N13)/Inputs!AA13,(Inputs!AA23*Results!N3-'UV calibration and raw data'!AY55*Results!N13)/Inputs!AA13)))</f>
        <v/>
      </c>
      <c r="O23" s="53" t="str">
        <f>IF(O3="","",IF(O13="","",IF('UV calibration and raw data'!AZ55="",Inputs!AB23*(Results!O3-Results!O13)/Inputs!AB13,(Inputs!AB23*Results!O3-'UV calibration and raw data'!AZ55*Results!O13)/Inputs!AB13)))</f>
        <v/>
      </c>
      <c r="Q23" s="37" t="str">
        <f>IF(Q3="","",IF(Q13="","",Inputs!Q23*(Results!Q3-Results!Q13)/Inputs!Q13))</f>
        <v/>
      </c>
      <c r="R23" s="52" t="str">
        <f>IF(R3="","",IF(R13="","",Inputs!R23*(Results!R3-Results!R13)/Inputs!R13))</f>
        <v/>
      </c>
      <c r="S23" s="38" t="str">
        <f>IF(S3="","",IF(S13="","",Inputs!S23*(Results!S3-Results!S13)/Inputs!S13))</f>
        <v/>
      </c>
      <c r="T23" s="38" t="str">
        <f>IF(T3="","",IF(T13="","",Inputs!T23*(Results!T3-Results!T13)/Inputs!T13))</f>
        <v/>
      </c>
      <c r="U23" s="38" t="str">
        <f>IF(U3="","",IF(U13="","",Inputs!U23*(Results!U3-Results!U13)/Inputs!U13))</f>
        <v/>
      </c>
      <c r="V23" s="38" t="str">
        <f>IF(V3="","",IF(V13="","",Inputs!V23*(Results!V3-Results!V13)/Inputs!V13))</f>
        <v/>
      </c>
      <c r="W23" s="38" t="str">
        <f>IF(W3="","",IF(W13="","",Inputs!W23*(Results!W3-Results!W13)/Inputs!W13))</f>
        <v/>
      </c>
      <c r="X23" s="38" t="str">
        <f>IF(X3="","",IF(X13="","",Inputs!X23*(Results!X3-Results!X13)/Inputs!X13))</f>
        <v/>
      </c>
      <c r="Y23" s="38" t="str">
        <f>IF(Y3="","",IF(Y13="","",Inputs!Y23*(Results!Y3-Results!Y13)/Inputs!Y13))</f>
        <v/>
      </c>
      <c r="Z23" s="38" t="str">
        <f>IF(Z3="","",IF(Z13="","",Inputs!Z23*(Results!Z3-Results!Z13)/Inputs!Z13))</f>
        <v/>
      </c>
      <c r="AA23" s="38" t="str">
        <f>IF(AA3="","",IF(AA13="","",Inputs!AA23*(Results!AA3-Results!AA13)/Inputs!AA13))</f>
        <v/>
      </c>
      <c r="AB23" s="39" t="str">
        <f>IF(AB3="","",IF(AB13="","",Inputs!AB23*(Results!AB3-Results!AB13)/Inputs!AB13))</f>
        <v/>
      </c>
      <c r="AD23" s="37" t="str">
        <f>IF(AD3="","",IF(AD13="","",Inputs!Q23*(Results!AD3-Results!AD13)/Inputs!Q13))</f>
        <v/>
      </c>
      <c r="AE23" s="62" t="str">
        <f>IF(AE3="","",IF(AE13="","",Inputs!R23*(Results!AE3-Results!AE13)/Inputs!R13))</f>
        <v/>
      </c>
      <c r="AF23" s="38" t="str">
        <f>IF(AF3="","",IF(AF13="","",Inputs!S23*(Results!AF3-Results!AF13)/Inputs!S13))</f>
        <v/>
      </c>
      <c r="AG23" s="38" t="str">
        <f>IF(AG3="","",IF(AG13="","",Inputs!T23*(Results!AG3-Results!AG13)/Inputs!T13))</f>
        <v/>
      </c>
      <c r="AH23" s="38" t="str">
        <f>IF(AH3="","",IF(AH13="","",Inputs!U23*(Results!AH3-Results!AH13)/Inputs!U13))</f>
        <v/>
      </c>
      <c r="AI23" s="38" t="str">
        <f>IF(AI3="","",IF(AI13="","",Inputs!V23*(Results!AI3-Results!AI13)/Inputs!V13))</f>
        <v/>
      </c>
      <c r="AJ23" s="38" t="str">
        <f>IF(AJ3="","",IF(AJ13="","",Inputs!W23*(Results!AJ3-Results!AJ13)/Inputs!W13))</f>
        <v/>
      </c>
      <c r="AK23" s="38" t="str">
        <f>IF(AK3="","",IF(AK13="","",Inputs!X23*(Results!AK3-Results!AK13)/Inputs!X13))</f>
        <v/>
      </c>
      <c r="AL23" s="38" t="str">
        <f>IF(AL3="","",IF(AL13="","",Inputs!Y23*(Results!AL3-Results!AL13)/Inputs!Y13))</f>
        <v/>
      </c>
      <c r="AM23" s="38" t="str">
        <f>IF(AM3="","",IF(AM13="","",Inputs!Z23*(Results!AM3-Results!AM13)/Inputs!Z13))</f>
        <v/>
      </c>
      <c r="AN23" s="38" t="str">
        <f>IF(AN3="","",IF(AN13="","",Inputs!AA23*(Results!AN3-Results!AN13)/Inputs!AA13))</f>
        <v/>
      </c>
      <c r="AO23" s="39" t="str">
        <f>IF(AO3="","",IF(AO13="","",Inputs!AB23*(Results!AO3-Results!AO13)/Inputs!AB13))</f>
        <v/>
      </c>
    </row>
    <row r="24" spans="4:41" x14ac:dyDescent="0.3">
      <c r="D24" s="54" t="str">
        <f>IF(D4="","",IF(D14="","",IF('UV calibration and raw data'!AO56="",Inputs!Q24*(Results!D4-Results!D14)/Inputs!Q14,(Inputs!Q24*Results!D4-'UV calibration and raw data'!AO56*Results!D14)/Inputs!Q14)))</f>
        <v/>
      </c>
      <c r="E24" s="55" t="str">
        <f>IF(E4="","",IF(E14="","",IF('UV calibration and raw data'!AP56="",Inputs!R24*(Results!E4-Results!E14)/Inputs!R14,(Inputs!R24*Results!E4-'UV calibration and raw data'!AP56*Results!E14)/Inputs!R14)))</f>
        <v/>
      </c>
      <c r="F24" s="55" t="str">
        <f>IF(F4="","",IF(F14="","",IF('UV calibration and raw data'!AQ56="",Inputs!S24*(Results!F4-Results!F14)/Inputs!S14,(Inputs!S24*Results!F4-'UV calibration and raw data'!AQ56*Results!F14)/Inputs!S14)))</f>
        <v/>
      </c>
      <c r="G24" s="55" t="str">
        <f>IF(G4="","",IF(G14="","",IF('UV calibration and raw data'!AR56="",Inputs!T24*(Results!G4-Results!G14)/Inputs!T14,(Inputs!T24*Results!G4-'UV calibration and raw data'!AR56*Results!G14)/Inputs!T14)))</f>
        <v/>
      </c>
      <c r="H24" s="55" t="str">
        <f>IF(H4="","",IF(H14="","",IF('UV calibration and raw data'!AS56="",Inputs!U24*(Results!H4-Results!H14)/Inputs!U14,(Inputs!U24*Results!H4-'UV calibration and raw data'!AS56*Results!H14)/Inputs!U14)))</f>
        <v/>
      </c>
      <c r="I24" s="55" t="str">
        <f>IF(I4="","",IF(I14="","",IF('UV calibration and raw data'!AT56="",Inputs!V24*(Results!I4-Results!I14)/Inputs!V14,(Inputs!V24*Results!I4-'UV calibration and raw data'!AT56*Results!I14)/Inputs!V14)))</f>
        <v/>
      </c>
      <c r="J24" s="55" t="str">
        <f>IF(J4="","",IF(J14="","",IF('UV calibration and raw data'!AU56="",Inputs!W24*(Results!J4-Results!J14)/Inputs!W14,(Inputs!W24*Results!J4-'UV calibration and raw data'!AU56*Results!J14)/Inputs!W14)))</f>
        <v/>
      </c>
      <c r="K24" s="55" t="str">
        <f>IF(K4="","",IF(K14="","",IF('UV calibration and raw data'!AV56="",Inputs!X24*(Results!K4-Results!K14)/Inputs!X14,(Inputs!X24*Results!K4-'UV calibration and raw data'!AV56*Results!K14)/Inputs!X14)))</f>
        <v/>
      </c>
      <c r="L24" s="55" t="str">
        <f>IF(L4="","",IF(L14="","",IF('UV calibration and raw data'!AW56="",Inputs!Y24*(Results!L4-Results!L14)/Inputs!Y14,(Inputs!Y24*Results!L4-'UV calibration and raw data'!AW56*Results!L14)/Inputs!Y14)))</f>
        <v/>
      </c>
      <c r="M24" s="55" t="str">
        <f>IF(M4="","",IF(M14="","",IF('UV calibration and raw data'!AX56="",Inputs!Z24*(Results!M4-Results!M14)/Inputs!Z14,(Inputs!Z24*Results!M4-'UV calibration and raw data'!AX56*Results!M14)/Inputs!Z14)))</f>
        <v/>
      </c>
      <c r="N24" s="55" t="str">
        <f>IF(N4="","",IF(N14="","",IF('UV calibration and raw data'!AY56="",Inputs!AA24*(Results!N4-Results!N14)/Inputs!AA14,(Inputs!AA24*Results!N4-'UV calibration and raw data'!AY56*Results!N14)/Inputs!AA14)))</f>
        <v/>
      </c>
      <c r="O24" s="56" t="str">
        <f>IF(O4="","",IF(O14="","",IF('UV calibration and raw data'!AZ56="",Inputs!AB24*(Results!O4-Results!O14)/Inputs!AB14,(Inputs!AB24*Results!O4-'UV calibration and raw data'!AZ56*Results!O14)/Inputs!AB14)))</f>
        <v/>
      </c>
      <c r="Q24" s="41" t="str">
        <f>IF(Q4="","",IF(Q14="","",Inputs!Q24*(Results!Q4-Results!Q14)/Inputs!Q14))</f>
        <v/>
      </c>
      <c r="R24" s="55" t="str">
        <f>IF(R4="","",IF(R14="","",Inputs!R24*(Results!R4-Results!R14)/Inputs!R14))</f>
        <v/>
      </c>
      <c r="S24" s="42" t="str">
        <f>IF(S4="","",IF(S14="","",Inputs!S24*(Results!S4-Results!S14)/Inputs!S14))</f>
        <v/>
      </c>
      <c r="T24" s="42" t="str">
        <f>IF(T4="","",IF(T14="","",Inputs!T24*(Results!T4-Results!T14)/Inputs!T14))</f>
        <v/>
      </c>
      <c r="U24" s="42" t="str">
        <f>IF(U4="","",IF(U14="","",Inputs!U24*(Results!U4-Results!U14)/Inputs!U14))</f>
        <v/>
      </c>
      <c r="V24" s="42" t="str">
        <f>IF(V4="","",IF(V14="","",Inputs!V24*(Results!V4-Results!V14)/Inputs!V14))</f>
        <v/>
      </c>
      <c r="W24" s="42" t="str">
        <f>IF(W4="","",IF(W14="","",Inputs!W24*(Results!W4-Results!W14)/Inputs!W14))</f>
        <v/>
      </c>
      <c r="X24" s="42" t="str">
        <f>IF(X4="","",IF(X14="","",Inputs!X24*(Results!X4-Results!X14)/Inputs!X14))</f>
        <v/>
      </c>
      <c r="Y24" s="42" t="str">
        <f>IF(Y4="","",IF(Y14="","",Inputs!Y24*(Results!Y4-Results!Y14)/Inputs!Y14))</f>
        <v/>
      </c>
      <c r="Z24" s="42" t="str">
        <f>IF(Z4="","",IF(Z14="","",Inputs!Z24*(Results!Z4-Results!Z14)/Inputs!Z14))</f>
        <v/>
      </c>
      <c r="AA24" s="42" t="str">
        <f>IF(AA4="","",IF(AA14="","",Inputs!AA24*(Results!AA4-Results!AA14)/Inputs!AA14))</f>
        <v/>
      </c>
      <c r="AB24" s="43" t="str">
        <f>IF(AB4="","",IF(AB14="","",Inputs!AB24*(Results!AB4-Results!AB14)/Inputs!AB14))</f>
        <v/>
      </c>
      <c r="AD24" s="41" t="str">
        <f>IF(AD4="","",IF(AD14="","",Inputs!Q24*(Results!AD4-Results!AD14)/Inputs!Q14))</f>
        <v/>
      </c>
      <c r="AE24" s="63" t="str">
        <f>IF(AE4="","",IF(AE14="","",Inputs!R24*(Results!AE4-Results!AE14)/Inputs!R14))</f>
        <v/>
      </c>
      <c r="AF24" s="42" t="str">
        <f>IF(AF4="","",IF(AF14="","",Inputs!S24*(Results!AF4-Results!AF14)/Inputs!S14))</f>
        <v/>
      </c>
      <c r="AG24" s="42" t="str">
        <f>IF(AG4="","",IF(AG14="","",Inputs!T24*(Results!AG4-Results!AG14)/Inputs!T14))</f>
        <v/>
      </c>
      <c r="AH24" s="42" t="str">
        <f>IF(AH4="","",IF(AH14="","",Inputs!U24*(Results!AH4-Results!AH14)/Inputs!U14))</f>
        <v/>
      </c>
      <c r="AI24" s="42" t="str">
        <f>IF(AI4="","",IF(AI14="","",Inputs!V24*(Results!AI4-Results!AI14)/Inputs!V14))</f>
        <v/>
      </c>
      <c r="AJ24" s="42" t="str">
        <f>IF(AJ4="","",IF(AJ14="","",Inputs!W24*(Results!AJ4-Results!AJ14)/Inputs!W14))</f>
        <v/>
      </c>
      <c r="AK24" s="42" t="str">
        <f>IF(AK4="","",IF(AK14="","",Inputs!X24*(Results!AK4-Results!AK14)/Inputs!X14))</f>
        <v/>
      </c>
      <c r="AL24" s="42" t="str">
        <f>IF(AL4="","",IF(AL14="","",Inputs!Y24*(Results!AL4-Results!AL14)/Inputs!Y14))</f>
        <v/>
      </c>
      <c r="AM24" s="42" t="str">
        <f>IF(AM4="","",IF(AM14="","",Inputs!Z24*(Results!AM4-Results!AM14)/Inputs!Z14))</f>
        <v/>
      </c>
      <c r="AN24" s="42" t="str">
        <f>IF(AN4="","",IF(AN14="","",Inputs!AA24*(Results!AN4-Results!AN14)/Inputs!AA14))</f>
        <v/>
      </c>
      <c r="AO24" s="43" t="str">
        <f>IF(AO4="","",IF(AO14="","",Inputs!AB24*(Results!AO4-Results!AO14)/Inputs!AB14))</f>
        <v/>
      </c>
    </row>
    <row r="25" spans="4:41" x14ac:dyDescent="0.3">
      <c r="D25" s="54" t="str">
        <f>IF(D5="","",IF(D15="","",IF('UV calibration and raw data'!AO57="",Inputs!Q25*(Results!D5-Results!D15)/Inputs!Q15,(Inputs!Q25*Results!D5-'UV calibration and raw data'!AO57*Results!D15)/Inputs!Q15)))</f>
        <v/>
      </c>
      <c r="E25" s="55" t="str">
        <f>IF(E5="","",IF(E15="","",IF('UV calibration and raw data'!AP57="",Inputs!R25*(Results!E5-Results!E15)/Inputs!R15,(Inputs!R25*Results!E5-'UV calibration and raw data'!AP57*Results!E15)/Inputs!R15)))</f>
        <v/>
      </c>
      <c r="F25" s="55" t="str">
        <f>IF(F5="","",IF(F15="","",IF('UV calibration and raw data'!AQ57="",Inputs!S25*(Results!F5-Results!F15)/Inputs!S15,(Inputs!S25*Results!F5-'UV calibration and raw data'!AQ57*Results!F15)/Inputs!S15)))</f>
        <v/>
      </c>
      <c r="G25" s="55" t="str">
        <f>IF(G5="","",IF(G15="","",IF('UV calibration and raw data'!AR57="",Inputs!T25*(Results!G5-Results!G15)/Inputs!T15,(Inputs!T25*Results!G5-'UV calibration and raw data'!AR57*Results!G15)/Inputs!T15)))</f>
        <v/>
      </c>
      <c r="H25" s="55" t="str">
        <f>IF(H5="","",IF(H15="","",IF('UV calibration and raw data'!AS57="",Inputs!U25*(Results!H5-Results!H15)/Inputs!U15,(Inputs!U25*Results!H5-'UV calibration and raw data'!AS57*Results!H15)/Inputs!U15)))</f>
        <v/>
      </c>
      <c r="I25" s="55" t="str">
        <f>IF(I5="","",IF(I15="","",IF('UV calibration and raw data'!AT57="",Inputs!V25*(Results!I5-Results!I15)/Inputs!V15,(Inputs!V25*Results!I5-'UV calibration and raw data'!AT57*Results!I15)/Inputs!V15)))</f>
        <v/>
      </c>
      <c r="J25" s="55" t="str">
        <f>IF(J5="","",IF(J15="","",IF('UV calibration and raw data'!AU57="",Inputs!W25*(Results!J5-Results!J15)/Inputs!W15,(Inputs!W25*Results!J5-'UV calibration and raw data'!AU57*Results!J15)/Inputs!W15)))</f>
        <v/>
      </c>
      <c r="K25" s="55" t="str">
        <f>IF(K5="","",IF(K15="","",IF('UV calibration and raw data'!AV57="",Inputs!X25*(Results!K5-Results!K15)/Inputs!X15,(Inputs!X25*Results!K5-'UV calibration and raw data'!AV57*Results!K15)/Inputs!X15)))</f>
        <v/>
      </c>
      <c r="L25" s="55" t="str">
        <f>IF(L5="","",IF(L15="","",IF('UV calibration and raw data'!AW57="",Inputs!Y25*(Results!L5-Results!L15)/Inputs!Y15,(Inputs!Y25*Results!L5-'UV calibration and raw data'!AW57*Results!L15)/Inputs!Y15)))</f>
        <v/>
      </c>
      <c r="M25" s="55" t="str">
        <f>IF(M5="","",IF(M15="","",IF('UV calibration and raw data'!AX57="",Inputs!Z25*(Results!M5-Results!M15)/Inputs!Z15,(Inputs!Z25*Results!M5-'UV calibration and raw data'!AX57*Results!M15)/Inputs!Z15)))</f>
        <v/>
      </c>
      <c r="N25" s="55" t="str">
        <f>IF(N5="","",IF(N15="","",IF('UV calibration and raw data'!AY57="",Inputs!AA25*(Results!N5-Results!N15)/Inputs!AA15,(Inputs!AA25*Results!N5-'UV calibration and raw data'!AY57*Results!N15)/Inputs!AA15)))</f>
        <v/>
      </c>
      <c r="O25" s="56" t="str">
        <f>IF(O5="","",IF(O15="","",IF('UV calibration and raw data'!AZ57="",Inputs!AB25*(Results!O5-Results!O15)/Inputs!AB15,(Inputs!AB25*Results!O5-'UV calibration and raw data'!AZ57*Results!O15)/Inputs!AB15)))</f>
        <v/>
      </c>
      <c r="Q25" s="41" t="str">
        <f>IF(Q5="","",IF(Q15="","",Inputs!Q25*(Results!Q5-Results!Q15)/Inputs!Q15))</f>
        <v/>
      </c>
      <c r="R25" s="55" t="str">
        <f>IF(R5="","",IF(R15="","",Inputs!R25*(Results!R5-Results!R15)/Inputs!R15))</f>
        <v/>
      </c>
      <c r="S25" s="42" t="str">
        <f>IF(S5="","",IF(S15="","",Inputs!S25*(Results!S5-Results!S15)/Inputs!S15))</f>
        <v/>
      </c>
      <c r="T25" s="42" t="str">
        <f>IF(T5="","",IF(T15="","",Inputs!T25*(Results!T5-Results!T15)/Inputs!T15))</f>
        <v/>
      </c>
      <c r="U25" s="42" t="str">
        <f>IF(U5="","",IF(U15="","",Inputs!U25*(Results!U5-Results!U15)/Inputs!U15))</f>
        <v/>
      </c>
      <c r="V25" s="42" t="str">
        <f>IF(V5="","",IF(V15="","",Inputs!V25*(Results!V5-Results!V15)/Inputs!V15))</f>
        <v/>
      </c>
      <c r="W25" s="42" t="str">
        <f>IF(W5="","",IF(W15="","",Inputs!W25*(Results!W5-Results!W15)/Inputs!W15))</f>
        <v/>
      </c>
      <c r="X25" s="42" t="str">
        <f>IF(X5="","",IF(X15="","",Inputs!X25*(Results!X5-Results!X15)/Inputs!X15))</f>
        <v/>
      </c>
      <c r="Y25" s="42" t="str">
        <f>IF(Y5="","",IF(Y15="","",Inputs!Y25*(Results!Y5-Results!Y15)/Inputs!Y15))</f>
        <v/>
      </c>
      <c r="Z25" s="42" t="str">
        <f>IF(Z5="","",IF(Z15="","",Inputs!Z25*(Results!Z5-Results!Z15)/Inputs!Z15))</f>
        <v/>
      </c>
      <c r="AA25" s="42" t="str">
        <f>IF(AA5="","",IF(AA15="","",Inputs!AA25*(Results!AA5-Results!AA15)/Inputs!AA15))</f>
        <v/>
      </c>
      <c r="AB25" s="43" t="str">
        <f>IF(AB5="","",IF(AB15="","",Inputs!AB25*(Results!AB5-Results!AB15)/Inputs!AB15))</f>
        <v/>
      </c>
      <c r="AD25" s="41" t="str">
        <f>IF(AD5="","",IF(AD15="","",Inputs!Q25*(Results!AD5-Results!AD15)/Inputs!Q15))</f>
        <v/>
      </c>
      <c r="AE25" s="63" t="str">
        <f>IF(AE5="","",IF(AE15="","",Inputs!R25*(Results!AE5-Results!AE15)/Inputs!R15))</f>
        <v/>
      </c>
      <c r="AF25" s="42" t="str">
        <f>IF(AF5="","",IF(AF15="","",Inputs!S25*(Results!AF5-Results!AF15)/Inputs!S15))</f>
        <v/>
      </c>
      <c r="AG25" s="42" t="str">
        <f>IF(AG5="","",IF(AG15="","",Inputs!T25*(Results!AG5-Results!AG15)/Inputs!T15))</f>
        <v/>
      </c>
      <c r="AH25" s="42" t="str">
        <f>IF(AH5="","",IF(AH15="","",Inputs!U25*(Results!AH5-Results!AH15)/Inputs!U15))</f>
        <v/>
      </c>
      <c r="AI25" s="42" t="str">
        <f>IF(AI5="","",IF(AI15="","",Inputs!V25*(Results!AI5-Results!AI15)/Inputs!V15))</f>
        <v/>
      </c>
      <c r="AJ25" s="42" t="str">
        <f>IF(AJ5="","",IF(AJ15="","",Inputs!W25*(Results!AJ5-Results!AJ15)/Inputs!W15))</f>
        <v/>
      </c>
      <c r="AK25" s="42" t="str">
        <f>IF(AK5="","",IF(AK15="","",Inputs!X25*(Results!AK5-Results!AK15)/Inputs!X15))</f>
        <v/>
      </c>
      <c r="AL25" s="42" t="str">
        <f>IF(AL5="","",IF(AL15="","",Inputs!Y25*(Results!AL5-Results!AL15)/Inputs!Y15))</f>
        <v/>
      </c>
      <c r="AM25" s="42" t="str">
        <f>IF(AM5="","",IF(AM15="","",Inputs!Z25*(Results!AM5-Results!AM15)/Inputs!Z15))</f>
        <v/>
      </c>
      <c r="AN25" s="42" t="str">
        <f>IF(AN5="","",IF(AN15="","",Inputs!AA25*(Results!AN5-Results!AN15)/Inputs!AA15))</f>
        <v/>
      </c>
      <c r="AO25" s="43" t="str">
        <f>IF(AO5="","",IF(AO15="","",Inputs!AB25*(Results!AO5-Results!AO15)/Inputs!AB15))</f>
        <v/>
      </c>
    </row>
    <row r="26" spans="4:41" x14ac:dyDescent="0.3">
      <c r="D26" s="54" t="str">
        <f>IF(D6="","",IF(D16="","",IF('UV calibration and raw data'!AO58="",Inputs!Q26*(Results!D6-Results!D16)/Inputs!Q16,(Inputs!Q26*Results!D6-'UV calibration and raw data'!AO58*Results!D16)/Inputs!Q16)))</f>
        <v/>
      </c>
      <c r="E26" s="55" t="str">
        <f>IF(E6="","",IF(E16="","",IF('UV calibration and raw data'!AP58="",Inputs!R26*(Results!E6-Results!E16)/Inputs!R16,(Inputs!R26*Results!E6-'UV calibration and raw data'!AP58*Results!E16)/Inputs!R16)))</f>
        <v/>
      </c>
      <c r="F26" s="55" t="str">
        <f>IF(F6="","",IF(F16="","",IF('UV calibration and raw data'!AQ58="",Inputs!S26*(Results!F6-Results!F16)/Inputs!S16,(Inputs!S26*Results!F6-'UV calibration and raw data'!AQ58*Results!F16)/Inputs!S16)))</f>
        <v/>
      </c>
      <c r="G26" s="55" t="str">
        <f>IF(G6="","",IF(G16="","",IF('UV calibration and raw data'!AR58="",Inputs!T26*(Results!G6-Results!G16)/Inputs!T16,(Inputs!T26*Results!G6-'UV calibration and raw data'!AR58*Results!G16)/Inputs!T16)))</f>
        <v/>
      </c>
      <c r="H26" s="55" t="str">
        <f>IF(H6="","",IF(H16="","",IF('UV calibration and raw data'!AS58="",Inputs!U26*(Results!H6-Results!H16)/Inputs!U16,(Inputs!U26*Results!H6-'UV calibration and raw data'!AS58*Results!H16)/Inputs!U16)))</f>
        <v/>
      </c>
      <c r="I26" s="55" t="str">
        <f>IF(I6="","",IF(I16="","",IF('UV calibration and raw data'!AT58="",Inputs!V26*(Results!I6-Results!I16)/Inputs!V16,(Inputs!V26*Results!I6-'UV calibration and raw data'!AT58*Results!I16)/Inputs!V16)))</f>
        <v/>
      </c>
      <c r="J26" s="55" t="str">
        <f>IF(J6="","",IF(J16="","",IF('UV calibration and raw data'!AU58="",Inputs!W26*(Results!J6-Results!J16)/Inputs!W16,(Inputs!W26*Results!J6-'UV calibration and raw data'!AU58*Results!J16)/Inputs!W16)))</f>
        <v/>
      </c>
      <c r="K26" s="55" t="str">
        <f>IF(K6="","",IF(K16="","",IF('UV calibration and raw data'!AV58="",Inputs!X26*(Results!K6-Results!K16)/Inputs!X16,(Inputs!X26*Results!K6-'UV calibration and raw data'!AV58*Results!K16)/Inputs!X16)))</f>
        <v/>
      </c>
      <c r="L26" s="55" t="str">
        <f>IF(L6="","",IF(L16="","",IF('UV calibration and raw data'!AW58="",Inputs!Y26*(Results!L6-Results!L16)/Inputs!Y16,(Inputs!Y26*Results!L6-'UV calibration and raw data'!AW58*Results!L16)/Inputs!Y16)))</f>
        <v/>
      </c>
      <c r="M26" s="55" t="str">
        <f>IF(M6="","",IF(M16="","",IF('UV calibration and raw data'!AX58="",Inputs!Z26*(Results!M6-Results!M16)/Inputs!Z16,(Inputs!Z26*Results!M6-'UV calibration and raw data'!AX58*Results!M16)/Inputs!Z16)))</f>
        <v/>
      </c>
      <c r="N26" s="55" t="str">
        <f>IF(N6="","",IF(N16="","",IF('UV calibration and raw data'!AY58="",Inputs!AA26*(Results!N6-Results!N16)/Inputs!AA16,(Inputs!AA26*Results!N6-'UV calibration and raw data'!AY58*Results!N16)/Inputs!AA16)))</f>
        <v/>
      </c>
      <c r="O26" s="56" t="str">
        <f>IF(O6="","",IF(O16="","",IF('UV calibration and raw data'!AZ58="",Inputs!AB26*(Results!O6-Results!O16)/Inputs!AB16,(Inputs!AB26*Results!O6-'UV calibration and raw data'!AZ58*Results!O16)/Inputs!AB16)))</f>
        <v/>
      </c>
      <c r="Q26" s="41" t="str">
        <f>IF(Q6="","",IF(Q16="","",Inputs!Q26*(Results!Q6-Results!Q16)/Inputs!Q16))</f>
        <v/>
      </c>
      <c r="R26" s="55" t="str">
        <f>IF(R6="","",IF(R16="","",Inputs!R26*(Results!R6-Results!R16)/Inputs!R16))</f>
        <v/>
      </c>
      <c r="S26" s="42" t="str">
        <f>IF(S6="","",IF(S16="","",Inputs!S26*(Results!S6-Results!S16)/Inputs!S16))</f>
        <v/>
      </c>
      <c r="T26" s="42" t="str">
        <f>IF(T6="","",IF(T16="","",Inputs!T26*(Results!T6-Results!T16)/Inputs!T16))</f>
        <v/>
      </c>
      <c r="U26" s="42" t="str">
        <f>IF(U6="","",IF(U16="","",Inputs!U26*(Results!U6-Results!U16)/Inputs!U16))</f>
        <v/>
      </c>
      <c r="V26" s="42" t="str">
        <f>IF(V6="","",IF(V16="","",Inputs!V26*(Results!V6-Results!V16)/Inputs!V16))</f>
        <v/>
      </c>
      <c r="W26" s="42" t="str">
        <f>IF(W6="","",IF(W16="","",Inputs!W26*(Results!W6-Results!W16)/Inputs!W16))</f>
        <v/>
      </c>
      <c r="X26" s="42" t="str">
        <f>IF(X6="","",IF(X16="","",Inputs!X26*(Results!X6-Results!X16)/Inputs!X16))</f>
        <v/>
      </c>
      <c r="Y26" s="42" t="str">
        <f>IF(Y6="","",IF(Y16="","",Inputs!Y26*(Results!Y6-Results!Y16)/Inputs!Y16))</f>
        <v/>
      </c>
      <c r="Z26" s="42" t="str">
        <f>IF(Z6="","",IF(Z16="","",Inputs!Z26*(Results!Z6-Results!Z16)/Inputs!Z16))</f>
        <v/>
      </c>
      <c r="AA26" s="42" t="str">
        <f>IF(AA6="","",IF(AA16="","",Inputs!AA26*(Results!AA6-Results!AA16)/Inputs!AA16))</f>
        <v/>
      </c>
      <c r="AB26" s="43" t="str">
        <f>IF(AB6="","",IF(AB16="","",Inputs!AB26*(Results!AB6-Results!AB16)/Inputs!AB16))</f>
        <v/>
      </c>
      <c r="AD26" s="41" t="str">
        <f>IF(AD6="","",IF(AD16="","",Inputs!Q26*(Results!AD6-Results!AD16)/Inputs!Q16))</f>
        <v/>
      </c>
      <c r="AE26" s="63" t="str">
        <f>IF(AE6="","",IF(AE16="","",Inputs!R26*(Results!AE6-Results!AE16)/Inputs!R16))</f>
        <v/>
      </c>
      <c r="AF26" s="42" t="str">
        <f>IF(AF6="","",IF(AF16="","",Inputs!S26*(Results!AF6-Results!AF16)/Inputs!S16))</f>
        <v/>
      </c>
      <c r="AG26" s="42" t="str">
        <f>IF(AG6="","",IF(AG16="","",Inputs!T26*(Results!AG6-Results!AG16)/Inputs!T16))</f>
        <v/>
      </c>
      <c r="AH26" s="42" t="str">
        <f>IF(AH6="","",IF(AH16="","",Inputs!U26*(Results!AH6-Results!AH16)/Inputs!U16))</f>
        <v/>
      </c>
      <c r="AI26" s="42" t="str">
        <f>IF(AI6="","",IF(AI16="","",Inputs!V26*(Results!AI6-Results!AI16)/Inputs!V16))</f>
        <v/>
      </c>
      <c r="AJ26" s="42" t="str">
        <f>IF(AJ6="","",IF(AJ16="","",Inputs!W26*(Results!AJ6-Results!AJ16)/Inputs!W16))</f>
        <v/>
      </c>
      <c r="AK26" s="42" t="str">
        <f>IF(AK6="","",IF(AK16="","",Inputs!X26*(Results!AK6-Results!AK16)/Inputs!X16))</f>
        <v/>
      </c>
      <c r="AL26" s="42" t="str">
        <f>IF(AL6="","",IF(AL16="","",Inputs!Y26*(Results!AL6-Results!AL16)/Inputs!Y16))</f>
        <v/>
      </c>
      <c r="AM26" s="42" t="str">
        <f>IF(AM6="","",IF(AM16="","",Inputs!Z26*(Results!AM6-Results!AM16)/Inputs!Z16))</f>
        <v/>
      </c>
      <c r="AN26" s="42" t="str">
        <f>IF(AN6="","",IF(AN16="","",Inputs!AA26*(Results!AN6-Results!AN16)/Inputs!AA16))</f>
        <v/>
      </c>
      <c r="AO26" s="43" t="str">
        <f>IF(AO6="","",IF(AO16="","",Inputs!AB26*(Results!AO6-Results!AO16)/Inputs!AB16))</f>
        <v/>
      </c>
    </row>
    <row r="27" spans="4:41" x14ac:dyDescent="0.3">
      <c r="D27" s="54" t="str">
        <f>IF(D7="","",IF(D17="","",IF('UV calibration and raw data'!AO59="",Inputs!Q27*(Results!D7-Results!D17)/Inputs!Q17,(Inputs!Q27*Results!D7-'UV calibration and raw data'!AO59*Results!D17)/Inputs!Q17)))</f>
        <v/>
      </c>
      <c r="E27" s="55" t="str">
        <f>IF(E7="","",IF(E17="","",IF('UV calibration and raw data'!AP59="",Inputs!R27*(Results!E7-Results!E17)/Inputs!R17,(Inputs!R27*Results!E7-'UV calibration and raw data'!AP59*Results!E17)/Inputs!R17)))</f>
        <v/>
      </c>
      <c r="F27" s="55" t="str">
        <f>IF(F7="","",IF(F17="","",IF('UV calibration and raw data'!AQ59="",Inputs!S27*(Results!F7-Results!F17)/Inputs!S17,(Inputs!S27*Results!F7-'UV calibration and raw data'!AQ59*Results!F17)/Inputs!S17)))</f>
        <v/>
      </c>
      <c r="G27" s="55" t="str">
        <f>IF(G7="","",IF(G17="","",IF('UV calibration and raw data'!AR59="",Inputs!T27*(Results!G7-Results!G17)/Inputs!T17,(Inputs!T27*Results!G7-'UV calibration and raw data'!AR59*Results!G17)/Inputs!T17)))</f>
        <v/>
      </c>
      <c r="H27" s="55" t="str">
        <f>IF(H7="","",IF(H17="","",IF('UV calibration and raw data'!AS59="",Inputs!U27*(Results!H7-Results!H17)/Inputs!U17,(Inputs!U27*Results!H7-'UV calibration and raw data'!AS59*Results!H17)/Inputs!U17)))</f>
        <v/>
      </c>
      <c r="I27" s="55" t="str">
        <f>IF(I7="","",IF(I17="","",IF('UV calibration and raw data'!AT59="",Inputs!V27*(Results!I7-Results!I17)/Inputs!V17,(Inputs!V27*Results!I7-'UV calibration and raw data'!AT59*Results!I17)/Inputs!V17)))</f>
        <v/>
      </c>
      <c r="J27" s="55" t="str">
        <f>IF(J7="","",IF(J17="","",IF('UV calibration and raw data'!AU59="",Inputs!W27*(Results!J7-Results!J17)/Inputs!W17,(Inputs!W27*Results!J7-'UV calibration and raw data'!AU59*Results!J17)/Inputs!W17)))</f>
        <v/>
      </c>
      <c r="K27" s="55" t="str">
        <f>IF(K7="","",IF(K17="","",IF('UV calibration and raw data'!AV59="",Inputs!X27*(Results!K7-Results!K17)/Inputs!X17,(Inputs!X27*Results!K7-'UV calibration and raw data'!AV59*Results!K17)/Inputs!X17)))</f>
        <v/>
      </c>
      <c r="L27" s="55" t="str">
        <f>IF(L7="","",IF(L17="","",IF('UV calibration and raw data'!AW59="",Inputs!Y27*(Results!L7-Results!L17)/Inputs!Y17,(Inputs!Y27*Results!L7-'UV calibration and raw data'!AW59*Results!L17)/Inputs!Y17)))</f>
        <v/>
      </c>
      <c r="M27" s="55" t="str">
        <f>IF(M7="","",IF(M17="","",IF('UV calibration and raw data'!AX59="",Inputs!Z27*(Results!M7-Results!M17)/Inputs!Z17,(Inputs!Z27*Results!M7-'UV calibration and raw data'!AX59*Results!M17)/Inputs!Z17)))</f>
        <v/>
      </c>
      <c r="N27" s="55" t="str">
        <f>IF(N7="","",IF(N17="","",IF('UV calibration and raw data'!AY59="",Inputs!AA27*(Results!N7-Results!N17)/Inputs!AA17,(Inputs!AA27*Results!N7-'UV calibration and raw data'!AY59*Results!N17)/Inputs!AA17)))</f>
        <v/>
      </c>
      <c r="O27" s="56" t="str">
        <f>IF(O7="","",IF(O17="","",IF('UV calibration and raw data'!AZ59="",Inputs!AB27*(Results!O7-Results!O17)/Inputs!AB17,(Inputs!AB27*Results!O7-'UV calibration and raw data'!AZ59*Results!O17)/Inputs!AB17)))</f>
        <v/>
      </c>
      <c r="Q27" s="41" t="str">
        <f>IF(Q7="","",IF(Q17="","",Inputs!Q27*(Results!Q7-Results!Q17)/Inputs!Q17))</f>
        <v/>
      </c>
      <c r="R27" s="55" t="str">
        <f>IF(R7="","",IF(R17="","",Inputs!R27*(Results!R7-Results!R17)/Inputs!R17))</f>
        <v/>
      </c>
      <c r="S27" s="42" t="str">
        <f>IF(S7="","",IF(S17="","",Inputs!S27*(Results!S7-Results!S17)/Inputs!S17))</f>
        <v/>
      </c>
      <c r="T27" s="42" t="str">
        <f>IF(T7="","",IF(T17="","",Inputs!T27*(Results!T7-Results!T17)/Inputs!T17))</f>
        <v/>
      </c>
      <c r="U27" s="42" t="str">
        <f>IF(U7="","",IF(U17="","",Inputs!U27*(Results!U7-Results!U17)/Inputs!U17))</f>
        <v/>
      </c>
      <c r="V27" s="42" t="str">
        <f>IF(V7="","",IF(V17="","",Inputs!V27*(Results!V7-Results!V17)/Inputs!V17))</f>
        <v/>
      </c>
      <c r="W27" s="42" t="str">
        <f>IF(W7="","",IF(W17="","",Inputs!W27*(Results!W7-Results!W17)/Inputs!W17))</f>
        <v/>
      </c>
      <c r="X27" s="42" t="str">
        <f>IF(X7="","",IF(X17="","",Inputs!X27*(Results!X7-Results!X17)/Inputs!X17))</f>
        <v/>
      </c>
      <c r="Y27" s="42" t="str">
        <f>IF(Y7="","",IF(Y17="","",Inputs!Y27*(Results!Y7-Results!Y17)/Inputs!Y17))</f>
        <v/>
      </c>
      <c r="Z27" s="42" t="str">
        <f>IF(Z7="","",IF(Z17="","",Inputs!Z27*(Results!Z7-Results!Z17)/Inputs!Z17))</f>
        <v/>
      </c>
      <c r="AA27" s="42" t="str">
        <f>IF(AA7="","",IF(AA17="","",Inputs!AA27*(Results!AA7-Results!AA17)/Inputs!AA17))</f>
        <v/>
      </c>
      <c r="AB27" s="43" t="str">
        <f>IF(AB7="","",IF(AB17="","",Inputs!AB27*(Results!AB7-Results!AB17)/Inputs!AB17))</f>
        <v/>
      </c>
      <c r="AD27" s="41" t="str">
        <f>IF(AD7="","",IF(AD17="","",Inputs!Q27*(Results!AD7-Results!AD17)/Inputs!Q17))</f>
        <v/>
      </c>
      <c r="AE27" s="63" t="str">
        <f>IF(AE7="","",IF(AE17="","",Inputs!R27*(Results!AE7-Results!AE17)/Inputs!R17))</f>
        <v/>
      </c>
      <c r="AF27" s="42" t="str">
        <f>IF(AF7="","",IF(AF17="","",Inputs!S27*(Results!AF7-Results!AF17)/Inputs!S17))</f>
        <v/>
      </c>
      <c r="AG27" s="42" t="str">
        <f>IF(AG7="","",IF(AG17="","",Inputs!T27*(Results!AG7-Results!AG17)/Inputs!T17))</f>
        <v/>
      </c>
      <c r="AH27" s="42" t="str">
        <f>IF(AH7="","",IF(AH17="","",Inputs!U27*(Results!AH7-Results!AH17)/Inputs!U17))</f>
        <v/>
      </c>
      <c r="AI27" s="42" t="str">
        <f>IF(AI7="","",IF(AI17="","",Inputs!V27*(Results!AI7-Results!AI17)/Inputs!V17))</f>
        <v/>
      </c>
      <c r="AJ27" s="42" t="str">
        <f>IF(AJ7="","",IF(AJ17="","",Inputs!W27*(Results!AJ7-Results!AJ17)/Inputs!W17))</f>
        <v/>
      </c>
      <c r="AK27" s="42" t="str">
        <f>IF(AK7="","",IF(AK17="","",Inputs!X27*(Results!AK7-Results!AK17)/Inputs!X17))</f>
        <v/>
      </c>
      <c r="AL27" s="42" t="str">
        <f>IF(AL7="","",IF(AL17="","",Inputs!Y27*(Results!AL7-Results!AL17)/Inputs!Y17))</f>
        <v/>
      </c>
      <c r="AM27" s="42" t="str">
        <f>IF(AM7="","",IF(AM17="","",Inputs!Z27*(Results!AM7-Results!AM17)/Inputs!Z17))</f>
        <v/>
      </c>
      <c r="AN27" s="42" t="str">
        <f>IF(AN7="","",IF(AN17="","",Inputs!AA27*(Results!AN7-Results!AN17)/Inputs!AA17))</f>
        <v/>
      </c>
      <c r="AO27" s="43" t="str">
        <f>IF(AO7="","",IF(AO17="","",Inputs!AB27*(Results!AO7-Results!AO17)/Inputs!AB17))</f>
        <v/>
      </c>
    </row>
    <row r="28" spans="4:41" x14ac:dyDescent="0.3">
      <c r="D28" s="54" t="str">
        <f>IF(D8="","",IF(D18="","",IF('UV calibration and raw data'!AO60="",Inputs!Q28*(Results!D8-Results!D18)/Inputs!Q18,(Inputs!Q28*Results!D8-'UV calibration and raw data'!AO60*Results!D18)/Inputs!Q18)))</f>
        <v/>
      </c>
      <c r="E28" s="55" t="str">
        <f>IF(E8="","",IF(E18="","",IF('UV calibration and raw data'!AP60="",Inputs!R28*(Results!E8-Results!E18)/Inputs!R18,(Inputs!R28*Results!E8-'UV calibration and raw data'!AP60*Results!E18)/Inputs!R18)))</f>
        <v/>
      </c>
      <c r="F28" s="55" t="str">
        <f>IF(F8="","",IF(F18="","",IF('UV calibration and raw data'!AQ60="",Inputs!S28*(Results!F8-Results!F18)/Inputs!S18,(Inputs!S28*Results!F8-'UV calibration and raw data'!AQ60*Results!F18)/Inputs!S18)))</f>
        <v/>
      </c>
      <c r="G28" s="55" t="str">
        <f>IF(G8="","",IF(G18="","",IF('UV calibration and raw data'!AR60="",Inputs!T28*(Results!G8-Results!G18)/Inputs!T18,(Inputs!T28*Results!G8-'UV calibration and raw data'!AR60*Results!G18)/Inputs!T18)))</f>
        <v/>
      </c>
      <c r="H28" s="55" t="str">
        <f>IF(H8="","",IF(H18="","",IF('UV calibration and raw data'!AS60="",Inputs!U28*(Results!H8-Results!H18)/Inputs!U18,(Inputs!U28*Results!H8-'UV calibration and raw data'!AS60*Results!H18)/Inputs!U18)))</f>
        <v/>
      </c>
      <c r="I28" s="55" t="str">
        <f>IF(I8="","",IF(I18="","",IF('UV calibration and raw data'!AT60="",Inputs!V28*(Results!I8-Results!I18)/Inputs!V18,(Inputs!V28*Results!I8-'UV calibration and raw data'!AT60*Results!I18)/Inputs!V18)))</f>
        <v/>
      </c>
      <c r="J28" s="55" t="str">
        <f>IF(J8="","",IF(J18="","",IF('UV calibration and raw data'!AU60="",Inputs!W28*(Results!J8-Results!J18)/Inputs!W18,(Inputs!W28*Results!J8-'UV calibration and raw data'!AU60*Results!J18)/Inputs!W18)))</f>
        <v/>
      </c>
      <c r="K28" s="55" t="str">
        <f>IF(K8="","",IF(K18="","",IF('UV calibration and raw data'!AV60="",Inputs!X28*(Results!K8-Results!K18)/Inputs!X18,(Inputs!X28*Results!K8-'UV calibration and raw data'!AV60*Results!K18)/Inputs!X18)))</f>
        <v/>
      </c>
      <c r="L28" s="55" t="str">
        <f>IF(L8="","",IF(L18="","",IF('UV calibration and raw data'!AW60="",Inputs!Y28*(Results!L8-Results!L18)/Inputs!Y18,(Inputs!Y28*Results!L8-'UV calibration and raw data'!AW60*Results!L18)/Inputs!Y18)))</f>
        <v/>
      </c>
      <c r="M28" s="55" t="str">
        <f>IF(M8="","",IF(M18="","",IF('UV calibration and raw data'!AX60="",Inputs!Z28*(Results!M8-Results!M18)/Inputs!Z18,(Inputs!Z28*Results!M8-'UV calibration and raw data'!AX60*Results!M18)/Inputs!Z18)))</f>
        <v/>
      </c>
      <c r="N28" s="55" t="str">
        <f>IF(N8="","",IF(N18="","",IF('UV calibration and raw data'!AY60="",Inputs!AA28*(Results!N8-Results!N18)/Inputs!AA18,(Inputs!AA28*Results!N8-'UV calibration and raw data'!AY60*Results!N18)/Inputs!AA18)))</f>
        <v/>
      </c>
      <c r="O28" s="56" t="str">
        <f>IF(O8="","",IF(O18="","",IF('UV calibration and raw data'!AZ60="",Inputs!AB28*(Results!O8-Results!O18)/Inputs!AB18,(Inputs!AB28*Results!O8-'UV calibration and raw data'!AZ60*Results!O18)/Inputs!AB18)))</f>
        <v/>
      </c>
      <c r="Q28" s="41" t="str">
        <f>IF(Q8="","",IF(Q18="","",Inputs!Q28*(Results!Q8-Results!Q18)/Inputs!Q18))</f>
        <v/>
      </c>
      <c r="R28" s="55" t="str">
        <f>IF(R8="","",IF(R18="","",Inputs!R28*(Results!R8-Results!R18)/Inputs!R18))</f>
        <v/>
      </c>
      <c r="S28" s="42" t="str">
        <f>IF(S8="","",IF(S18="","",Inputs!S28*(Results!S8-Results!S18)/Inputs!S18))</f>
        <v/>
      </c>
      <c r="T28" s="42" t="str">
        <f>IF(T8="","",IF(T18="","",Inputs!T28*(Results!T8-Results!T18)/Inputs!T18))</f>
        <v/>
      </c>
      <c r="U28" s="42" t="str">
        <f>IF(U8="","",IF(U18="","",Inputs!U28*(Results!U8-Results!U18)/Inputs!U18))</f>
        <v/>
      </c>
      <c r="V28" s="42" t="str">
        <f>IF(V8="","",IF(V18="","",Inputs!V28*(Results!V8-Results!V18)/Inputs!V18))</f>
        <v/>
      </c>
      <c r="W28" s="42" t="str">
        <f>IF(W8="","",IF(W18="","",Inputs!W28*(Results!W8-Results!W18)/Inputs!W18))</f>
        <v/>
      </c>
      <c r="X28" s="42" t="str">
        <f>IF(X8="","",IF(X18="","",Inputs!X28*(Results!X8-Results!X18)/Inputs!X18))</f>
        <v/>
      </c>
      <c r="Y28" s="42" t="str">
        <f>IF(Y8="","",IF(Y18="","",Inputs!Y28*(Results!Y8-Results!Y18)/Inputs!Y18))</f>
        <v/>
      </c>
      <c r="Z28" s="42" t="str">
        <f>IF(Z8="","",IF(Z18="","",Inputs!Z28*(Results!Z8-Results!Z18)/Inputs!Z18))</f>
        <v/>
      </c>
      <c r="AA28" s="42" t="str">
        <f>IF(AA8="","",IF(AA18="","",Inputs!AA28*(Results!AA8-Results!AA18)/Inputs!AA18))</f>
        <v/>
      </c>
      <c r="AB28" s="43" t="str">
        <f>IF(AB8="","",IF(AB18="","",Inputs!AB28*(Results!AB8-Results!AB18)/Inputs!AB18))</f>
        <v/>
      </c>
      <c r="AD28" s="41" t="str">
        <f>IF(AD8="","",IF(AD18="","",Inputs!Q28*(Results!AD8-Results!AD18)/Inputs!Q18))</f>
        <v/>
      </c>
      <c r="AE28" s="63" t="str">
        <f>IF(AE8="","",IF(AE18="","",Inputs!R28*(Results!AE8-Results!AE18)/Inputs!R18))</f>
        <v/>
      </c>
      <c r="AF28" s="42" t="str">
        <f>IF(AF8="","",IF(AF18="","",Inputs!S28*(Results!AF8-Results!AF18)/Inputs!S18))</f>
        <v/>
      </c>
      <c r="AG28" s="42" t="str">
        <f>IF(AG8="","",IF(AG18="","",Inputs!T28*(Results!AG8-Results!AG18)/Inputs!T18))</f>
        <v/>
      </c>
      <c r="AH28" s="42" t="str">
        <f>IF(AH8="","",IF(AH18="","",Inputs!U28*(Results!AH8-Results!AH18)/Inputs!U18))</f>
        <v/>
      </c>
      <c r="AI28" s="42" t="str">
        <f>IF(AI8="","",IF(AI18="","",Inputs!V28*(Results!AI8-Results!AI18)/Inputs!V18))</f>
        <v/>
      </c>
      <c r="AJ28" s="42" t="str">
        <f>IF(AJ8="","",IF(AJ18="","",Inputs!W28*(Results!AJ8-Results!AJ18)/Inputs!W18))</f>
        <v/>
      </c>
      <c r="AK28" s="42" t="str">
        <f>IF(AK8="","",IF(AK18="","",Inputs!X28*(Results!AK8-Results!AK18)/Inputs!X18))</f>
        <v/>
      </c>
      <c r="AL28" s="42" t="str">
        <f>IF(AL8="","",IF(AL18="","",Inputs!Y28*(Results!AL8-Results!AL18)/Inputs!Y18))</f>
        <v/>
      </c>
      <c r="AM28" s="42" t="str">
        <f>IF(AM8="","",IF(AM18="","",Inputs!Z28*(Results!AM8-Results!AM18)/Inputs!Z18))</f>
        <v/>
      </c>
      <c r="AN28" s="42" t="str">
        <f>IF(AN8="","",IF(AN18="","",Inputs!AA28*(Results!AN8-Results!AN18)/Inputs!AA18))</f>
        <v/>
      </c>
      <c r="AO28" s="43" t="str">
        <f>IF(AO8="","",IF(AO18="","",Inputs!AB28*(Results!AO8-Results!AO18)/Inputs!AB18))</f>
        <v/>
      </c>
    </row>
    <row r="29" spans="4:41" x14ac:dyDescent="0.3">
      <c r="D29" s="54" t="str">
        <f>IF(D9="","",IF(D19="","",IF('UV calibration and raw data'!AO61="",Inputs!Q29*(Results!D9-Results!D19)/Inputs!Q19,(Inputs!Q29*Results!D9-'UV calibration and raw data'!AO61*Results!D19)/Inputs!Q19)))</f>
        <v/>
      </c>
      <c r="E29" s="55" t="str">
        <f>IF(E9="","",IF(E19="","",IF('UV calibration and raw data'!AP61="",Inputs!R29*(Results!E9-Results!E19)/Inputs!R19,(Inputs!R29*Results!E9-'UV calibration and raw data'!AP61*Results!E19)/Inputs!R19)))</f>
        <v/>
      </c>
      <c r="F29" s="55" t="str">
        <f>IF(F9="","",IF(F19="","",IF('UV calibration and raw data'!AQ61="",Inputs!S29*(Results!F9-Results!F19)/Inputs!S19,(Inputs!S29*Results!F9-'UV calibration and raw data'!AQ61*Results!F19)/Inputs!S19)))</f>
        <v/>
      </c>
      <c r="G29" s="55" t="str">
        <f>IF(G9="","",IF(G19="","",IF('UV calibration and raw data'!AR61="",Inputs!T29*(Results!G9-Results!G19)/Inputs!T19,(Inputs!T29*Results!G9-'UV calibration and raw data'!AR61*Results!G19)/Inputs!T19)))</f>
        <v/>
      </c>
      <c r="H29" s="55" t="str">
        <f>IF(H9="","",IF(H19="","",IF('UV calibration and raw data'!AS61="",Inputs!U29*(Results!H9-Results!H19)/Inputs!U19,(Inputs!U29*Results!H9-'UV calibration and raw data'!AS61*Results!H19)/Inputs!U19)))</f>
        <v/>
      </c>
      <c r="I29" s="55" t="str">
        <f>IF(I9="","",IF(I19="","",IF('UV calibration and raw data'!AT61="",Inputs!V29*(Results!I9-Results!I19)/Inputs!V19,(Inputs!V29*Results!I9-'UV calibration and raw data'!AT61*Results!I19)/Inputs!V19)))</f>
        <v/>
      </c>
      <c r="J29" s="55" t="str">
        <f>IF(J9="","",IF(J19="","",IF('UV calibration and raw data'!AU61="",Inputs!W29*(Results!J9-Results!J19)/Inputs!W19,(Inputs!W29*Results!J9-'UV calibration and raw data'!AU61*Results!J19)/Inputs!W19)))</f>
        <v/>
      </c>
      <c r="K29" s="55" t="str">
        <f>IF(K9="","",IF(K19="","",IF('UV calibration and raw data'!AV61="",Inputs!X29*(Results!K9-Results!K19)/Inputs!X19,(Inputs!X29*Results!K9-'UV calibration and raw data'!AV61*Results!K19)/Inputs!X19)))</f>
        <v/>
      </c>
      <c r="L29" s="55" t="str">
        <f>IF(L9="","",IF(L19="","",IF('UV calibration and raw data'!AW61="",Inputs!Y29*(Results!L9-Results!L19)/Inputs!Y19,(Inputs!Y29*Results!L9-'UV calibration and raw data'!AW61*Results!L19)/Inputs!Y19)))</f>
        <v/>
      </c>
      <c r="M29" s="55" t="str">
        <f>IF(M9="","",IF(M19="","",IF('UV calibration and raw data'!AX61="",Inputs!Z29*(Results!M9-Results!M19)/Inputs!Z19,(Inputs!Z29*Results!M9-'UV calibration and raw data'!AX61*Results!M19)/Inputs!Z19)))</f>
        <v/>
      </c>
      <c r="N29" s="55" t="str">
        <f>IF(N9="","",IF(N19="","",IF('UV calibration and raw data'!AY61="",Inputs!AA29*(Results!N9-Results!N19)/Inputs!AA19,(Inputs!AA29*Results!N9-'UV calibration and raw data'!AY61*Results!N19)/Inputs!AA19)))</f>
        <v/>
      </c>
      <c r="O29" s="56" t="str">
        <f>IF(O9="","",IF(O19="","",IF('UV calibration and raw data'!AZ61="",Inputs!AB29*(Results!O9-Results!O19)/Inputs!AB19,(Inputs!AB29*Results!O9-'UV calibration and raw data'!AZ61*Results!O19)/Inputs!AB19)))</f>
        <v/>
      </c>
      <c r="Q29" s="41" t="str">
        <f>IF(Q9="","",IF(Q19="","",Inputs!Q29*(Results!Q9-Results!Q19)/Inputs!Q19))</f>
        <v/>
      </c>
      <c r="R29" s="55" t="str">
        <f>IF(R9="","",IF(R19="","",Inputs!R29*(Results!R9-Results!R19)/Inputs!R19))</f>
        <v/>
      </c>
      <c r="S29" s="42" t="str">
        <f>IF(S9="","",IF(S19="","",Inputs!S29*(Results!S9-Results!S19)/Inputs!S19))</f>
        <v/>
      </c>
      <c r="T29" s="42" t="str">
        <f>IF(T9="","",IF(T19="","",Inputs!T29*(Results!T9-Results!T19)/Inputs!T19))</f>
        <v/>
      </c>
      <c r="U29" s="42" t="str">
        <f>IF(U9="","",IF(U19="","",Inputs!U29*(Results!U9-Results!U19)/Inputs!U19))</f>
        <v/>
      </c>
      <c r="V29" s="42" t="str">
        <f>IF(V9="","",IF(V19="","",Inputs!V29*(Results!V9-Results!V19)/Inputs!V19))</f>
        <v/>
      </c>
      <c r="W29" s="42" t="str">
        <f>IF(W9="","",IF(W19="","",Inputs!W29*(Results!W9-Results!W19)/Inputs!W19))</f>
        <v/>
      </c>
      <c r="X29" s="42" t="str">
        <f>IF(X9="","",IF(X19="","",Inputs!X29*(Results!X9-Results!X19)/Inputs!X19))</f>
        <v/>
      </c>
      <c r="Y29" s="42" t="str">
        <f>IF(Y9="","",IF(Y19="","",Inputs!Y29*(Results!Y9-Results!Y19)/Inputs!Y19))</f>
        <v/>
      </c>
      <c r="Z29" s="42" t="str">
        <f>IF(Z9="","",IF(Z19="","",Inputs!Z29*(Results!Z9-Results!Z19)/Inputs!Z19))</f>
        <v/>
      </c>
      <c r="AA29" s="42" t="str">
        <f>IF(AA9="","",IF(AA19="","",Inputs!AA29*(Results!AA9-Results!AA19)/Inputs!AA19))</f>
        <v/>
      </c>
      <c r="AB29" s="43" t="str">
        <f>IF(AB9="","",IF(AB19="","",Inputs!AB29*(Results!AB9-Results!AB19)/Inputs!AB19))</f>
        <v/>
      </c>
      <c r="AD29" s="41" t="str">
        <f>IF(AD9="","",IF(AD19="","",Inputs!Q29*(Results!AD9-Results!AD19)/Inputs!Q19))</f>
        <v/>
      </c>
      <c r="AE29" s="63" t="str">
        <f>IF(AE9="","",IF(AE19="","",Inputs!R29*(Results!AE9-Results!AE19)/Inputs!R19))</f>
        <v/>
      </c>
      <c r="AF29" s="42" t="str">
        <f>IF(AF9="","",IF(AF19="","",Inputs!S29*(Results!AF9-Results!AF19)/Inputs!S19))</f>
        <v/>
      </c>
      <c r="AG29" s="42" t="str">
        <f>IF(AG9="","",IF(AG19="","",Inputs!T29*(Results!AG9-Results!AG19)/Inputs!T19))</f>
        <v/>
      </c>
      <c r="AH29" s="42" t="str">
        <f>IF(AH9="","",IF(AH19="","",Inputs!U29*(Results!AH9-Results!AH19)/Inputs!U19))</f>
        <v/>
      </c>
      <c r="AI29" s="42" t="str">
        <f>IF(AI9="","",IF(AI19="","",Inputs!V29*(Results!AI9-Results!AI19)/Inputs!V19))</f>
        <v/>
      </c>
      <c r="AJ29" s="42" t="str">
        <f>IF(AJ9="","",IF(AJ19="","",Inputs!W29*(Results!AJ9-Results!AJ19)/Inputs!W19))</f>
        <v/>
      </c>
      <c r="AK29" s="42" t="str">
        <f>IF(AK9="","",IF(AK19="","",Inputs!X29*(Results!AK9-Results!AK19)/Inputs!X19))</f>
        <v/>
      </c>
      <c r="AL29" s="42" t="str">
        <f>IF(AL9="","",IF(AL19="","",Inputs!Y29*(Results!AL9-Results!AL19)/Inputs!Y19))</f>
        <v/>
      </c>
      <c r="AM29" s="42" t="str">
        <f>IF(AM9="","",IF(AM19="","",Inputs!Z29*(Results!AM9-Results!AM19)/Inputs!Z19))</f>
        <v/>
      </c>
      <c r="AN29" s="42" t="str">
        <f>IF(AN9="","",IF(AN19="","",Inputs!AA29*(Results!AN9-Results!AN19)/Inputs!AA19))</f>
        <v/>
      </c>
      <c r="AO29" s="43" t="str">
        <f>IF(AO9="","",IF(AO19="","",Inputs!AB29*(Results!AO9-Results!AO19)/Inputs!AB19))</f>
        <v/>
      </c>
    </row>
    <row r="30" spans="4:41" x14ac:dyDescent="0.3">
      <c r="D30" s="57" t="str">
        <f>IF(D10="","",IF(D20="","",IF('UV calibration and raw data'!AO62="",Inputs!Q30*(Results!D10-Results!D20)/Inputs!Q20,(Inputs!Q30*Results!D10-'UV calibration and raw data'!AO62*Results!D20)/Inputs!Q20)))</f>
        <v/>
      </c>
      <c r="E30" s="58" t="str">
        <f>IF(E10="","",IF(E20="","",IF('UV calibration and raw data'!AP62="",Inputs!R30*(Results!E10-Results!E20)/Inputs!R20,(Inputs!R30*Results!E10-'UV calibration and raw data'!AP62*Results!E20)/Inputs!R20)))</f>
        <v/>
      </c>
      <c r="F30" s="58" t="str">
        <f>IF(F10="","",IF(F20="","",IF('UV calibration and raw data'!AQ62="",Inputs!S30*(Results!F10-Results!F20)/Inputs!S20,(Inputs!S30*Results!F10-'UV calibration and raw data'!AQ62*Results!F20)/Inputs!S20)))</f>
        <v/>
      </c>
      <c r="G30" s="58" t="str">
        <f>IF(G10="","",IF(G20="","",IF('UV calibration and raw data'!AR62="",Inputs!T30*(Results!G10-Results!G20)/Inputs!T20,(Inputs!T30*Results!G10-'UV calibration and raw data'!AR62*Results!G20)/Inputs!T20)))</f>
        <v/>
      </c>
      <c r="H30" s="58" t="str">
        <f>IF(H10="","",IF(H20="","",IF('UV calibration and raw data'!AS62="",Inputs!U30*(Results!H10-Results!H20)/Inputs!U20,(Inputs!U30*Results!H10-'UV calibration and raw data'!AS62*Results!H20)/Inputs!U20)))</f>
        <v/>
      </c>
      <c r="I30" s="58" t="str">
        <f>IF(I10="","",IF(I20="","",IF('UV calibration and raw data'!AT62="",Inputs!V30*(Results!I10-Results!I20)/Inputs!V20,(Inputs!V30*Results!I10-'UV calibration and raw data'!AT62*Results!I20)/Inputs!V20)))</f>
        <v/>
      </c>
      <c r="J30" s="58" t="str">
        <f>IF(J10="","",IF(J20="","",IF('UV calibration and raw data'!AU62="",Inputs!W30*(Results!J10-Results!J20)/Inputs!W20,(Inputs!W30*Results!J10-'UV calibration and raw data'!AU62*Results!J20)/Inputs!W20)))</f>
        <v/>
      </c>
      <c r="K30" s="58" t="str">
        <f>IF(K10="","",IF(K20="","",IF('UV calibration and raw data'!AV62="",Inputs!X30*(Results!K10-Results!K20)/Inputs!X20,(Inputs!X30*Results!K10-'UV calibration and raw data'!AV62*Results!K20)/Inputs!X20)))</f>
        <v/>
      </c>
      <c r="L30" s="58" t="str">
        <f>IF(L10="","",IF(L20="","",IF('UV calibration and raw data'!AW62="",Inputs!Y30*(Results!L10-Results!L20)/Inputs!Y20,(Inputs!Y30*Results!L10-'UV calibration and raw data'!AW62*Results!L20)/Inputs!Y20)))</f>
        <v/>
      </c>
      <c r="M30" s="58" t="str">
        <f>IF(M10="","",IF(M20="","",IF('UV calibration and raw data'!AX62="",Inputs!Z30*(Results!M10-Results!M20)/Inputs!Z20,(Inputs!Z30*Results!M10-'UV calibration and raw data'!AX62*Results!M20)/Inputs!Z20)))</f>
        <v/>
      </c>
      <c r="N30" s="58" t="str">
        <f>IF(N10="","",IF(N20="","",IF('UV calibration and raw data'!AY62="",Inputs!AA30*(Results!N10-Results!N20)/Inputs!AA20,(Inputs!AA30*Results!N10-'UV calibration and raw data'!AY62*Results!N20)/Inputs!AA20)))</f>
        <v/>
      </c>
      <c r="O30" s="59" t="str">
        <f>IF(O10="","",IF(O20="","",IF('UV calibration and raw data'!AZ62="",Inputs!AB30*(Results!O10-Results!O20)/Inputs!AB20,(Inputs!AB30*Results!O10-'UV calibration and raw data'!AZ62*Results!O20)/Inputs!AB20)))</f>
        <v/>
      </c>
      <c r="Q30" s="44" t="str">
        <f>IF(Q10="","",IF(Q20="","",Inputs!Q30*(Results!Q10-Results!Q20)/Inputs!Q20))</f>
        <v/>
      </c>
      <c r="R30" s="58" t="str">
        <f>IF(R10="","",IF(R20="","",Inputs!R30*(Results!R10-Results!R20)/Inputs!R20))</f>
        <v/>
      </c>
      <c r="S30" s="45" t="str">
        <f>IF(S10="","",IF(S20="","",Inputs!S30*(Results!S10-Results!S20)/Inputs!S20))</f>
        <v/>
      </c>
      <c r="T30" s="45" t="str">
        <f>IF(T10="","",IF(T20="","",Inputs!T30*(Results!T10-Results!T20)/Inputs!T20))</f>
        <v/>
      </c>
      <c r="U30" s="45" t="str">
        <f>IF(U10="","",IF(U20="","",Inputs!U30*(Results!U10-Results!U20)/Inputs!U20))</f>
        <v/>
      </c>
      <c r="V30" s="45" t="str">
        <f>IF(V10="","",IF(V20="","",Inputs!V30*(Results!V10-Results!V20)/Inputs!V20))</f>
        <v/>
      </c>
      <c r="W30" s="45" t="str">
        <f>IF(W10="","",IF(W20="","",Inputs!W30*(Results!W10-Results!W20)/Inputs!W20))</f>
        <v/>
      </c>
      <c r="X30" s="45" t="str">
        <f>IF(X10="","",IF(X20="","",Inputs!X30*(Results!X10-Results!X20)/Inputs!X20))</f>
        <v/>
      </c>
      <c r="Y30" s="45" t="str">
        <f>IF(Y10="","",IF(Y20="","",Inputs!Y30*(Results!Y10-Results!Y20)/Inputs!Y20))</f>
        <v/>
      </c>
      <c r="Z30" s="45" t="str">
        <f>IF(Z10="","",IF(Z20="","",Inputs!Z30*(Results!Z10-Results!Z20)/Inputs!Z20))</f>
        <v/>
      </c>
      <c r="AA30" s="45" t="str">
        <f>IF(AA10="","",IF(AA20="","",Inputs!AA30*(Results!AA10-Results!AA20)/Inputs!AA20))</f>
        <v/>
      </c>
      <c r="AB30" s="46" t="str">
        <f>IF(AB10="","",IF(AB20="","",Inputs!AB30*(Results!AB10-Results!AB20)/Inputs!AB20))</f>
        <v/>
      </c>
      <c r="AD30" s="44" t="str">
        <f>IF(AD10="","",IF(AD20="","",Inputs!Q30*(Results!AD10-Results!AD20)/Inputs!Q20))</f>
        <v/>
      </c>
      <c r="AE30" s="64" t="str">
        <f>IF(AE10="","",IF(AE20="","",Inputs!R30*(Results!AE10-Results!AE20)/Inputs!R20))</f>
        <v/>
      </c>
      <c r="AF30" s="45" t="str">
        <f>IF(AF10="","",IF(AF20="","",Inputs!S30*(Results!AF10-Results!AF20)/Inputs!S20))</f>
        <v/>
      </c>
      <c r="AG30" s="45" t="str">
        <f>IF(AG10="","",IF(AG20="","",Inputs!T30*(Results!AG10-Results!AG20)/Inputs!T20))</f>
        <v/>
      </c>
      <c r="AH30" s="45" t="str">
        <f>IF(AH10="","",IF(AH20="","",Inputs!U30*(Results!AH10-Results!AH20)/Inputs!U20))</f>
        <v/>
      </c>
      <c r="AI30" s="45" t="str">
        <f>IF(AI10="","",IF(AI20="","",Inputs!V30*(Results!AI10-Results!AI20)/Inputs!V20))</f>
        <v/>
      </c>
      <c r="AJ30" s="45" t="str">
        <f>IF(AJ10="","",IF(AJ20="","",Inputs!W30*(Results!AJ10-Results!AJ20)/Inputs!W20))</f>
        <v/>
      </c>
      <c r="AK30" s="45" t="str">
        <f>IF(AK10="","",IF(AK20="","",Inputs!X30*(Results!AK10-Results!AK20)/Inputs!X20))</f>
        <v/>
      </c>
      <c r="AL30" s="45" t="str">
        <f>IF(AL10="","",IF(AL20="","",Inputs!Y30*(Results!AL10-Results!AL20)/Inputs!Y20))</f>
        <v/>
      </c>
      <c r="AM30" s="45" t="str">
        <f>IF(AM10="","",IF(AM20="","",Inputs!Z30*(Results!AM10-Results!AM20)/Inputs!Z20))</f>
        <v/>
      </c>
      <c r="AN30" s="45" t="str">
        <f>IF(AN10="","",IF(AN20="","",Inputs!AA30*(Results!AN10-Results!AN20)/Inputs!AA20))</f>
        <v/>
      </c>
      <c r="AO30" s="46" t="str">
        <f>IF(AO10="","",IF(AO20="","",Inputs!AB30*(Results!AO10-Results!AO20)/Inputs!AB20))</f>
        <v/>
      </c>
    </row>
    <row r="32" spans="4:41" ht="15.6" x14ac:dyDescent="0.35">
      <c r="D32" s="1" t="s">
        <v>63</v>
      </c>
      <c r="Q32" s="1" t="s">
        <v>63</v>
      </c>
      <c r="AD32" s="1" t="s">
        <v>63</v>
      </c>
    </row>
    <row r="33" spans="4:41" x14ac:dyDescent="0.3">
      <c r="D33" s="51" t="str">
        <f>IF(D23="","",D23/D13)</f>
        <v/>
      </c>
      <c r="E33" s="52" t="str">
        <f t="shared" ref="E33:O33" si="2">IF(E23="","",E23/E13)</f>
        <v/>
      </c>
      <c r="F33" s="52" t="str">
        <f t="shared" si="2"/>
        <v/>
      </c>
      <c r="G33" s="52" t="str">
        <f t="shared" si="2"/>
        <v/>
      </c>
      <c r="H33" s="52" t="str">
        <f t="shared" si="2"/>
        <v/>
      </c>
      <c r="I33" s="52" t="str">
        <f t="shared" si="2"/>
        <v/>
      </c>
      <c r="J33" s="52" t="str">
        <f t="shared" si="2"/>
        <v/>
      </c>
      <c r="K33" s="52" t="str">
        <f t="shared" si="2"/>
        <v/>
      </c>
      <c r="L33" s="52" t="str">
        <f t="shared" si="2"/>
        <v/>
      </c>
      <c r="M33" s="52" t="str">
        <f t="shared" si="2"/>
        <v/>
      </c>
      <c r="N33" s="52" t="str">
        <f t="shared" si="2"/>
        <v/>
      </c>
      <c r="O33" s="53" t="str">
        <f t="shared" si="2"/>
        <v/>
      </c>
      <c r="Q33" s="37" t="str">
        <f>IF(Q23="","",Q23/Q13)</f>
        <v/>
      </c>
      <c r="R33" s="38" t="str">
        <f t="shared" ref="R33:AB33" si="3">IF(R23="","",R23/R13)</f>
        <v/>
      </c>
      <c r="S33" s="38" t="str">
        <f t="shared" si="3"/>
        <v/>
      </c>
      <c r="T33" s="38" t="str">
        <f t="shared" si="3"/>
        <v/>
      </c>
      <c r="U33" s="38" t="str">
        <f t="shared" si="3"/>
        <v/>
      </c>
      <c r="V33" s="38" t="str">
        <f t="shared" si="3"/>
        <v/>
      </c>
      <c r="W33" s="38" t="str">
        <f t="shared" si="3"/>
        <v/>
      </c>
      <c r="X33" s="38" t="str">
        <f t="shared" si="3"/>
        <v/>
      </c>
      <c r="Y33" s="38" t="str">
        <f t="shared" si="3"/>
        <v/>
      </c>
      <c r="Z33" s="38" t="str">
        <f t="shared" si="3"/>
        <v/>
      </c>
      <c r="AA33" s="38" t="str">
        <f t="shared" si="3"/>
        <v/>
      </c>
      <c r="AB33" s="39" t="str">
        <f t="shared" si="3"/>
        <v/>
      </c>
      <c r="AD33" s="37" t="str">
        <f>IF(AD23="","",AD23/AD13)</f>
        <v/>
      </c>
      <c r="AE33" s="38" t="str">
        <f t="shared" ref="AE33:AO33" si="4">IF(AE23="","",AE23/AE13)</f>
        <v/>
      </c>
      <c r="AF33" s="38" t="str">
        <f t="shared" si="4"/>
        <v/>
      </c>
      <c r="AG33" s="38" t="str">
        <f t="shared" si="4"/>
        <v/>
      </c>
      <c r="AH33" s="38" t="str">
        <f t="shared" si="4"/>
        <v/>
      </c>
      <c r="AI33" s="38" t="str">
        <f t="shared" si="4"/>
        <v/>
      </c>
      <c r="AJ33" s="38" t="str">
        <f t="shared" si="4"/>
        <v/>
      </c>
      <c r="AK33" s="38" t="str">
        <f t="shared" si="4"/>
        <v/>
      </c>
      <c r="AL33" s="38" t="str">
        <f t="shared" si="4"/>
        <v/>
      </c>
      <c r="AM33" s="38" t="str">
        <f t="shared" si="4"/>
        <v/>
      </c>
      <c r="AN33" s="38" t="str">
        <f t="shared" si="4"/>
        <v/>
      </c>
      <c r="AO33" s="39" t="str">
        <f t="shared" si="4"/>
        <v/>
      </c>
    </row>
    <row r="34" spans="4:41" x14ac:dyDescent="0.3">
      <c r="D34" s="54" t="str">
        <f t="shared" ref="D34:O34" si="5">IF(D24="","",D24/D14)</f>
        <v/>
      </c>
      <c r="E34" s="55" t="str">
        <f t="shared" si="5"/>
        <v/>
      </c>
      <c r="F34" s="55" t="str">
        <f t="shared" si="5"/>
        <v/>
      </c>
      <c r="G34" s="55" t="str">
        <f t="shared" si="5"/>
        <v/>
      </c>
      <c r="H34" s="55" t="str">
        <f t="shared" si="5"/>
        <v/>
      </c>
      <c r="I34" s="55" t="str">
        <f t="shared" si="5"/>
        <v/>
      </c>
      <c r="J34" s="55" t="str">
        <f t="shared" si="5"/>
        <v/>
      </c>
      <c r="K34" s="55" t="str">
        <f t="shared" si="5"/>
        <v/>
      </c>
      <c r="L34" s="55" t="str">
        <f t="shared" si="5"/>
        <v/>
      </c>
      <c r="M34" s="55" t="str">
        <f t="shared" si="5"/>
        <v/>
      </c>
      <c r="N34" s="55" t="str">
        <f t="shared" si="5"/>
        <v/>
      </c>
      <c r="O34" s="56" t="str">
        <f t="shared" si="5"/>
        <v/>
      </c>
      <c r="Q34" s="41" t="str">
        <f t="shared" ref="Q34:AB34" si="6">IF(Q24="","",Q24/Q14)</f>
        <v/>
      </c>
      <c r="R34" s="42" t="str">
        <f t="shared" si="6"/>
        <v/>
      </c>
      <c r="S34" s="42" t="str">
        <f t="shared" si="6"/>
        <v/>
      </c>
      <c r="T34" s="42" t="str">
        <f t="shared" si="6"/>
        <v/>
      </c>
      <c r="U34" s="42" t="str">
        <f t="shared" si="6"/>
        <v/>
      </c>
      <c r="V34" s="42" t="str">
        <f t="shared" si="6"/>
        <v/>
      </c>
      <c r="W34" s="42" t="str">
        <f t="shared" si="6"/>
        <v/>
      </c>
      <c r="X34" s="42" t="str">
        <f t="shared" si="6"/>
        <v/>
      </c>
      <c r="Y34" s="42" t="str">
        <f t="shared" si="6"/>
        <v/>
      </c>
      <c r="Z34" s="42" t="str">
        <f t="shared" si="6"/>
        <v/>
      </c>
      <c r="AA34" s="42" t="str">
        <f t="shared" si="6"/>
        <v/>
      </c>
      <c r="AB34" s="43" t="str">
        <f t="shared" si="6"/>
        <v/>
      </c>
      <c r="AD34" s="41" t="str">
        <f t="shared" ref="AD34:AO34" si="7">IF(AD24="","",AD24/AD14)</f>
        <v/>
      </c>
      <c r="AE34" s="42" t="str">
        <f t="shared" si="7"/>
        <v/>
      </c>
      <c r="AF34" s="42" t="str">
        <f t="shared" si="7"/>
        <v/>
      </c>
      <c r="AG34" s="42" t="str">
        <f t="shared" si="7"/>
        <v/>
      </c>
      <c r="AH34" s="42" t="str">
        <f t="shared" si="7"/>
        <v/>
      </c>
      <c r="AI34" s="42" t="str">
        <f t="shared" si="7"/>
        <v/>
      </c>
      <c r="AJ34" s="42" t="str">
        <f t="shared" si="7"/>
        <v/>
      </c>
      <c r="AK34" s="42" t="str">
        <f t="shared" si="7"/>
        <v/>
      </c>
      <c r="AL34" s="42" t="str">
        <f t="shared" si="7"/>
        <v/>
      </c>
      <c r="AM34" s="42" t="str">
        <f t="shared" si="7"/>
        <v/>
      </c>
      <c r="AN34" s="42" t="str">
        <f t="shared" si="7"/>
        <v/>
      </c>
      <c r="AO34" s="43" t="str">
        <f t="shared" si="7"/>
        <v/>
      </c>
    </row>
    <row r="35" spans="4:41" x14ac:dyDescent="0.3">
      <c r="D35" s="54" t="str">
        <f t="shared" ref="D35:O35" si="8">IF(D25="","",D25/D15)</f>
        <v/>
      </c>
      <c r="E35" s="55" t="str">
        <f t="shared" si="8"/>
        <v/>
      </c>
      <c r="F35" s="55" t="str">
        <f t="shared" si="8"/>
        <v/>
      </c>
      <c r="G35" s="55" t="str">
        <f t="shared" si="8"/>
        <v/>
      </c>
      <c r="H35" s="55" t="str">
        <f t="shared" si="8"/>
        <v/>
      </c>
      <c r="I35" s="55" t="str">
        <f t="shared" si="8"/>
        <v/>
      </c>
      <c r="J35" s="55" t="str">
        <f t="shared" si="8"/>
        <v/>
      </c>
      <c r="K35" s="55" t="str">
        <f t="shared" si="8"/>
        <v/>
      </c>
      <c r="L35" s="55" t="str">
        <f t="shared" si="8"/>
        <v/>
      </c>
      <c r="M35" s="55" t="str">
        <f t="shared" si="8"/>
        <v/>
      </c>
      <c r="N35" s="55" t="str">
        <f t="shared" si="8"/>
        <v/>
      </c>
      <c r="O35" s="56" t="str">
        <f t="shared" si="8"/>
        <v/>
      </c>
      <c r="Q35" s="41" t="str">
        <f t="shared" ref="Q35:AB35" si="9">IF(Q25="","",Q25/Q15)</f>
        <v/>
      </c>
      <c r="R35" s="42" t="str">
        <f t="shared" si="9"/>
        <v/>
      </c>
      <c r="S35" s="42" t="str">
        <f t="shared" si="9"/>
        <v/>
      </c>
      <c r="T35" s="42" t="str">
        <f t="shared" si="9"/>
        <v/>
      </c>
      <c r="U35" s="42" t="str">
        <f t="shared" si="9"/>
        <v/>
      </c>
      <c r="V35" s="42" t="str">
        <f t="shared" si="9"/>
        <v/>
      </c>
      <c r="W35" s="42" t="str">
        <f t="shared" si="9"/>
        <v/>
      </c>
      <c r="X35" s="42" t="str">
        <f t="shared" si="9"/>
        <v/>
      </c>
      <c r="Y35" s="42" t="str">
        <f t="shared" si="9"/>
        <v/>
      </c>
      <c r="Z35" s="42" t="str">
        <f t="shared" si="9"/>
        <v/>
      </c>
      <c r="AA35" s="42" t="str">
        <f t="shared" si="9"/>
        <v/>
      </c>
      <c r="AB35" s="43" t="str">
        <f t="shared" si="9"/>
        <v/>
      </c>
      <c r="AD35" s="41" t="str">
        <f t="shared" ref="AD35:AO35" si="10">IF(AD25="","",AD25/AD15)</f>
        <v/>
      </c>
      <c r="AE35" s="42" t="str">
        <f t="shared" si="10"/>
        <v/>
      </c>
      <c r="AF35" s="42" t="str">
        <f t="shared" si="10"/>
        <v/>
      </c>
      <c r="AG35" s="42" t="str">
        <f t="shared" si="10"/>
        <v/>
      </c>
      <c r="AH35" s="42" t="str">
        <f t="shared" si="10"/>
        <v/>
      </c>
      <c r="AI35" s="42" t="str">
        <f t="shared" si="10"/>
        <v/>
      </c>
      <c r="AJ35" s="42" t="str">
        <f t="shared" si="10"/>
        <v/>
      </c>
      <c r="AK35" s="42" t="str">
        <f t="shared" si="10"/>
        <v/>
      </c>
      <c r="AL35" s="42" t="str">
        <f t="shared" si="10"/>
        <v/>
      </c>
      <c r="AM35" s="42" t="str">
        <f t="shared" si="10"/>
        <v/>
      </c>
      <c r="AN35" s="42" t="str">
        <f t="shared" si="10"/>
        <v/>
      </c>
      <c r="AO35" s="43" t="str">
        <f t="shared" si="10"/>
        <v/>
      </c>
    </row>
    <row r="36" spans="4:41" x14ac:dyDescent="0.3">
      <c r="D36" s="54" t="str">
        <f t="shared" ref="D36:O36" si="11">IF(D26="","",D26/D16)</f>
        <v/>
      </c>
      <c r="E36" s="55" t="str">
        <f t="shared" si="11"/>
        <v/>
      </c>
      <c r="F36" s="55" t="str">
        <f t="shared" si="11"/>
        <v/>
      </c>
      <c r="G36" s="55" t="str">
        <f t="shared" si="11"/>
        <v/>
      </c>
      <c r="H36" s="55" t="str">
        <f t="shared" si="11"/>
        <v/>
      </c>
      <c r="I36" s="55" t="str">
        <f t="shared" si="11"/>
        <v/>
      </c>
      <c r="J36" s="55" t="str">
        <f t="shared" si="11"/>
        <v/>
      </c>
      <c r="K36" s="55" t="str">
        <f t="shared" si="11"/>
        <v/>
      </c>
      <c r="L36" s="55" t="str">
        <f t="shared" si="11"/>
        <v/>
      </c>
      <c r="M36" s="55" t="str">
        <f t="shared" si="11"/>
        <v/>
      </c>
      <c r="N36" s="55" t="str">
        <f t="shared" si="11"/>
        <v/>
      </c>
      <c r="O36" s="56" t="str">
        <f t="shared" si="11"/>
        <v/>
      </c>
      <c r="Q36" s="41" t="str">
        <f t="shared" ref="Q36:AB36" si="12">IF(Q26="","",Q26/Q16)</f>
        <v/>
      </c>
      <c r="R36" s="42" t="str">
        <f t="shared" si="12"/>
        <v/>
      </c>
      <c r="S36" s="42" t="str">
        <f t="shared" si="12"/>
        <v/>
      </c>
      <c r="T36" s="42" t="str">
        <f t="shared" si="12"/>
        <v/>
      </c>
      <c r="U36" s="42" t="str">
        <f t="shared" si="12"/>
        <v/>
      </c>
      <c r="V36" s="42" t="str">
        <f t="shared" si="12"/>
        <v/>
      </c>
      <c r="W36" s="42" t="str">
        <f t="shared" si="12"/>
        <v/>
      </c>
      <c r="X36" s="42" t="str">
        <f t="shared" si="12"/>
        <v/>
      </c>
      <c r="Y36" s="42" t="str">
        <f t="shared" si="12"/>
        <v/>
      </c>
      <c r="Z36" s="42" t="str">
        <f t="shared" si="12"/>
        <v/>
      </c>
      <c r="AA36" s="42" t="str">
        <f t="shared" si="12"/>
        <v/>
      </c>
      <c r="AB36" s="43" t="str">
        <f t="shared" si="12"/>
        <v/>
      </c>
      <c r="AD36" s="41" t="str">
        <f t="shared" ref="AD36:AO36" si="13">IF(AD26="","",AD26/AD16)</f>
        <v/>
      </c>
      <c r="AE36" s="42" t="str">
        <f t="shared" si="13"/>
        <v/>
      </c>
      <c r="AF36" s="42" t="str">
        <f t="shared" si="13"/>
        <v/>
      </c>
      <c r="AG36" s="42" t="str">
        <f t="shared" si="13"/>
        <v/>
      </c>
      <c r="AH36" s="42" t="str">
        <f t="shared" si="13"/>
        <v/>
      </c>
      <c r="AI36" s="42" t="str">
        <f t="shared" si="13"/>
        <v/>
      </c>
      <c r="AJ36" s="42" t="str">
        <f t="shared" si="13"/>
        <v/>
      </c>
      <c r="AK36" s="42" t="str">
        <f t="shared" si="13"/>
        <v/>
      </c>
      <c r="AL36" s="42" t="str">
        <f t="shared" si="13"/>
        <v/>
      </c>
      <c r="AM36" s="42" t="str">
        <f t="shared" si="13"/>
        <v/>
      </c>
      <c r="AN36" s="42" t="str">
        <f t="shared" si="13"/>
        <v/>
      </c>
      <c r="AO36" s="43" t="str">
        <f t="shared" si="13"/>
        <v/>
      </c>
    </row>
    <row r="37" spans="4:41" x14ac:dyDescent="0.3">
      <c r="D37" s="54" t="str">
        <f t="shared" ref="D37:O37" si="14">IF(D27="","",D27/D17)</f>
        <v/>
      </c>
      <c r="E37" s="55" t="str">
        <f t="shared" si="14"/>
        <v/>
      </c>
      <c r="F37" s="55" t="str">
        <f t="shared" si="14"/>
        <v/>
      </c>
      <c r="G37" s="55" t="str">
        <f t="shared" si="14"/>
        <v/>
      </c>
      <c r="H37" s="55" t="str">
        <f t="shared" si="14"/>
        <v/>
      </c>
      <c r="I37" s="55" t="str">
        <f t="shared" si="14"/>
        <v/>
      </c>
      <c r="J37" s="55" t="str">
        <f t="shared" si="14"/>
        <v/>
      </c>
      <c r="K37" s="55" t="str">
        <f t="shared" si="14"/>
        <v/>
      </c>
      <c r="L37" s="55" t="str">
        <f t="shared" si="14"/>
        <v/>
      </c>
      <c r="M37" s="55" t="str">
        <f t="shared" si="14"/>
        <v/>
      </c>
      <c r="N37" s="55" t="str">
        <f t="shared" si="14"/>
        <v/>
      </c>
      <c r="O37" s="56" t="str">
        <f t="shared" si="14"/>
        <v/>
      </c>
      <c r="Q37" s="41" t="str">
        <f t="shared" ref="Q37:AB37" si="15">IF(Q27="","",Q27/Q17)</f>
        <v/>
      </c>
      <c r="R37" s="42" t="str">
        <f t="shared" si="15"/>
        <v/>
      </c>
      <c r="S37" s="42" t="str">
        <f t="shared" si="15"/>
        <v/>
      </c>
      <c r="T37" s="42" t="str">
        <f t="shared" si="15"/>
        <v/>
      </c>
      <c r="U37" s="42" t="str">
        <f t="shared" si="15"/>
        <v/>
      </c>
      <c r="V37" s="42" t="str">
        <f t="shared" si="15"/>
        <v/>
      </c>
      <c r="W37" s="42" t="str">
        <f t="shared" si="15"/>
        <v/>
      </c>
      <c r="X37" s="42" t="str">
        <f t="shared" si="15"/>
        <v/>
      </c>
      <c r="Y37" s="42" t="str">
        <f t="shared" si="15"/>
        <v/>
      </c>
      <c r="Z37" s="42" t="str">
        <f t="shared" si="15"/>
        <v/>
      </c>
      <c r="AA37" s="42" t="str">
        <f t="shared" si="15"/>
        <v/>
      </c>
      <c r="AB37" s="43" t="str">
        <f t="shared" si="15"/>
        <v/>
      </c>
      <c r="AD37" s="41" t="str">
        <f t="shared" ref="AD37:AO37" si="16">IF(AD27="","",AD27/AD17)</f>
        <v/>
      </c>
      <c r="AE37" s="42" t="str">
        <f t="shared" si="16"/>
        <v/>
      </c>
      <c r="AF37" s="42" t="str">
        <f t="shared" si="16"/>
        <v/>
      </c>
      <c r="AG37" s="42" t="str">
        <f t="shared" si="16"/>
        <v/>
      </c>
      <c r="AH37" s="42" t="str">
        <f t="shared" si="16"/>
        <v/>
      </c>
      <c r="AI37" s="42" t="str">
        <f t="shared" si="16"/>
        <v/>
      </c>
      <c r="AJ37" s="42" t="str">
        <f t="shared" si="16"/>
        <v/>
      </c>
      <c r="AK37" s="42" t="str">
        <f t="shared" si="16"/>
        <v/>
      </c>
      <c r="AL37" s="42" t="str">
        <f t="shared" si="16"/>
        <v/>
      </c>
      <c r="AM37" s="42" t="str">
        <f t="shared" si="16"/>
        <v/>
      </c>
      <c r="AN37" s="42" t="str">
        <f t="shared" si="16"/>
        <v/>
      </c>
      <c r="AO37" s="43" t="str">
        <f t="shared" si="16"/>
        <v/>
      </c>
    </row>
    <row r="38" spans="4:41" x14ac:dyDescent="0.3">
      <c r="D38" s="54" t="str">
        <f t="shared" ref="D38:O38" si="17">IF(D28="","",D28/D18)</f>
        <v/>
      </c>
      <c r="E38" s="55" t="str">
        <f t="shared" si="17"/>
        <v/>
      </c>
      <c r="F38" s="55" t="str">
        <f t="shared" si="17"/>
        <v/>
      </c>
      <c r="G38" s="55" t="str">
        <f t="shared" si="17"/>
        <v/>
      </c>
      <c r="H38" s="55" t="str">
        <f t="shared" si="17"/>
        <v/>
      </c>
      <c r="I38" s="55" t="str">
        <f t="shared" si="17"/>
        <v/>
      </c>
      <c r="J38" s="55" t="str">
        <f t="shared" si="17"/>
        <v/>
      </c>
      <c r="K38" s="55" t="str">
        <f t="shared" si="17"/>
        <v/>
      </c>
      <c r="L38" s="55" t="str">
        <f t="shared" si="17"/>
        <v/>
      </c>
      <c r="M38" s="55" t="str">
        <f t="shared" si="17"/>
        <v/>
      </c>
      <c r="N38" s="55" t="str">
        <f t="shared" si="17"/>
        <v/>
      </c>
      <c r="O38" s="56" t="str">
        <f t="shared" si="17"/>
        <v/>
      </c>
      <c r="Q38" s="41" t="str">
        <f t="shared" ref="Q38:AB38" si="18">IF(Q28="","",Q28/Q18)</f>
        <v/>
      </c>
      <c r="R38" s="42" t="str">
        <f t="shared" si="18"/>
        <v/>
      </c>
      <c r="S38" s="42" t="str">
        <f t="shared" si="18"/>
        <v/>
      </c>
      <c r="T38" s="42" t="str">
        <f t="shared" si="18"/>
        <v/>
      </c>
      <c r="U38" s="42" t="str">
        <f t="shared" si="18"/>
        <v/>
      </c>
      <c r="V38" s="42" t="str">
        <f t="shared" si="18"/>
        <v/>
      </c>
      <c r="W38" s="42" t="str">
        <f t="shared" si="18"/>
        <v/>
      </c>
      <c r="X38" s="42" t="str">
        <f t="shared" si="18"/>
        <v/>
      </c>
      <c r="Y38" s="42" t="str">
        <f t="shared" si="18"/>
        <v/>
      </c>
      <c r="Z38" s="42" t="str">
        <f t="shared" si="18"/>
        <v/>
      </c>
      <c r="AA38" s="42" t="str">
        <f t="shared" si="18"/>
        <v/>
      </c>
      <c r="AB38" s="43" t="str">
        <f t="shared" si="18"/>
        <v/>
      </c>
      <c r="AD38" s="41" t="str">
        <f t="shared" ref="AD38:AO38" si="19">IF(AD28="","",AD28/AD18)</f>
        <v/>
      </c>
      <c r="AE38" s="42" t="str">
        <f t="shared" si="19"/>
        <v/>
      </c>
      <c r="AF38" s="42" t="str">
        <f t="shared" si="19"/>
        <v/>
      </c>
      <c r="AG38" s="42" t="str">
        <f t="shared" si="19"/>
        <v/>
      </c>
      <c r="AH38" s="42" t="str">
        <f t="shared" si="19"/>
        <v/>
      </c>
      <c r="AI38" s="42" t="str">
        <f t="shared" si="19"/>
        <v/>
      </c>
      <c r="AJ38" s="42" t="str">
        <f t="shared" si="19"/>
        <v/>
      </c>
      <c r="AK38" s="42" t="str">
        <f t="shared" si="19"/>
        <v/>
      </c>
      <c r="AL38" s="42" t="str">
        <f t="shared" si="19"/>
        <v/>
      </c>
      <c r="AM38" s="42" t="str">
        <f t="shared" si="19"/>
        <v/>
      </c>
      <c r="AN38" s="42" t="str">
        <f t="shared" si="19"/>
        <v/>
      </c>
      <c r="AO38" s="43" t="str">
        <f t="shared" si="19"/>
        <v/>
      </c>
    </row>
    <row r="39" spans="4:41" x14ac:dyDescent="0.3">
      <c r="D39" s="54" t="str">
        <f t="shared" ref="D39:O39" si="20">IF(D29="","",D29/D19)</f>
        <v/>
      </c>
      <c r="E39" s="55" t="str">
        <f t="shared" si="20"/>
        <v/>
      </c>
      <c r="F39" s="55" t="str">
        <f t="shared" si="20"/>
        <v/>
      </c>
      <c r="G39" s="55" t="str">
        <f t="shared" si="20"/>
        <v/>
      </c>
      <c r="H39" s="55" t="str">
        <f t="shared" si="20"/>
        <v/>
      </c>
      <c r="I39" s="55" t="str">
        <f t="shared" si="20"/>
        <v/>
      </c>
      <c r="J39" s="55" t="str">
        <f t="shared" si="20"/>
        <v/>
      </c>
      <c r="K39" s="55" t="str">
        <f t="shared" si="20"/>
        <v/>
      </c>
      <c r="L39" s="55" t="str">
        <f t="shared" si="20"/>
        <v/>
      </c>
      <c r="M39" s="55" t="str">
        <f t="shared" si="20"/>
        <v/>
      </c>
      <c r="N39" s="55" t="str">
        <f t="shared" si="20"/>
        <v/>
      </c>
      <c r="O39" s="56" t="str">
        <f t="shared" si="20"/>
        <v/>
      </c>
      <c r="Q39" s="41" t="str">
        <f t="shared" ref="Q39:AB39" si="21">IF(Q29="","",Q29/Q19)</f>
        <v/>
      </c>
      <c r="R39" s="42" t="str">
        <f t="shared" si="21"/>
        <v/>
      </c>
      <c r="S39" s="42" t="str">
        <f t="shared" si="21"/>
        <v/>
      </c>
      <c r="T39" s="42" t="str">
        <f t="shared" si="21"/>
        <v/>
      </c>
      <c r="U39" s="42" t="str">
        <f t="shared" si="21"/>
        <v/>
      </c>
      <c r="V39" s="42" t="str">
        <f t="shared" si="21"/>
        <v/>
      </c>
      <c r="W39" s="42" t="str">
        <f t="shared" si="21"/>
        <v/>
      </c>
      <c r="X39" s="42" t="str">
        <f t="shared" si="21"/>
        <v/>
      </c>
      <c r="Y39" s="42" t="str">
        <f t="shared" si="21"/>
        <v/>
      </c>
      <c r="Z39" s="42" t="str">
        <f t="shared" si="21"/>
        <v/>
      </c>
      <c r="AA39" s="42" t="str">
        <f t="shared" si="21"/>
        <v/>
      </c>
      <c r="AB39" s="43" t="str">
        <f t="shared" si="21"/>
        <v/>
      </c>
      <c r="AD39" s="41" t="str">
        <f t="shared" ref="AD39:AO39" si="22">IF(AD29="","",AD29/AD19)</f>
        <v/>
      </c>
      <c r="AE39" s="42" t="str">
        <f t="shared" si="22"/>
        <v/>
      </c>
      <c r="AF39" s="42" t="str">
        <f t="shared" si="22"/>
        <v/>
      </c>
      <c r="AG39" s="42" t="str">
        <f t="shared" si="22"/>
        <v/>
      </c>
      <c r="AH39" s="42" t="str">
        <f t="shared" si="22"/>
        <v/>
      </c>
      <c r="AI39" s="42" t="str">
        <f t="shared" si="22"/>
        <v/>
      </c>
      <c r="AJ39" s="42" t="str">
        <f t="shared" si="22"/>
        <v/>
      </c>
      <c r="AK39" s="42" t="str">
        <f t="shared" si="22"/>
        <v/>
      </c>
      <c r="AL39" s="42" t="str">
        <f t="shared" si="22"/>
        <v/>
      </c>
      <c r="AM39" s="42" t="str">
        <f t="shared" si="22"/>
        <v/>
      </c>
      <c r="AN39" s="42" t="str">
        <f t="shared" si="22"/>
        <v/>
      </c>
      <c r="AO39" s="43" t="str">
        <f t="shared" si="22"/>
        <v/>
      </c>
    </row>
    <row r="40" spans="4:41" x14ac:dyDescent="0.3">
      <c r="D40" s="57" t="str">
        <f t="shared" ref="D40:O40" si="23">IF(D30="","",D30/D20)</f>
        <v/>
      </c>
      <c r="E40" s="58" t="str">
        <f t="shared" si="23"/>
        <v/>
      </c>
      <c r="F40" s="58" t="str">
        <f t="shared" si="23"/>
        <v/>
      </c>
      <c r="G40" s="58" t="str">
        <f t="shared" si="23"/>
        <v/>
      </c>
      <c r="H40" s="58" t="str">
        <f t="shared" si="23"/>
        <v/>
      </c>
      <c r="I40" s="58" t="str">
        <f t="shared" si="23"/>
        <v/>
      </c>
      <c r="J40" s="58" t="str">
        <f t="shared" si="23"/>
        <v/>
      </c>
      <c r="K40" s="58" t="str">
        <f t="shared" si="23"/>
        <v/>
      </c>
      <c r="L40" s="58" t="str">
        <f t="shared" si="23"/>
        <v/>
      </c>
      <c r="M40" s="58" t="str">
        <f t="shared" si="23"/>
        <v/>
      </c>
      <c r="N40" s="58" t="str">
        <f t="shared" si="23"/>
        <v/>
      </c>
      <c r="O40" s="59" t="str">
        <f t="shared" si="23"/>
        <v/>
      </c>
      <c r="Q40" s="44" t="str">
        <f t="shared" ref="Q40:AB40" si="24">IF(Q30="","",Q30/Q20)</f>
        <v/>
      </c>
      <c r="R40" s="45" t="str">
        <f t="shared" si="24"/>
        <v/>
      </c>
      <c r="S40" s="45" t="str">
        <f t="shared" si="24"/>
        <v/>
      </c>
      <c r="T40" s="45" t="str">
        <f t="shared" si="24"/>
        <v/>
      </c>
      <c r="U40" s="45" t="str">
        <f t="shared" si="24"/>
        <v/>
      </c>
      <c r="V40" s="45" t="str">
        <f t="shared" si="24"/>
        <v/>
      </c>
      <c r="W40" s="45" t="str">
        <f t="shared" si="24"/>
        <v/>
      </c>
      <c r="X40" s="45" t="str">
        <f t="shared" si="24"/>
        <v/>
      </c>
      <c r="Y40" s="45" t="str">
        <f t="shared" si="24"/>
        <v/>
      </c>
      <c r="Z40" s="45" t="str">
        <f t="shared" si="24"/>
        <v/>
      </c>
      <c r="AA40" s="45" t="str">
        <f t="shared" si="24"/>
        <v/>
      </c>
      <c r="AB40" s="46" t="str">
        <f t="shared" si="24"/>
        <v/>
      </c>
      <c r="AD40" s="44" t="str">
        <f t="shared" ref="AD40:AO40" si="25">IF(AD30="","",AD30/AD20)</f>
        <v/>
      </c>
      <c r="AE40" s="45" t="str">
        <f t="shared" si="25"/>
        <v/>
      </c>
      <c r="AF40" s="45" t="str">
        <f t="shared" si="25"/>
        <v/>
      </c>
      <c r="AG40" s="45" t="str">
        <f t="shared" si="25"/>
        <v/>
      </c>
      <c r="AH40" s="45" t="str">
        <f t="shared" si="25"/>
        <v/>
      </c>
      <c r="AI40" s="45" t="str">
        <f t="shared" si="25"/>
        <v/>
      </c>
      <c r="AJ40" s="45" t="str">
        <f t="shared" si="25"/>
        <v/>
      </c>
      <c r="AK40" s="45" t="str">
        <f t="shared" si="25"/>
        <v/>
      </c>
      <c r="AL40" s="45" t="str">
        <f t="shared" si="25"/>
        <v/>
      </c>
      <c r="AM40" s="45" t="str">
        <f t="shared" si="25"/>
        <v/>
      </c>
      <c r="AN40" s="45" t="str">
        <f t="shared" si="25"/>
        <v/>
      </c>
      <c r="AO40" s="46" t="str">
        <f t="shared" si="25"/>
        <v/>
      </c>
    </row>
    <row r="42" spans="4:41" ht="15.6" x14ac:dyDescent="0.35">
      <c r="D42" s="1" t="s">
        <v>67</v>
      </c>
      <c r="F42" s="1" t="s">
        <v>25</v>
      </c>
      <c r="G42" s="61">
        <v>2</v>
      </c>
      <c r="Q42" s="1" t="s">
        <v>68</v>
      </c>
      <c r="S42" s="1" t="s">
        <v>25</v>
      </c>
      <c r="T42" s="61">
        <v>2</v>
      </c>
      <c r="AD42" s="1" t="s">
        <v>69</v>
      </c>
      <c r="AF42" s="1" t="s">
        <v>25</v>
      </c>
      <c r="AG42" s="61">
        <v>3</v>
      </c>
    </row>
    <row r="43" spans="4:41" x14ac:dyDescent="0.3">
      <c r="D43" s="27" t="str">
        <f>IF(D33="","",IF(D13&lt;0,$G$42,IF(D33&gt;10^$G$42,$G$42,IF(D33&lt;1,0,LOG(D33,10)))))</f>
        <v/>
      </c>
      <c r="E43" s="28" t="str">
        <f t="shared" ref="E43:O43" si="26">IF(E33="","",IF(E13&lt;0,$G$42,IF(E33&gt;10^$G$42,$G$42,IF(E33&lt;1,0,LOG(E33,10)))))</f>
        <v/>
      </c>
      <c r="F43" s="28" t="str">
        <f t="shared" si="26"/>
        <v/>
      </c>
      <c r="G43" s="28" t="str">
        <f t="shared" si="26"/>
        <v/>
      </c>
      <c r="H43" s="28" t="str">
        <f t="shared" si="26"/>
        <v/>
      </c>
      <c r="I43" s="28" t="str">
        <f t="shared" si="26"/>
        <v/>
      </c>
      <c r="J43" s="28" t="str">
        <f t="shared" si="26"/>
        <v/>
      </c>
      <c r="K43" s="28" t="str">
        <f t="shared" si="26"/>
        <v/>
      </c>
      <c r="L43" s="28" t="str">
        <f t="shared" si="26"/>
        <v/>
      </c>
      <c r="M43" s="28" t="str">
        <f t="shared" si="26"/>
        <v/>
      </c>
      <c r="N43" s="28" t="str">
        <f t="shared" si="26"/>
        <v/>
      </c>
      <c r="O43" s="29" t="str">
        <f t="shared" si="26"/>
        <v/>
      </c>
      <c r="Q43" s="51" t="str">
        <f>IF(Q33="","",IF(Q13&lt;0,$T$42,IF(Q33&gt;10^$T$42,$T$42,IF(Q33&lt;1,0,LOG(Q33,10)))))</f>
        <v/>
      </c>
      <c r="R43" s="52" t="str">
        <f t="shared" ref="R43:AB43" si="27">IF(R33="","",IF(R13&lt;0,$T$42,IF(R33&gt;10^$T$42,$T$42,IF(R33&lt;1,0,LOG(R33,10)))))</f>
        <v/>
      </c>
      <c r="S43" s="52" t="str">
        <f t="shared" si="27"/>
        <v/>
      </c>
      <c r="T43" s="52" t="str">
        <f t="shared" si="27"/>
        <v/>
      </c>
      <c r="U43" s="52" t="str">
        <f t="shared" si="27"/>
        <v/>
      </c>
      <c r="V43" s="52" t="str">
        <f t="shared" si="27"/>
        <v/>
      </c>
      <c r="W43" s="52" t="str">
        <f t="shared" si="27"/>
        <v/>
      </c>
      <c r="X43" s="52" t="str">
        <f t="shared" si="27"/>
        <v/>
      </c>
      <c r="Y43" s="52" t="str">
        <f t="shared" si="27"/>
        <v/>
      </c>
      <c r="Z43" s="52" t="str">
        <f t="shared" si="27"/>
        <v/>
      </c>
      <c r="AA43" s="52" t="str">
        <f t="shared" si="27"/>
        <v/>
      </c>
      <c r="AB43" s="53" t="str">
        <f t="shared" si="27"/>
        <v/>
      </c>
      <c r="AD43" s="51" t="str">
        <f>IF(AD33="","",IF(AD13&lt;0,$AG$42,IF(AD33&gt;10^$AG$42,$AG$42,IF(AD33&lt;1,0,LOG(AD33,10)))))</f>
        <v/>
      </c>
      <c r="AE43" s="52" t="str">
        <f t="shared" ref="AE43:AO43" si="28">IF(AE33="","",IF(AE13&lt;0,$AG$42,IF(AE33&gt;10^$AG$42,$AG$42,IF(AE33&lt;1,0,LOG(AE33,10)))))</f>
        <v/>
      </c>
      <c r="AF43" s="52" t="str">
        <f t="shared" si="28"/>
        <v/>
      </c>
      <c r="AG43" s="52" t="str">
        <f t="shared" si="28"/>
        <v/>
      </c>
      <c r="AH43" s="52" t="str">
        <f t="shared" si="28"/>
        <v/>
      </c>
      <c r="AI43" s="52" t="str">
        <f t="shared" si="28"/>
        <v/>
      </c>
      <c r="AJ43" s="52" t="str">
        <f t="shared" si="28"/>
        <v/>
      </c>
      <c r="AK43" s="52" t="str">
        <f t="shared" si="28"/>
        <v/>
      </c>
      <c r="AL43" s="52" t="str">
        <f t="shared" si="28"/>
        <v/>
      </c>
      <c r="AM43" s="52" t="str">
        <f t="shared" si="28"/>
        <v/>
      </c>
      <c r="AN43" s="52" t="str">
        <f t="shared" si="28"/>
        <v/>
      </c>
      <c r="AO43" s="53" t="str">
        <f t="shared" si="28"/>
        <v/>
      </c>
    </row>
    <row r="44" spans="4:41" x14ac:dyDescent="0.3">
      <c r="D44" s="30" t="str">
        <f t="shared" ref="D44:D50" si="29">IF(D34="","",IF(D14&lt;0,$G$42,IF(D34&gt;10^$G$42,$G$42,IF(D34&lt;1,0,LOG(D34,10)))))</f>
        <v/>
      </c>
      <c r="E44" s="31" t="str">
        <f t="shared" ref="E44:O44" si="30">IF(E34="","",IF(E14&lt;0,$G$42,IF(E34&gt;10^$G$42,$G$42,IF(E34&lt;1,0,LOG(E34,10)))))</f>
        <v/>
      </c>
      <c r="F44" s="31" t="str">
        <f t="shared" si="30"/>
        <v/>
      </c>
      <c r="G44" s="31" t="str">
        <f t="shared" si="30"/>
        <v/>
      </c>
      <c r="H44" s="31" t="str">
        <f t="shared" si="30"/>
        <v/>
      </c>
      <c r="I44" s="31" t="str">
        <f t="shared" si="30"/>
        <v/>
      </c>
      <c r="J44" s="31" t="str">
        <f t="shared" si="30"/>
        <v/>
      </c>
      <c r="K44" s="31" t="str">
        <f t="shared" si="30"/>
        <v/>
      </c>
      <c r="L44" s="31" t="str">
        <f t="shared" si="30"/>
        <v/>
      </c>
      <c r="M44" s="31" t="str">
        <f t="shared" si="30"/>
        <v/>
      </c>
      <c r="N44" s="31" t="str">
        <f t="shared" si="30"/>
        <v/>
      </c>
      <c r="O44" s="32" t="str">
        <f t="shared" si="30"/>
        <v/>
      </c>
      <c r="Q44" s="54" t="str">
        <f t="shared" ref="Q44:AB44" si="31">IF(Q34="","",IF(Q14&lt;0,$T$42,IF(Q34&gt;10^$T$42,$T$42,IF(Q34&lt;1,0,LOG(Q34,10)))))</f>
        <v/>
      </c>
      <c r="R44" s="55" t="str">
        <f t="shared" si="31"/>
        <v/>
      </c>
      <c r="S44" s="55" t="str">
        <f t="shared" si="31"/>
        <v/>
      </c>
      <c r="T44" s="55" t="str">
        <f t="shared" si="31"/>
        <v/>
      </c>
      <c r="U44" s="55" t="str">
        <f t="shared" si="31"/>
        <v/>
      </c>
      <c r="V44" s="55" t="str">
        <f t="shared" si="31"/>
        <v/>
      </c>
      <c r="W44" s="55" t="str">
        <f t="shared" si="31"/>
        <v/>
      </c>
      <c r="X44" s="55" t="str">
        <f t="shared" si="31"/>
        <v/>
      </c>
      <c r="Y44" s="55" t="str">
        <f t="shared" si="31"/>
        <v/>
      </c>
      <c r="Z44" s="55" t="str">
        <f t="shared" si="31"/>
        <v/>
      </c>
      <c r="AA44" s="55" t="str">
        <f t="shared" si="31"/>
        <v/>
      </c>
      <c r="AB44" s="56" t="str">
        <f t="shared" si="31"/>
        <v/>
      </c>
      <c r="AD44" s="54" t="str">
        <f t="shared" ref="AD44:AO44" si="32">IF(AD34="","",IF(AD14&lt;0,$AG$42,IF(AD34&gt;10^$AG$42,$AG$42,IF(AD34&lt;1,0,LOG(AD34,10)))))</f>
        <v/>
      </c>
      <c r="AE44" s="55" t="str">
        <f t="shared" si="32"/>
        <v/>
      </c>
      <c r="AF44" s="55" t="str">
        <f t="shared" si="32"/>
        <v/>
      </c>
      <c r="AG44" s="55" t="str">
        <f t="shared" si="32"/>
        <v/>
      </c>
      <c r="AH44" s="55" t="str">
        <f t="shared" si="32"/>
        <v/>
      </c>
      <c r="AI44" s="55" t="str">
        <f t="shared" si="32"/>
        <v/>
      </c>
      <c r="AJ44" s="55" t="str">
        <f t="shared" si="32"/>
        <v/>
      </c>
      <c r="AK44" s="55" t="str">
        <f t="shared" si="32"/>
        <v/>
      </c>
      <c r="AL44" s="55" t="str">
        <f t="shared" si="32"/>
        <v/>
      </c>
      <c r="AM44" s="55" t="str">
        <f t="shared" si="32"/>
        <v/>
      </c>
      <c r="AN44" s="55" t="str">
        <f t="shared" si="32"/>
        <v/>
      </c>
      <c r="AO44" s="56" t="str">
        <f t="shared" si="32"/>
        <v/>
      </c>
    </row>
    <row r="45" spans="4:41" x14ac:dyDescent="0.3">
      <c r="D45" s="30" t="str">
        <f t="shared" si="29"/>
        <v/>
      </c>
      <c r="E45" s="31" t="str">
        <f t="shared" ref="E45:O45" si="33">IF(E35="","",IF(E15&lt;0,$G$42,IF(E35&gt;10^$G$42,$G$42,IF(E35&lt;1,0,LOG(E35,10)))))</f>
        <v/>
      </c>
      <c r="F45" s="31" t="str">
        <f t="shared" si="33"/>
        <v/>
      </c>
      <c r="G45" s="31" t="str">
        <f t="shared" si="33"/>
        <v/>
      </c>
      <c r="H45" s="31" t="str">
        <f t="shared" si="33"/>
        <v/>
      </c>
      <c r="I45" s="31" t="str">
        <f t="shared" si="33"/>
        <v/>
      </c>
      <c r="J45" s="31" t="str">
        <f t="shared" si="33"/>
        <v/>
      </c>
      <c r="K45" s="31" t="str">
        <f t="shared" si="33"/>
        <v/>
      </c>
      <c r="L45" s="31" t="str">
        <f t="shared" si="33"/>
        <v/>
      </c>
      <c r="M45" s="31" t="str">
        <f t="shared" si="33"/>
        <v/>
      </c>
      <c r="N45" s="31" t="str">
        <f t="shared" si="33"/>
        <v/>
      </c>
      <c r="O45" s="32" t="str">
        <f t="shared" si="33"/>
        <v/>
      </c>
      <c r="Q45" s="54" t="str">
        <f t="shared" ref="Q45:AB45" si="34">IF(Q35="","",IF(Q15&lt;0,$T$42,IF(Q35&gt;10^$T$42,$T$42,IF(Q35&lt;1,0,LOG(Q35,10)))))</f>
        <v/>
      </c>
      <c r="R45" s="55" t="str">
        <f t="shared" si="34"/>
        <v/>
      </c>
      <c r="S45" s="55" t="str">
        <f t="shared" si="34"/>
        <v/>
      </c>
      <c r="T45" s="55" t="str">
        <f t="shared" si="34"/>
        <v/>
      </c>
      <c r="U45" s="55" t="str">
        <f t="shared" si="34"/>
        <v/>
      </c>
      <c r="V45" s="55" t="str">
        <f t="shared" si="34"/>
        <v/>
      </c>
      <c r="W45" s="55" t="str">
        <f t="shared" si="34"/>
        <v/>
      </c>
      <c r="X45" s="55" t="str">
        <f t="shared" si="34"/>
        <v/>
      </c>
      <c r="Y45" s="55" t="str">
        <f t="shared" si="34"/>
        <v/>
      </c>
      <c r="Z45" s="55" t="str">
        <f t="shared" si="34"/>
        <v/>
      </c>
      <c r="AA45" s="55" t="str">
        <f t="shared" si="34"/>
        <v/>
      </c>
      <c r="AB45" s="56" t="str">
        <f t="shared" si="34"/>
        <v/>
      </c>
      <c r="AD45" s="54" t="str">
        <f t="shared" ref="AD45:AO45" si="35">IF(AD35="","",IF(AD15&lt;0,$AG$42,IF(AD35&gt;10^$AG$42,$AG$42,IF(AD35&lt;1,0,LOG(AD35,10)))))</f>
        <v/>
      </c>
      <c r="AE45" s="55" t="str">
        <f t="shared" si="35"/>
        <v/>
      </c>
      <c r="AF45" s="55" t="str">
        <f t="shared" si="35"/>
        <v/>
      </c>
      <c r="AG45" s="55" t="str">
        <f t="shared" si="35"/>
        <v/>
      </c>
      <c r="AH45" s="55" t="str">
        <f t="shared" si="35"/>
        <v/>
      </c>
      <c r="AI45" s="55" t="str">
        <f t="shared" si="35"/>
        <v/>
      </c>
      <c r="AJ45" s="55" t="str">
        <f t="shared" si="35"/>
        <v/>
      </c>
      <c r="AK45" s="55" t="str">
        <f t="shared" si="35"/>
        <v/>
      </c>
      <c r="AL45" s="55" t="str">
        <f t="shared" si="35"/>
        <v/>
      </c>
      <c r="AM45" s="55" t="str">
        <f t="shared" si="35"/>
        <v/>
      </c>
      <c r="AN45" s="55" t="str">
        <f t="shared" si="35"/>
        <v/>
      </c>
      <c r="AO45" s="56" t="str">
        <f t="shared" si="35"/>
        <v/>
      </c>
    </row>
    <row r="46" spans="4:41" x14ac:dyDescent="0.3">
      <c r="D46" s="30" t="str">
        <f t="shared" si="29"/>
        <v/>
      </c>
      <c r="E46" s="31" t="str">
        <f t="shared" ref="E46:O46" si="36">IF(E36="","",IF(E16&lt;0,$G$42,IF(E36&gt;10^$G$42,$G$42,IF(E36&lt;1,0,LOG(E36,10)))))</f>
        <v/>
      </c>
      <c r="F46" s="31" t="str">
        <f t="shared" si="36"/>
        <v/>
      </c>
      <c r="G46" s="31" t="str">
        <f t="shared" si="36"/>
        <v/>
      </c>
      <c r="H46" s="31" t="str">
        <f t="shared" si="36"/>
        <v/>
      </c>
      <c r="I46" s="31" t="str">
        <f t="shared" si="36"/>
        <v/>
      </c>
      <c r="J46" s="31" t="str">
        <f t="shared" si="36"/>
        <v/>
      </c>
      <c r="K46" s="31" t="str">
        <f t="shared" si="36"/>
        <v/>
      </c>
      <c r="L46" s="31" t="str">
        <f t="shared" si="36"/>
        <v/>
      </c>
      <c r="M46" s="31" t="str">
        <f t="shared" si="36"/>
        <v/>
      </c>
      <c r="N46" s="31" t="str">
        <f t="shared" si="36"/>
        <v/>
      </c>
      <c r="O46" s="32" t="str">
        <f t="shared" si="36"/>
        <v/>
      </c>
      <c r="Q46" s="54" t="str">
        <f t="shared" ref="Q46:AB46" si="37">IF(Q36="","",IF(Q16&lt;0,$T$42,IF(Q36&gt;10^$T$42,$T$42,IF(Q36&lt;1,0,LOG(Q36,10)))))</f>
        <v/>
      </c>
      <c r="R46" s="55" t="str">
        <f t="shared" si="37"/>
        <v/>
      </c>
      <c r="S46" s="55" t="str">
        <f t="shared" si="37"/>
        <v/>
      </c>
      <c r="T46" s="55" t="str">
        <f t="shared" si="37"/>
        <v/>
      </c>
      <c r="U46" s="55" t="str">
        <f t="shared" si="37"/>
        <v/>
      </c>
      <c r="V46" s="55" t="str">
        <f t="shared" si="37"/>
        <v/>
      </c>
      <c r="W46" s="55" t="str">
        <f t="shared" si="37"/>
        <v/>
      </c>
      <c r="X46" s="55" t="str">
        <f t="shared" si="37"/>
        <v/>
      </c>
      <c r="Y46" s="55" t="str">
        <f t="shared" si="37"/>
        <v/>
      </c>
      <c r="Z46" s="55" t="str">
        <f t="shared" si="37"/>
        <v/>
      </c>
      <c r="AA46" s="55" t="str">
        <f t="shared" si="37"/>
        <v/>
      </c>
      <c r="AB46" s="56" t="str">
        <f t="shared" si="37"/>
        <v/>
      </c>
      <c r="AD46" s="54" t="str">
        <f t="shared" ref="AD46:AO46" si="38">IF(AD36="","",IF(AD16&lt;0,$AG$42,IF(AD36&gt;10^$AG$42,$AG$42,IF(AD36&lt;1,0,LOG(AD36,10)))))</f>
        <v/>
      </c>
      <c r="AE46" s="55" t="str">
        <f t="shared" si="38"/>
        <v/>
      </c>
      <c r="AF46" s="55" t="str">
        <f t="shared" si="38"/>
        <v/>
      </c>
      <c r="AG46" s="55" t="str">
        <f t="shared" si="38"/>
        <v/>
      </c>
      <c r="AH46" s="55" t="str">
        <f t="shared" si="38"/>
        <v/>
      </c>
      <c r="AI46" s="55" t="str">
        <f t="shared" si="38"/>
        <v/>
      </c>
      <c r="AJ46" s="55" t="str">
        <f t="shared" si="38"/>
        <v/>
      </c>
      <c r="AK46" s="55" t="str">
        <f t="shared" si="38"/>
        <v/>
      </c>
      <c r="AL46" s="55" t="str">
        <f t="shared" si="38"/>
        <v/>
      </c>
      <c r="AM46" s="55" t="str">
        <f t="shared" si="38"/>
        <v/>
      </c>
      <c r="AN46" s="55" t="str">
        <f t="shared" si="38"/>
        <v/>
      </c>
      <c r="AO46" s="56" t="str">
        <f t="shared" si="38"/>
        <v/>
      </c>
    </row>
    <row r="47" spans="4:41" x14ac:dyDescent="0.3">
      <c r="D47" s="30" t="str">
        <f t="shared" si="29"/>
        <v/>
      </c>
      <c r="E47" s="31" t="str">
        <f t="shared" ref="E47:O47" si="39">IF(E37="","",IF(E17&lt;0,$G$42,IF(E37&gt;10^$G$42,$G$42,IF(E37&lt;1,0,LOG(E37,10)))))</f>
        <v/>
      </c>
      <c r="F47" s="31" t="str">
        <f t="shared" si="39"/>
        <v/>
      </c>
      <c r="G47" s="31" t="str">
        <f t="shared" si="39"/>
        <v/>
      </c>
      <c r="H47" s="31" t="str">
        <f t="shared" si="39"/>
        <v/>
      </c>
      <c r="I47" s="31" t="str">
        <f t="shared" si="39"/>
        <v/>
      </c>
      <c r="J47" s="31" t="str">
        <f t="shared" si="39"/>
        <v/>
      </c>
      <c r="K47" s="31" t="str">
        <f t="shared" si="39"/>
        <v/>
      </c>
      <c r="L47" s="31" t="str">
        <f t="shared" si="39"/>
        <v/>
      </c>
      <c r="M47" s="31" t="str">
        <f t="shared" si="39"/>
        <v/>
      </c>
      <c r="N47" s="31" t="str">
        <f t="shared" si="39"/>
        <v/>
      </c>
      <c r="O47" s="32" t="str">
        <f t="shared" si="39"/>
        <v/>
      </c>
      <c r="Q47" s="54" t="str">
        <f t="shared" ref="Q47:AB47" si="40">IF(Q37="","",IF(Q17&lt;0,$T$42,IF(Q37&gt;10^$T$42,$T$42,IF(Q37&lt;1,0,LOG(Q37,10)))))</f>
        <v/>
      </c>
      <c r="R47" s="55" t="str">
        <f t="shared" si="40"/>
        <v/>
      </c>
      <c r="S47" s="55" t="str">
        <f t="shared" si="40"/>
        <v/>
      </c>
      <c r="T47" s="55" t="str">
        <f t="shared" si="40"/>
        <v/>
      </c>
      <c r="U47" s="55" t="str">
        <f t="shared" si="40"/>
        <v/>
      </c>
      <c r="V47" s="55" t="str">
        <f t="shared" si="40"/>
        <v/>
      </c>
      <c r="W47" s="55" t="str">
        <f t="shared" si="40"/>
        <v/>
      </c>
      <c r="X47" s="55" t="str">
        <f t="shared" si="40"/>
        <v/>
      </c>
      <c r="Y47" s="55" t="str">
        <f t="shared" si="40"/>
        <v/>
      </c>
      <c r="Z47" s="55" t="str">
        <f t="shared" si="40"/>
        <v/>
      </c>
      <c r="AA47" s="55" t="str">
        <f t="shared" si="40"/>
        <v/>
      </c>
      <c r="AB47" s="56" t="str">
        <f t="shared" si="40"/>
        <v/>
      </c>
      <c r="AD47" s="54" t="str">
        <f t="shared" ref="AD47:AO47" si="41">IF(AD37="","",IF(AD17&lt;0,$AG$42,IF(AD37&gt;10^$AG$42,$AG$42,IF(AD37&lt;1,0,LOG(AD37,10)))))</f>
        <v/>
      </c>
      <c r="AE47" s="55" t="str">
        <f t="shared" si="41"/>
        <v/>
      </c>
      <c r="AF47" s="55" t="str">
        <f t="shared" si="41"/>
        <v/>
      </c>
      <c r="AG47" s="55" t="str">
        <f t="shared" si="41"/>
        <v/>
      </c>
      <c r="AH47" s="55" t="str">
        <f t="shared" si="41"/>
        <v/>
      </c>
      <c r="AI47" s="55" t="str">
        <f t="shared" si="41"/>
        <v/>
      </c>
      <c r="AJ47" s="55" t="str">
        <f t="shared" si="41"/>
        <v/>
      </c>
      <c r="AK47" s="55" t="str">
        <f t="shared" si="41"/>
        <v/>
      </c>
      <c r="AL47" s="55" t="str">
        <f t="shared" si="41"/>
        <v/>
      </c>
      <c r="AM47" s="55" t="str">
        <f t="shared" si="41"/>
        <v/>
      </c>
      <c r="AN47" s="55" t="str">
        <f t="shared" si="41"/>
        <v/>
      </c>
      <c r="AO47" s="56" t="str">
        <f t="shared" si="41"/>
        <v/>
      </c>
    </row>
    <row r="48" spans="4:41" x14ac:dyDescent="0.3">
      <c r="D48" s="30" t="str">
        <f t="shared" si="29"/>
        <v/>
      </c>
      <c r="E48" s="31" t="str">
        <f t="shared" ref="E48:O48" si="42">IF(E38="","",IF(E18&lt;0,$G$42,IF(E38&gt;10^$G$42,$G$42,IF(E38&lt;1,0,LOG(E38,10)))))</f>
        <v/>
      </c>
      <c r="F48" s="31" t="str">
        <f t="shared" si="42"/>
        <v/>
      </c>
      <c r="G48" s="31" t="str">
        <f t="shared" si="42"/>
        <v/>
      </c>
      <c r="H48" s="31" t="str">
        <f t="shared" si="42"/>
        <v/>
      </c>
      <c r="I48" s="31" t="str">
        <f t="shared" si="42"/>
        <v/>
      </c>
      <c r="J48" s="31" t="str">
        <f t="shared" si="42"/>
        <v/>
      </c>
      <c r="K48" s="31" t="str">
        <f t="shared" si="42"/>
        <v/>
      </c>
      <c r="L48" s="31" t="str">
        <f t="shared" si="42"/>
        <v/>
      </c>
      <c r="M48" s="31" t="str">
        <f t="shared" si="42"/>
        <v/>
      </c>
      <c r="N48" s="31" t="str">
        <f t="shared" si="42"/>
        <v/>
      </c>
      <c r="O48" s="32" t="str">
        <f t="shared" si="42"/>
        <v/>
      </c>
      <c r="Q48" s="54" t="str">
        <f t="shared" ref="Q48:AB48" si="43">IF(Q38="","",IF(Q18&lt;0,$T$42,IF(Q38&gt;10^$T$42,$T$42,IF(Q38&lt;1,0,LOG(Q38,10)))))</f>
        <v/>
      </c>
      <c r="R48" s="55" t="str">
        <f t="shared" si="43"/>
        <v/>
      </c>
      <c r="S48" s="55" t="str">
        <f t="shared" si="43"/>
        <v/>
      </c>
      <c r="T48" s="55" t="str">
        <f t="shared" si="43"/>
        <v/>
      </c>
      <c r="U48" s="55" t="str">
        <f t="shared" si="43"/>
        <v/>
      </c>
      <c r="V48" s="55" t="str">
        <f t="shared" si="43"/>
        <v/>
      </c>
      <c r="W48" s="55" t="str">
        <f t="shared" si="43"/>
        <v/>
      </c>
      <c r="X48" s="55" t="str">
        <f t="shared" si="43"/>
        <v/>
      </c>
      <c r="Y48" s="55" t="str">
        <f t="shared" si="43"/>
        <v/>
      </c>
      <c r="Z48" s="55" t="str">
        <f t="shared" si="43"/>
        <v/>
      </c>
      <c r="AA48" s="55" t="str">
        <f t="shared" si="43"/>
        <v/>
      </c>
      <c r="AB48" s="56" t="str">
        <f t="shared" si="43"/>
        <v/>
      </c>
      <c r="AD48" s="54" t="str">
        <f t="shared" ref="AD48:AO48" si="44">IF(AD38="","",IF(AD18&lt;0,$AG$42,IF(AD38&gt;10^$AG$42,$AG$42,IF(AD38&lt;1,0,LOG(AD38,10)))))</f>
        <v/>
      </c>
      <c r="AE48" s="55" t="str">
        <f t="shared" si="44"/>
        <v/>
      </c>
      <c r="AF48" s="55" t="str">
        <f t="shared" si="44"/>
        <v/>
      </c>
      <c r="AG48" s="55" t="str">
        <f t="shared" si="44"/>
        <v/>
      </c>
      <c r="AH48" s="55" t="str">
        <f t="shared" si="44"/>
        <v/>
      </c>
      <c r="AI48" s="55" t="str">
        <f t="shared" si="44"/>
        <v/>
      </c>
      <c r="AJ48" s="55" t="str">
        <f t="shared" si="44"/>
        <v/>
      </c>
      <c r="AK48" s="55" t="str">
        <f t="shared" si="44"/>
        <v/>
      </c>
      <c r="AL48" s="55" t="str">
        <f t="shared" si="44"/>
        <v/>
      </c>
      <c r="AM48" s="55" t="str">
        <f t="shared" si="44"/>
        <v/>
      </c>
      <c r="AN48" s="55" t="str">
        <f t="shared" si="44"/>
        <v/>
      </c>
      <c r="AO48" s="56" t="str">
        <f t="shared" si="44"/>
        <v/>
      </c>
    </row>
    <row r="49" spans="4:41" x14ac:dyDescent="0.3">
      <c r="D49" s="30" t="str">
        <f t="shared" si="29"/>
        <v/>
      </c>
      <c r="E49" s="31" t="str">
        <f t="shared" ref="E49:O49" si="45">IF(E39="","",IF(E19&lt;0,$G$42,IF(E39&gt;10^$G$42,$G$42,IF(E39&lt;1,0,LOG(E39,10)))))</f>
        <v/>
      </c>
      <c r="F49" s="31" t="str">
        <f t="shared" si="45"/>
        <v/>
      </c>
      <c r="G49" s="31" t="str">
        <f t="shared" si="45"/>
        <v/>
      </c>
      <c r="H49" s="31" t="str">
        <f t="shared" si="45"/>
        <v/>
      </c>
      <c r="I49" s="31" t="str">
        <f t="shared" si="45"/>
        <v/>
      </c>
      <c r="J49" s="31" t="str">
        <f t="shared" si="45"/>
        <v/>
      </c>
      <c r="K49" s="31" t="str">
        <f t="shared" si="45"/>
        <v/>
      </c>
      <c r="L49" s="31" t="str">
        <f t="shared" si="45"/>
        <v/>
      </c>
      <c r="M49" s="31" t="str">
        <f t="shared" si="45"/>
        <v/>
      </c>
      <c r="N49" s="31" t="str">
        <f t="shared" si="45"/>
        <v/>
      </c>
      <c r="O49" s="32" t="str">
        <f t="shared" si="45"/>
        <v/>
      </c>
      <c r="Q49" s="54" t="str">
        <f t="shared" ref="Q49:AB49" si="46">IF(Q39="","",IF(Q19&lt;0,$T$42,IF(Q39&gt;10^$T$42,$T$42,IF(Q39&lt;1,0,LOG(Q39,10)))))</f>
        <v/>
      </c>
      <c r="R49" s="55" t="str">
        <f t="shared" si="46"/>
        <v/>
      </c>
      <c r="S49" s="55" t="str">
        <f t="shared" si="46"/>
        <v/>
      </c>
      <c r="T49" s="55" t="str">
        <f t="shared" si="46"/>
        <v/>
      </c>
      <c r="U49" s="55" t="str">
        <f t="shared" si="46"/>
        <v/>
      </c>
      <c r="V49" s="55" t="str">
        <f t="shared" si="46"/>
        <v/>
      </c>
      <c r="W49" s="55" t="str">
        <f t="shared" si="46"/>
        <v/>
      </c>
      <c r="X49" s="55" t="str">
        <f t="shared" si="46"/>
        <v/>
      </c>
      <c r="Y49" s="55" t="str">
        <f t="shared" si="46"/>
        <v/>
      </c>
      <c r="Z49" s="55" t="str">
        <f t="shared" si="46"/>
        <v/>
      </c>
      <c r="AA49" s="55" t="str">
        <f t="shared" si="46"/>
        <v/>
      </c>
      <c r="AB49" s="56" t="str">
        <f t="shared" si="46"/>
        <v/>
      </c>
      <c r="AD49" s="54" t="str">
        <f t="shared" ref="AD49:AO49" si="47">IF(AD39="","",IF(AD19&lt;0,$AG$42,IF(AD39&gt;10^$AG$42,$AG$42,IF(AD39&lt;1,0,LOG(AD39,10)))))</f>
        <v/>
      </c>
      <c r="AE49" s="55" t="str">
        <f t="shared" si="47"/>
        <v/>
      </c>
      <c r="AF49" s="55" t="str">
        <f t="shared" si="47"/>
        <v/>
      </c>
      <c r="AG49" s="55" t="str">
        <f t="shared" si="47"/>
        <v/>
      </c>
      <c r="AH49" s="55" t="str">
        <f t="shared" si="47"/>
        <v/>
      </c>
      <c r="AI49" s="55" t="str">
        <f t="shared" si="47"/>
        <v/>
      </c>
      <c r="AJ49" s="55" t="str">
        <f t="shared" si="47"/>
        <v/>
      </c>
      <c r="AK49" s="55" t="str">
        <f t="shared" si="47"/>
        <v/>
      </c>
      <c r="AL49" s="55" t="str">
        <f t="shared" si="47"/>
        <v/>
      </c>
      <c r="AM49" s="55" t="str">
        <f t="shared" si="47"/>
        <v/>
      </c>
      <c r="AN49" s="55" t="str">
        <f t="shared" si="47"/>
        <v/>
      </c>
      <c r="AO49" s="56" t="str">
        <f t="shared" si="47"/>
        <v/>
      </c>
    </row>
    <row r="50" spans="4:41" x14ac:dyDescent="0.3">
      <c r="D50" s="33" t="str">
        <f t="shared" si="29"/>
        <v/>
      </c>
      <c r="E50" s="34" t="str">
        <f t="shared" ref="E50:O50" si="48">IF(E40="","",IF(E20&lt;0,$G$42,IF(E40&gt;10^$G$42,$G$42,IF(E40&lt;1,0,LOG(E40,10)))))</f>
        <v/>
      </c>
      <c r="F50" s="34" t="str">
        <f t="shared" si="48"/>
        <v/>
      </c>
      <c r="G50" s="34" t="str">
        <f t="shared" si="48"/>
        <v/>
      </c>
      <c r="H50" s="34" t="str">
        <f t="shared" si="48"/>
        <v/>
      </c>
      <c r="I50" s="34" t="str">
        <f t="shared" si="48"/>
        <v/>
      </c>
      <c r="J50" s="34" t="str">
        <f t="shared" si="48"/>
        <v/>
      </c>
      <c r="K50" s="34" t="str">
        <f t="shared" si="48"/>
        <v/>
      </c>
      <c r="L50" s="34" t="str">
        <f t="shared" si="48"/>
        <v/>
      </c>
      <c r="M50" s="34" t="str">
        <f t="shared" si="48"/>
        <v/>
      </c>
      <c r="N50" s="34" t="str">
        <f t="shared" si="48"/>
        <v/>
      </c>
      <c r="O50" s="35" t="str">
        <f t="shared" si="48"/>
        <v/>
      </c>
      <c r="Q50" s="57" t="str">
        <f t="shared" ref="Q50:AB50" si="49">IF(Q40="","",IF(Q20&lt;0,$T$42,IF(Q40&gt;10^$T$42,$T$42,IF(Q40&lt;1,0,LOG(Q40,10)))))</f>
        <v/>
      </c>
      <c r="R50" s="58" t="str">
        <f t="shared" si="49"/>
        <v/>
      </c>
      <c r="S50" s="58" t="str">
        <f t="shared" si="49"/>
        <v/>
      </c>
      <c r="T50" s="58" t="str">
        <f t="shared" si="49"/>
        <v/>
      </c>
      <c r="U50" s="58" t="str">
        <f t="shared" si="49"/>
        <v/>
      </c>
      <c r="V50" s="58" t="str">
        <f t="shared" si="49"/>
        <v/>
      </c>
      <c r="W50" s="58" t="str">
        <f t="shared" si="49"/>
        <v/>
      </c>
      <c r="X50" s="58" t="str">
        <f t="shared" si="49"/>
        <v/>
      </c>
      <c r="Y50" s="58" t="str">
        <f t="shared" si="49"/>
        <v/>
      </c>
      <c r="Z50" s="58" t="str">
        <f t="shared" si="49"/>
        <v/>
      </c>
      <c r="AA50" s="58" t="str">
        <f t="shared" si="49"/>
        <v/>
      </c>
      <c r="AB50" s="59" t="str">
        <f t="shared" si="49"/>
        <v/>
      </c>
      <c r="AD50" s="57" t="str">
        <f t="shared" ref="AD50:AO50" si="50">IF(AD40="","",IF(AD20&lt;0,$AG$42,IF(AD40&gt;10^$AG$42,$AG$42,IF(AD40&lt;1,0,LOG(AD40,10)))))</f>
        <v/>
      </c>
      <c r="AE50" s="58" t="str">
        <f t="shared" si="50"/>
        <v/>
      </c>
      <c r="AF50" s="58" t="str">
        <f t="shared" si="50"/>
        <v/>
      </c>
      <c r="AG50" s="58" t="str">
        <f t="shared" si="50"/>
        <v/>
      </c>
      <c r="AH50" s="58" t="str">
        <f t="shared" si="50"/>
        <v/>
      </c>
      <c r="AI50" s="58" t="str">
        <f t="shared" si="50"/>
        <v/>
      </c>
      <c r="AJ50" s="58" t="str">
        <f t="shared" si="50"/>
        <v/>
      </c>
      <c r="AK50" s="58" t="str">
        <f t="shared" si="50"/>
        <v/>
      </c>
      <c r="AL50" s="58" t="str">
        <f t="shared" si="50"/>
        <v/>
      </c>
      <c r="AM50" s="58" t="str">
        <f t="shared" si="50"/>
        <v/>
      </c>
      <c r="AN50" s="58" t="str">
        <f t="shared" si="50"/>
        <v/>
      </c>
      <c r="AO50" s="59" t="str">
        <f t="shared" si="50"/>
        <v/>
      </c>
    </row>
    <row r="52" spans="4:41" x14ac:dyDescent="0.3">
      <c r="Q52" s="1" t="s">
        <v>23</v>
      </c>
      <c r="AD52" s="1" t="s">
        <v>24</v>
      </c>
    </row>
    <row r="53" spans="4:41" x14ac:dyDescent="0.3">
      <c r="Q53" s="37" t="str">
        <f>IF(Q43="","",Q43-D43)</f>
        <v/>
      </c>
      <c r="R53" s="52" t="str">
        <f>IF(R43="","",R43-E43)</f>
        <v/>
      </c>
      <c r="S53" s="38" t="str">
        <f t="shared" ref="S53:AB60" si="51">IF(S43="","",S43-F43)</f>
        <v/>
      </c>
      <c r="T53" s="38" t="str">
        <f t="shared" si="51"/>
        <v/>
      </c>
      <c r="U53" s="38" t="str">
        <f t="shared" si="51"/>
        <v/>
      </c>
      <c r="V53" s="38" t="str">
        <f t="shared" si="51"/>
        <v/>
      </c>
      <c r="W53" s="38" t="str">
        <f t="shared" si="51"/>
        <v/>
      </c>
      <c r="X53" s="38" t="str">
        <f t="shared" si="51"/>
        <v/>
      </c>
      <c r="Y53" s="38" t="str">
        <f t="shared" si="51"/>
        <v/>
      </c>
      <c r="Z53" s="38" t="str">
        <f t="shared" si="51"/>
        <v/>
      </c>
      <c r="AA53" s="38" t="str">
        <f t="shared" si="51"/>
        <v/>
      </c>
      <c r="AB53" s="39" t="str">
        <f t="shared" si="51"/>
        <v/>
      </c>
      <c r="AD53" s="37" t="str">
        <f>IF(AD43="","",AD43-D43)</f>
        <v/>
      </c>
      <c r="AE53" s="52" t="str">
        <f t="shared" ref="AE53:AO53" si="52">IF(AE43="","",AE43-E43)</f>
        <v/>
      </c>
      <c r="AF53" s="38" t="str">
        <f t="shared" si="52"/>
        <v/>
      </c>
      <c r="AG53" s="38" t="str">
        <f t="shared" si="52"/>
        <v/>
      </c>
      <c r="AH53" s="38" t="str">
        <f t="shared" si="52"/>
        <v/>
      </c>
      <c r="AI53" s="38" t="str">
        <f t="shared" si="52"/>
        <v/>
      </c>
      <c r="AJ53" s="38" t="str">
        <f t="shared" si="52"/>
        <v/>
      </c>
      <c r="AK53" s="38" t="str">
        <f t="shared" si="52"/>
        <v/>
      </c>
      <c r="AL53" s="38" t="str">
        <f t="shared" si="52"/>
        <v/>
      </c>
      <c r="AM53" s="38" t="str">
        <f t="shared" si="52"/>
        <v/>
      </c>
      <c r="AN53" s="38" t="str">
        <f t="shared" si="52"/>
        <v/>
      </c>
      <c r="AO53" s="39" t="str">
        <f t="shared" si="52"/>
        <v/>
      </c>
    </row>
    <row r="54" spans="4:41" x14ac:dyDescent="0.3">
      <c r="Q54" s="41" t="str">
        <f t="shared" ref="Q54:R60" si="53">IF(Q44="","",Q44-D44)</f>
        <v/>
      </c>
      <c r="R54" s="55" t="str">
        <f t="shared" si="53"/>
        <v/>
      </c>
      <c r="S54" s="42" t="str">
        <f t="shared" si="51"/>
        <v/>
      </c>
      <c r="T54" s="42" t="str">
        <f t="shared" si="51"/>
        <v/>
      </c>
      <c r="U54" s="42" t="str">
        <f t="shared" si="51"/>
        <v/>
      </c>
      <c r="V54" s="42" t="str">
        <f t="shared" si="51"/>
        <v/>
      </c>
      <c r="W54" s="42" t="str">
        <f t="shared" si="51"/>
        <v/>
      </c>
      <c r="X54" s="42" t="str">
        <f t="shared" si="51"/>
        <v/>
      </c>
      <c r="Y54" s="42" t="str">
        <f t="shared" si="51"/>
        <v/>
      </c>
      <c r="Z54" s="42" t="str">
        <f t="shared" si="51"/>
        <v/>
      </c>
      <c r="AA54" s="42" t="str">
        <f t="shared" si="51"/>
        <v/>
      </c>
      <c r="AB54" s="43" t="str">
        <f t="shared" si="51"/>
        <v/>
      </c>
      <c r="AD54" s="41" t="str">
        <f t="shared" ref="AD54:AD60" si="54">IF(AD44="","",AD44-D44)</f>
        <v/>
      </c>
      <c r="AE54" s="55" t="str">
        <f t="shared" ref="AE54:AE60" si="55">IF(AE44="","",AE44-E44)</f>
        <v/>
      </c>
      <c r="AF54" s="42" t="str">
        <f t="shared" ref="AF54:AF60" si="56">IF(AF44="","",AF44-F44)</f>
        <v/>
      </c>
      <c r="AG54" s="42" t="str">
        <f t="shared" ref="AG54:AG60" si="57">IF(AG44="","",AG44-G44)</f>
        <v/>
      </c>
      <c r="AH54" s="42" t="str">
        <f t="shared" ref="AH54:AH60" si="58">IF(AH44="","",AH44-H44)</f>
        <v/>
      </c>
      <c r="AI54" s="42" t="str">
        <f t="shared" ref="AI54:AI60" si="59">IF(AI44="","",AI44-I44)</f>
        <v/>
      </c>
      <c r="AJ54" s="42" t="str">
        <f t="shared" ref="AJ54:AJ60" si="60">IF(AJ44="","",AJ44-J44)</f>
        <v/>
      </c>
      <c r="AK54" s="42" t="str">
        <f t="shared" ref="AK54:AK60" si="61">IF(AK44="","",AK44-K44)</f>
        <v/>
      </c>
      <c r="AL54" s="42" t="str">
        <f t="shared" ref="AL54:AL60" si="62">IF(AL44="","",AL44-L44)</f>
        <v/>
      </c>
      <c r="AM54" s="42" t="str">
        <f t="shared" ref="AM54:AM60" si="63">IF(AM44="","",AM44-M44)</f>
        <v/>
      </c>
      <c r="AN54" s="42" t="str">
        <f t="shared" ref="AN54:AN60" si="64">IF(AN44="","",AN44-N44)</f>
        <v/>
      </c>
      <c r="AO54" s="43" t="str">
        <f t="shared" ref="AO54:AO60" si="65">IF(AO44="","",AO44-O44)</f>
        <v/>
      </c>
    </row>
    <row r="55" spans="4:41" x14ac:dyDescent="0.3">
      <c r="Q55" s="41" t="str">
        <f t="shared" si="53"/>
        <v/>
      </c>
      <c r="R55" s="55" t="str">
        <f t="shared" si="53"/>
        <v/>
      </c>
      <c r="S55" s="42" t="str">
        <f t="shared" si="51"/>
        <v/>
      </c>
      <c r="T55" s="42" t="str">
        <f t="shared" si="51"/>
        <v/>
      </c>
      <c r="U55" s="42" t="str">
        <f t="shared" si="51"/>
        <v/>
      </c>
      <c r="V55" s="42" t="str">
        <f t="shared" si="51"/>
        <v/>
      </c>
      <c r="W55" s="42" t="str">
        <f t="shared" si="51"/>
        <v/>
      </c>
      <c r="X55" s="42" t="str">
        <f t="shared" si="51"/>
        <v/>
      </c>
      <c r="Y55" s="42" t="str">
        <f t="shared" si="51"/>
        <v/>
      </c>
      <c r="Z55" s="42" t="str">
        <f t="shared" si="51"/>
        <v/>
      </c>
      <c r="AA55" s="42" t="str">
        <f t="shared" si="51"/>
        <v/>
      </c>
      <c r="AB55" s="43" t="str">
        <f t="shared" si="51"/>
        <v/>
      </c>
      <c r="AD55" s="41" t="str">
        <f t="shared" si="54"/>
        <v/>
      </c>
      <c r="AE55" s="55" t="str">
        <f t="shared" si="55"/>
        <v/>
      </c>
      <c r="AF55" s="42" t="str">
        <f t="shared" si="56"/>
        <v/>
      </c>
      <c r="AG55" s="42" t="str">
        <f t="shared" si="57"/>
        <v/>
      </c>
      <c r="AH55" s="42" t="str">
        <f t="shared" si="58"/>
        <v/>
      </c>
      <c r="AI55" s="42" t="str">
        <f t="shared" si="59"/>
        <v/>
      </c>
      <c r="AJ55" s="42" t="str">
        <f t="shared" si="60"/>
        <v/>
      </c>
      <c r="AK55" s="42" t="str">
        <f t="shared" si="61"/>
        <v/>
      </c>
      <c r="AL55" s="42" t="str">
        <f t="shared" si="62"/>
        <v/>
      </c>
      <c r="AM55" s="42" t="str">
        <f t="shared" si="63"/>
        <v/>
      </c>
      <c r="AN55" s="42" t="str">
        <f t="shared" si="64"/>
        <v/>
      </c>
      <c r="AO55" s="43" t="str">
        <f t="shared" si="65"/>
        <v/>
      </c>
    </row>
    <row r="56" spans="4:41" x14ac:dyDescent="0.3">
      <c r="Q56" s="41" t="str">
        <f t="shared" si="53"/>
        <v/>
      </c>
      <c r="R56" s="55" t="str">
        <f t="shared" si="53"/>
        <v/>
      </c>
      <c r="S56" s="42" t="str">
        <f t="shared" si="51"/>
        <v/>
      </c>
      <c r="T56" s="42" t="str">
        <f t="shared" si="51"/>
        <v/>
      </c>
      <c r="U56" s="42" t="str">
        <f t="shared" si="51"/>
        <v/>
      </c>
      <c r="V56" s="42" t="str">
        <f t="shared" si="51"/>
        <v/>
      </c>
      <c r="W56" s="42" t="str">
        <f t="shared" si="51"/>
        <v/>
      </c>
      <c r="X56" s="42" t="str">
        <f t="shared" si="51"/>
        <v/>
      </c>
      <c r="Y56" s="42" t="str">
        <f t="shared" si="51"/>
        <v/>
      </c>
      <c r="Z56" s="42" t="str">
        <f t="shared" si="51"/>
        <v/>
      </c>
      <c r="AA56" s="42" t="str">
        <f t="shared" si="51"/>
        <v/>
      </c>
      <c r="AB56" s="43" t="str">
        <f t="shared" si="51"/>
        <v/>
      </c>
      <c r="AD56" s="41" t="str">
        <f t="shared" si="54"/>
        <v/>
      </c>
      <c r="AE56" s="55" t="str">
        <f t="shared" si="55"/>
        <v/>
      </c>
      <c r="AF56" s="42" t="str">
        <f t="shared" si="56"/>
        <v/>
      </c>
      <c r="AG56" s="42" t="str">
        <f t="shared" si="57"/>
        <v/>
      </c>
      <c r="AH56" s="42" t="str">
        <f t="shared" si="58"/>
        <v/>
      </c>
      <c r="AI56" s="42" t="str">
        <f t="shared" si="59"/>
        <v/>
      </c>
      <c r="AJ56" s="42" t="str">
        <f t="shared" si="60"/>
        <v/>
      </c>
      <c r="AK56" s="42" t="str">
        <f t="shared" si="61"/>
        <v/>
      </c>
      <c r="AL56" s="42" t="str">
        <f t="shared" si="62"/>
        <v/>
      </c>
      <c r="AM56" s="42" t="str">
        <f t="shared" si="63"/>
        <v/>
      </c>
      <c r="AN56" s="42" t="str">
        <f t="shared" si="64"/>
        <v/>
      </c>
      <c r="AO56" s="43" t="str">
        <f t="shared" si="65"/>
        <v/>
      </c>
    </row>
    <row r="57" spans="4:41" x14ac:dyDescent="0.3">
      <c r="Q57" s="41" t="str">
        <f t="shared" si="53"/>
        <v/>
      </c>
      <c r="R57" s="55" t="str">
        <f t="shared" si="53"/>
        <v/>
      </c>
      <c r="S57" s="42" t="str">
        <f t="shared" si="51"/>
        <v/>
      </c>
      <c r="T57" s="42" t="str">
        <f t="shared" si="51"/>
        <v/>
      </c>
      <c r="U57" s="42" t="str">
        <f t="shared" si="51"/>
        <v/>
      </c>
      <c r="V57" s="42" t="str">
        <f t="shared" si="51"/>
        <v/>
      </c>
      <c r="W57" s="42" t="str">
        <f t="shared" si="51"/>
        <v/>
      </c>
      <c r="X57" s="42" t="str">
        <f t="shared" si="51"/>
        <v/>
      </c>
      <c r="Y57" s="42" t="str">
        <f t="shared" si="51"/>
        <v/>
      </c>
      <c r="Z57" s="42" t="str">
        <f t="shared" si="51"/>
        <v/>
      </c>
      <c r="AA57" s="42" t="str">
        <f t="shared" si="51"/>
        <v/>
      </c>
      <c r="AB57" s="43" t="str">
        <f t="shared" si="51"/>
        <v/>
      </c>
      <c r="AD57" s="41" t="str">
        <f t="shared" si="54"/>
        <v/>
      </c>
      <c r="AE57" s="55" t="str">
        <f t="shared" si="55"/>
        <v/>
      </c>
      <c r="AF57" s="42" t="str">
        <f t="shared" si="56"/>
        <v/>
      </c>
      <c r="AG57" s="42" t="str">
        <f t="shared" si="57"/>
        <v/>
      </c>
      <c r="AH57" s="42" t="str">
        <f t="shared" si="58"/>
        <v/>
      </c>
      <c r="AI57" s="42" t="str">
        <f t="shared" si="59"/>
        <v/>
      </c>
      <c r="AJ57" s="42" t="str">
        <f t="shared" si="60"/>
        <v/>
      </c>
      <c r="AK57" s="42" t="str">
        <f t="shared" si="61"/>
        <v/>
      </c>
      <c r="AL57" s="42" t="str">
        <f t="shared" si="62"/>
        <v/>
      </c>
      <c r="AM57" s="42" t="str">
        <f t="shared" si="63"/>
        <v/>
      </c>
      <c r="AN57" s="42" t="str">
        <f t="shared" si="64"/>
        <v/>
      </c>
      <c r="AO57" s="43" t="str">
        <f t="shared" si="65"/>
        <v/>
      </c>
    </row>
    <row r="58" spans="4:41" x14ac:dyDescent="0.3">
      <c r="Q58" s="41" t="str">
        <f t="shared" si="53"/>
        <v/>
      </c>
      <c r="R58" s="55" t="str">
        <f t="shared" si="53"/>
        <v/>
      </c>
      <c r="S58" s="42" t="str">
        <f t="shared" si="51"/>
        <v/>
      </c>
      <c r="T58" s="42" t="str">
        <f t="shared" si="51"/>
        <v/>
      </c>
      <c r="U58" s="42" t="str">
        <f t="shared" si="51"/>
        <v/>
      </c>
      <c r="V58" s="42" t="str">
        <f t="shared" si="51"/>
        <v/>
      </c>
      <c r="W58" s="42" t="str">
        <f t="shared" si="51"/>
        <v/>
      </c>
      <c r="X58" s="42" t="str">
        <f t="shared" si="51"/>
        <v/>
      </c>
      <c r="Y58" s="42" t="str">
        <f t="shared" si="51"/>
        <v/>
      </c>
      <c r="Z58" s="42" t="str">
        <f t="shared" si="51"/>
        <v/>
      </c>
      <c r="AA58" s="42" t="str">
        <f t="shared" si="51"/>
        <v/>
      </c>
      <c r="AB58" s="43" t="str">
        <f t="shared" si="51"/>
        <v/>
      </c>
      <c r="AD58" s="41" t="str">
        <f t="shared" si="54"/>
        <v/>
      </c>
      <c r="AE58" s="55" t="str">
        <f t="shared" si="55"/>
        <v/>
      </c>
      <c r="AF58" s="42" t="str">
        <f t="shared" si="56"/>
        <v/>
      </c>
      <c r="AG58" s="42" t="str">
        <f t="shared" si="57"/>
        <v/>
      </c>
      <c r="AH58" s="42" t="str">
        <f t="shared" si="58"/>
        <v/>
      </c>
      <c r="AI58" s="42" t="str">
        <f t="shared" si="59"/>
        <v/>
      </c>
      <c r="AJ58" s="42" t="str">
        <f t="shared" si="60"/>
        <v/>
      </c>
      <c r="AK58" s="42" t="str">
        <f t="shared" si="61"/>
        <v/>
      </c>
      <c r="AL58" s="42" t="str">
        <f t="shared" si="62"/>
        <v/>
      </c>
      <c r="AM58" s="42" t="str">
        <f t="shared" si="63"/>
        <v/>
      </c>
      <c r="AN58" s="42" t="str">
        <f t="shared" si="64"/>
        <v/>
      </c>
      <c r="AO58" s="43" t="str">
        <f t="shared" si="65"/>
        <v/>
      </c>
    </row>
    <row r="59" spans="4:41" x14ac:dyDescent="0.3">
      <c r="Q59" s="41" t="str">
        <f t="shared" si="53"/>
        <v/>
      </c>
      <c r="R59" s="55" t="str">
        <f t="shared" si="53"/>
        <v/>
      </c>
      <c r="S59" s="42" t="str">
        <f t="shared" si="51"/>
        <v/>
      </c>
      <c r="T59" s="42" t="str">
        <f t="shared" si="51"/>
        <v/>
      </c>
      <c r="U59" s="42" t="str">
        <f t="shared" si="51"/>
        <v/>
      </c>
      <c r="V59" s="42" t="str">
        <f t="shared" si="51"/>
        <v/>
      </c>
      <c r="W59" s="42" t="str">
        <f t="shared" si="51"/>
        <v/>
      </c>
      <c r="X59" s="42" t="str">
        <f t="shared" si="51"/>
        <v/>
      </c>
      <c r="Y59" s="42" t="str">
        <f t="shared" si="51"/>
        <v/>
      </c>
      <c r="Z59" s="42" t="str">
        <f t="shared" si="51"/>
        <v/>
      </c>
      <c r="AA59" s="42" t="str">
        <f t="shared" si="51"/>
        <v/>
      </c>
      <c r="AB59" s="43" t="str">
        <f t="shared" si="51"/>
        <v/>
      </c>
      <c r="AD59" s="41" t="str">
        <f t="shared" si="54"/>
        <v/>
      </c>
      <c r="AE59" s="55" t="str">
        <f t="shared" si="55"/>
        <v/>
      </c>
      <c r="AF59" s="42" t="str">
        <f t="shared" si="56"/>
        <v/>
      </c>
      <c r="AG59" s="42" t="str">
        <f t="shared" si="57"/>
        <v/>
      </c>
      <c r="AH59" s="42" t="str">
        <f t="shared" si="58"/>
        <v/>
      </c>
      <c r="AI59" s="42" t="str">
        <f t="shared" si="59"/>
        <v/>
      </c>
      <c r="AJ59" s="42" t="str">
        <f t="shared" si="60"/>
        <v/>
      </c>
      <c r="AK59" s="42" t="str">
        <f t="shared" si="61"/>
        <v/>
      </c>
      <c r="AL59" s="42" t="str">
        <f t="shared" si="62"/>
        <v/>
      </c>
      <c r="AM59" s="42" t="str">
        <f t="shared" si="63"/>
        <v/>
      </c>
      <c r="AN59" s="42" t="str">
        <f t="shared" si="64"/>
        <v/>
      </c>
      <c r="AO59" s="43" t="str">
        <f t="shared" si="65"/>
        <v/>
      </c>
    </row>
    <row r="60" spans="4:41" x14ac:dyDescent="0.3">
      <c r="Q60" s="44" t="str">
        <f t="shared" si="53"/>
        <v/>
      </c>
      <c r="R60" s="58" t="str">
        <f t="shared" si="53"/>
        <v/>
      </c>
      <c r="S60" s="45" t="str">
        <f t="shared" si="51"/>
        <v/>
      </c>
      <c r="T60" s="45" t="str">
        <f t="shared" si="51"/>
        <v/>
      </c>
      <c r="U60" s="45" t="str">
        <f t="shared" si="51"/>
        <v/>
      </c>
      <c r="V60" s="45" t="str">
        <f t="shared" si="51"/>
        <v/>
      </c>
      <c r="W60" s="45" t="str">
        <f t="shared" si="51"/>
        <v/>
      </c>
      <c r="X60" s="45" t="str">
        <f t="shared" si="51"/>
        <v/>
      </c>
      <c r="Y60" s="45" t="str">
        <f t="shared" si="51"/>
        <v/>
      </c>
      <c r="Z60" s="45" t="str">
        <f t="shared" si="51"/>
        <v/>
      </c>
      <c r="AA60" s="45" t="str">
        <f t="shared" si="51"/>
        <v/>
      </c>
      <c r="AB60" s="46" t="str">
        <f t="shared" si="51"/>
        <v/>
      </c>
      <c r="AD60" s="44" t="str">
        <f t="shared" si="54"/>
        <v/>
      </c>
      <c r="AE60" s="58" t="str">
        <f t="shared" si="55"/>
        <v/>
      </c>
      <c r="AF60" s="45" t="str">
        <f t="shared" si="56"/>
        <v/>
      </c>
      <c r="AG60" s="45" t="str">
        <f t="shared" si="57"/>
        <v/>
      </c>
      <c r="AH60" s="45" t="str">
        <f t="shared" si="58"/>
        <v/>
      </c>
      <c r="AI60" s="45" t="str">
        <f t="shared" si="59"/>
        <v/>
      </c>
      <c r="AJ60" s="45" t="str">
        <f t="shared" si="60"/>
        <v/>
      </c>
      <c r="AK60" s="45" t="str">
        <f t="shared" si="61"/>
        <v/>
      </c>
      <c r="AL60" s="45" t="str">
        <f t="shared" si="62"/>
        <v/>
      </c>
      <c r="AM60" s="45" t="str">
        <f t="shared" si="63"/>
        <v/>
      </c>
      <c r="AN60" s="45" t="str">
        <f t="shared" si="64"/>
        <v/>
      </c>
      <c r="AO60" s="46" t="str">
        <f t="shared" si="65"/>
        <v/>
      </c>
    </row>
    <row r="62" spans="4:41" hidden="1" x14ac:dyDescent="0.3">
      <c r="F62" s="1">
        <v>0</v>
      </c>
      <c r="G62" s="1">
        <f>G42</f>
        <v>2</v>
      </c>
      <c r="S62" s="1">
        <v>0</v>
      </c>
      <c r="T62" s="1">
        <f>T42</f>
        <v>2</v>
      </c>
      <c r="AF62" s="1">
        <v>0</v>
      </c>
      <c r="AG62" s="1">
        <f>AG42</f>
        <v>3</v>
      </c>
    </row>
    <row r="63" spans="4:41" hidden="1" x14ac:dyDescent="0.3">
      <c r="S63" s="1">
        <f>T42*-1</f>
        <v>-2</v>
      </c>
      <c r="T63" s="1">
        <f>T42</f>
        <v>2</v>
      </c>
      <c r="AF63" s="1">
        <f>AG42*-1</f>
        <v>-3</v>
      </c>
      <c r="AG63" s="1">
        <f>AG42</f>
        <v>3</v>
      </c>
    </row>
  </sheetData>
  <conditionalFormatting sqref="D43:O50 F62:G6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43:O50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43:AB50 S62:T6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43:AB50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53:AB60 S63:T6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D43:AO50 AF62:AG6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D43:AO5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D53:AO60 AF63:AG6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UV calibration and raw 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Welsh</dc:creator>
  <cp:lastModifiedBy>John Welsh</cp:lastModifiedBy>
  <dcterms:created xsi:type="dcterms:W3CDTF">2024-08-21T18:58:20Z</dcterms:created>
  <dcterms:modified xsi:type="dcterms:W3CDTF">2024-09-10T20:20:16Z</dcterms:modified>
</cp:coreProperties>
</file>